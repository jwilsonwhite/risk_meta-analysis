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nicol\Documents\local R files\Ch2\metaanlysis\"/>
    </mc:Choice>
  </mc:AlternateContent>
  <xr:revisionPtr revIDLastSave="0" documentId="13_ncr:1_{8AAE72BB-E204-455A-9A92-F8EBC46FB074}" xr6:coauthVersionLast="47" xr6:coauthVersionMax="47" xr10:uidLastSave="{00000000-0000-0000-0000-000000000000}"/>
  <bookViews>
    <workbookView xWindow="-110" yWindow="-110" windowWidth="19420" windowHeight="10300" tabRatio="610" firstSheet="2" activeTab="2" xr2:uid="{44D3B6A1-555D-43C8-9D7D-5F15ABCF87A5}"/>
  </bookViews>
  <sheets>
    <sheet name="papers.used" sheetId="16" r:id="rId1"/>
    <sheet name="iso" sheetId="10" r:id="rId2"/>
    <sheet name="master_rows" sheetId="14" r:id="rId3"/>
    <sheet name="growthsingle" sheetId="18" r:id="rId4"/>
    <sheet name="Sheet1" sheetId="17" r:id="rId5"/>
    <sheet name="paper.list" sheetId="5" r:id="rId6"/>
    <sheet name="raw_rows" sheetId="13" r:id="rId7"/>
    <sheet name="metadata" sheetId="1" r:id="rId8"/>
    <sheet name="MASTER" sheetId="8" r:id="rId9"/>
    <sheet name="not_included" sheetId="15" r:id="rId10"/>
  </sheets>
  <definedNames>
    <definedName name="_xlnm._FilterDatabase" localSheetId="3" hidden="1">growthsingle!$A$2:$CM$35</definedName>
    <definedName name="_xlnm._FilterDatabase" localSheetId="1" hidden="1">iso!$A$2:$CF$44</definedName>
    <definedName name="_xlnm._FilterDatabase" localSheetId="2" hidden="1">master_rows!$A$2:$CG$272</definedName>
    <definedName name="_xlnm._FilterDatabase" localSheetId="5" hidden="1">paper.list!$A$1:$F$596</definedName>
    <definedName name="_xlnm._FilterDatabase" localSheetId="0" hidden="1">papers.used!$A$1:$F$15</definedName>
    <definedName name="_xlnm._FilterDatabase" localSheetId="6" hidden="1">raw_rows!$A$2:$CD$166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A254" i="14" l="1"/>
  <c r="CA246" i="14"/>
  <c r="CA240" i="14"/>
  <c r="CA241" i="14"/>
  <c r="CA242" i="14"/>
  <c r="CA243" i="14"/>
  <c r="CA244" i="14"/>
  <c r="CA245" i="14"/>
  <c r="CA247" i="14"/>
  <c r="CA248" i="14"/>
  <c r="CA249" i="14"/>
  <c r="CA250" i="14"/>
  <c r="CA251" i="14"/>
  <c r="CA252" i="14"/>
  <c r="CA253" i="14"/>
  <c r="CA255" i="14"/>
  <c r="CA256" i="14"/>
  <c r="CA257" i="14"/>
  <c r="CA258" i="14"/>
  <c r="CA239" i="14"/>
  <c r="CB240" i="14"/>
  <c r="CB241" i="14"/>
  <c r="CB242" i="14"/>
  <c r="CB243" i="14"/>
  <c r="CB244" i="14"/>
  <c r="CB245" i="14"/>
  <c r="CB246" i="14"/>
  <c r="CB247" i="14"/>
  <c r="CB248" i="14"/>
  <c r="CB249" i="14"/>
  <c r="CB250" i="14"/>
  <c r="CB251" i="14"/>
  <c r="CB252" i="14"/>
  <c r="CB253" i="14"/>
  <c r="CB254" i="14"/>
  <c r="CB255" i="14"/>
  <c r="CB256" i="14"/>
  <c r="CB257" i="14"/>
  <c r="CB258" i="14"/>
  <c r="CB239" i="14"/>
  <c r="CB260" i="14"/>
  <c r="CB261" i="14"/>
  <c r="CB262" i="14"/>
  <c r="CB263" i="14"/>
  <c r="CB264" i="14"/>
  <c r="CB265" i="14"/>
  <c r="CB266" i="14"/>
  <c r="CB267" i="14"/>
  <c r="CB268" i="14"/>
  <c r="CB269" i="14"/>
  <c r="CB270" i="14"/>
  <c r="CB271" i="14"/>
  <c r="CB272" i="14"/>
  <c r="CB259" i="14"/>
  <c r="CA260" i="14"/>
  <c r="CA261" i="14"/>
  <c r="CA262" i="14"/>
  <c r="CA263" i="14"/>
  <c r="CA264" i="14"/>
  <c r="CA265" i="14"/>
  <c r="CA266" i="14"/>
  <c r="CA267" i="14"/>
  <c r="CA268" i="14"/>
  <c r="CA269" i="14"/>
  <c r="CA270" i="14"/>
  <c r="CA271" i="14"/>
  <c r="CA272" i="14"/>
  <c r="CA259" i="14"/>
  <c r="B27" i="18"/>
  <c r="B26" i="18"/>
  <c r="B25" i="18"/>
  <c r="B24" i="18"/>
  <c r="B23" i="18"/>
  <c r="B22" i="18"/>
  <c r="B21" i="18"/>
  <c r="B20" i="18"/>
  <c r="A19" i="16"/>
  <c r="A21" i="16"/>
  <c r="A9" i="16"/>
  <c r="A14" i="16"/>
  <c r="A8" i="16"/>
  <c r="A20" i="16"/>
  <c r="A18" i="16"/>
  <c r="A17" i="16"/>
  <c r="A15" i="16"/>
  <c r="A3" i="16"/>
  <c r="A7" i="16"/>
  <c r="A10" i="16"/>
  <c r="A4" i="16"/>
  <c r="A22" i="16"/>
  <c r="A2" i="16"/>
  <c r="B15" i="15"/>
  <c r="B13" i="15"/>
  <c r="B12" i="15"/>
  <c r="B184" i="14"/>
  <c r="B183" i="14"/>
  <c r="B182" i="14"/>
  <c r="B181" i="14"/>
  <c r="B180" i="14"/>
  <c r="B179" i="14"/>
  <c r="B178" i="14"/>
  <c r="B177" i="14"/>
  <c r="B176" i="14"/>
  <c r="B175" i="14"/>
  <c r="B174" i="14"/>
  <c r="B173" i="14"/>
  <c r="B172" i="14"/>
  <c r="B171" i="14"/>
  <c r="B170" i="14"/>
  <c r="B169" i="14"/>
  <c r="B168" i="14"/>
  <c r="B167" i="14"/>
  <c r="B166" i="14"/>
  <c r="B165" i="14"/>
  <c r="B164" i="14"/>
  <c r="B163" i="14"/>
  <c r="B162" i="14"/>
  <c r="B161" i="14"/>
  <c r="B160" i="14"/>
  <c r="B159" i="14"/>
  <c r="B158" i="14"/>
  <c r="B157" i="14"/>
  <c r="B156" i="14"/>
  <c r="B155" i="14"/>
  <c r="B154" i="14"/>
  <c r="B153" i="14"/>
  <c r="B152" i="14"/>
  <c r="B151" i="14"/>
  <c r="B150" i="14"/>
  <c r="B149" i="14"/>
  <c r="B148" i="14"/>
  <c r="B147" i="14"/>
  <c r="B146" i="14"/>
  <c r="B145" i="14"/>
  <c r="B144" i="14"/>
  <c r="B143" i="14"/>
  <c r="B142" i="14"/>
  <c r="B141" i="14"/>
  <c r="B140" i="14"/>
  <c r="B139" i="14"/>
  <c r="B138" i="14"/>
  <c r="B137" i="14"/>
  <c r="B136" i="14"/>
  <c r="B135" i="14"/>
  <c r="B134" i="14"/>
  <c r="B223" i="13"/>
  <c r="B222" i="13"/>
  <c r="B221" i="13"/>
  <c r="B220" i="13"/>
  <c r="B219" i="13"/>
  <c r="B218" i="13"/>
  <c r="B217" i="13"/>
  <c r="B216" i="13"/>
  <c r="B215" i="13"/>
  <c r="B214" i="13"/>
  <c r="B213" i="13"/>
  <c r="B212" i="13"/>
  <c r="B211" i="13"/>
  <c r="B210" i="13"/>
  <c r="B209" i="13"/>
  <c r="B208" i="13"/>
  <c r="B207" i="13"/>
  <c r="B206" i="13"/>
  <c r="B205" i="13"/>
  <c r="B204" i="13"/>
  <c r="B203" i="13"/>
  <c r="B202" i="13"/>
  <c r="B201" i="13"/>
  <c r="B200" i="13"/>
  <c r="B199" i="13"/>
  <c r="B198" i="13"/>
  <c r="B197" i="13"/>
  <c r="B196" i="13"/>
  <c r="B195" i="13"/>
  <c r="B194" i="13"/>
  <c r="B193" i="13"/>
  <c r="B192" i="13"/>
  <c r="B191" i="13"/>
  <c r="B190" i="13"/>
  <c r="B189" i="13"/>
  <c r="B188" i="13"/>
  <c r="B187" i="13"/>
  <c r="B186" i="13"/>
  <c r="B185" i="13"/>
  <c r="B184" i="13"/>
  <c r="B183" i="13"/>
  <c r="B182" i="13"/>
  <c r="B181" i="13"/>
  <c r="B180" i="13"/>
  <c r="B179" i="13"/>
  <c r="B178" i="13"/>
  <c r="B177" i="13"/>
  <c r="B176" i="13"/>
  <c r="B175" i="13"/>
  <c r="B174" i="13"/>
  <c r="B173" i="13"/>
  <c r="B172" i="13"/>
  <c r="B171" i="13"/>
  <c r="B170" i="13"/>
  <c r="AC128" i="14"/>
  <c r="AC129" i="14"/>
  <c r="AC130" i="14"/>
  <c r="AC127" i="14"/>
  <c r="A591" i="5" l="1"/>
  <c r="A592" i="5"/>
  <c r="A593" i="5"/>
  <c r="A594" i="5"/>
  <c r="A590" i="5"/>
  <c r="A545" i="5"/>
  <c r="A546" i="5"/>
  <c r="A547" i="5"/>
  <c r="A548" i="5"/>
  <c r="A549" i="5"/>
  <c r="A550" i="5"/>
  <c r="A551" i="5"/>
  <c r="A552" i="5"/>
  <c r="A553" i="5"/>
  <c r="A554" i="5"/>
  <c r="A555" i="5"/>
  <c r="A556" i="5"/>
  <c r="A557" i="5"/>
  <c r="A558" i="5"/>
  <c r="A559" i="5"/>
  <c r="A560" i="5"/>
  <c r="A561" i="5"/>
  <c r="A562" i="5"/>
  <c r="A563" i="5"/>
  <c r="A564" i="5"/>
  <c r="A565" i="5"/>
  <c r="A566" i="5"/>
  <c r="A567" i="5"/>
  <c r="A568" i="5"/>
  <c r="A569" i="5"/>
  <c r="A570" i="5"/>
  <c r="A571" i="5"/>
  <c r="A572" i="5"/>
  <c r="A573" i="5"/>
  <c r="A574" i="5"/>
  <c r="A575" i="5"/>
  <c r="A576" i="5"/>
  <c r="A577" i="5"/>
  <c r="A578" i="5"/>
  <c r="A579" i="5"/>
  <c r="A580" i="5"/>
  <c r="A581" i="5"/>
  <c r="A582" i="5"/>
  <c r="A583" i="5"/>
  <c r="A584" i="5"/>
  <c r="A585" i="5"/>
  <c r="A586" i="5"/>
  <c r="A587" i="5"/>
  <c r="A588" i="5"/>
  <c r="A589" i="5"/>
  <c r="A517" i="5"/>
  <c r="A518" i="5"/>
  <c r="A519" i="5"/>
  <c r="A520" i="5"/>
  <c r="A521" i="5"/>
  <c r="A522" i="5"/>
  <c r="A523" i="5"/>
  <c r="A524" i="5"/>
  <c r="A525" i="5"/>
  <c r="A526" i="5"/>
  <c r="A527" i="5"/>
  <c r="A528" i="5"/>
  <c r="A529" i="5"/>
  <c r="A530" i="5"/>
  <c r="A531" i="5"/>
  <c r="A532" i="5"/>
  <c r="A533" i="5"/>
  <c r="A534" i="5"/>
  <c r="A535" i="5"/>
  <c r="A536" i="5"/>
  <c r="A537" i="5"/>
  <c r="A538" i="5"/>
  <c r="A539" i="5"/>
  <c r="A540" i="5"/>
  <c r="A541" i="5"/>
  <c r="A542" i="5"/>
  <c r="A543" i="5"/>
  <c r="A544" i="5"/>
  <c r="A498" i="5"/>
  <c r="A499" i="5"/>
  <c r="A500" i="5"/>
  <c r="A501" i="5"/>
  <c r="A502" i="5"/>
  <c r="A503" i="5"/>
  <c r="A504" i="5"/>
  <c r="A505" i="5"/>
  <c r="A506" i="5"/>
  <c r="A507" i="5"/>
  <c r="A508" i="5"/>
  <c r="A509" i="5"/>
  <c r="A510" i="5"/>
  <c r="A511" i="5"/>
  <c r="A512" i="5"/>
  <c r="A513" i="5"/>
  <c r="A514" i="5"/>
  <c r="A515" i="5"/>
  <c r="A516" i="5"/>
  <c r="A470" i="5"/>
  <c r="A462" i="5"/>
  <c r="A457" i="5"/>
  <c r="A467" i="5"/>
  <c r="A472" i="5"/>
  <c r="A476" i="5"/>
  <c r="A452" i="5"/>
  <c r="A455" i="5"/>
  <c r="A464" i="5"/>
  <c r="A469" i="5"/>
  <c r="A471" i="5"/>
  <c r="A466" i="5"/>
  <c r="A475" i="5"/>
  <c r="A465" i="5"/>
  <c r="A458" i="5"/>
  <c r="A473" i="5"/>
  <c r="A468" i="5"/>
  <c r="A463" i="5"/>
  <c r="A474" i="5"/>
  <c r="A454" i="5"/>
  <c r="A461" i="5"/>
  <c r="A459" i="5"/>
  <c r="A456" i="5"/>
  <c r="A460" i="5"/>
  <c r="A453" i="5"/>
  <c r="A477" i="5"/>
  <c r="A478" i="5"/>
  <c r="A479" i="5"/>
  <c r="A480" i="5"/>
  <c r="A481" i="5"/>
  <c r="A482" i="5"/>
  <c r="A483" i="5"/>
  <c r="A484" i="5"/>
  <c r="A485" i="5"/>
  <c r="A486" i="5"/>
  <c r="A487" i="5"/>
  <c r="A488" i="5"/>
  <c r="A489" i="5"/>
  <c r="A490" i="5"/>
  <c r="A491" i="5"/>
  <c r="A492" i="5"/>
  <c r="A493" i="5"/>
  <c r="A494" i="5"/>
  <c r="A495" i="5"/>
  <c r="A496" i="5"/>
  <c r="A497" i="5"/>
  <c r="A428" i="5"/>
  <c r="A429" i="5"/>
  <c r="A430" i="5"/>
  <c r="A431" i="5"/>
  <c r="A432" i="5"/>
  <c r="A433" i="5"/>
  <c r="A434" i="5"/>
  <c r="A435" i="5"/>
  <c r="A436" i="5"/>
  <c r="A437" i="5"/>
  <c r="A438" i="5"/>
  <c r="A439" i="5"/>
  <c r="A440" i="5"/>
  <c r="A441" i="5"/>
  <c r="A442" i="5"/>
  <c r="A443" i="5"/>
  <c r="A444" i="5"/>
  <c r="A445" i="5"/>
  <c r="A446" i="5"/>
  <c r="A447" i="5"/>
  <c r="A448" i="5"/>
  <c r="A449" i="5"/>
  <c r="A450" i="5"/>
  <c r="A451" i="5"/>
  <c r="A413" i="5"/>
  <c r="A414" i="5"/>
  <c r="A415" i="5"/>
  <c r="A416" i="5"/>
  <c r="A417" i="5"/>
  <c r="A418" i="5"/>
  <c r="A419" i="5"/>
  <c r="A420" i="5"/>
  <c r="A421" i="5"/>
  <c r="A422" i="5"/>
  <c r="A423" i="5"/>
  <c r="A424" i="5"/>
  <c r="A425" i="5"/>
  <c r="A426" i="5"/>
  <c r="A427" i="5"/>
  <c r="A391" i="5"/>
  <c r="A392" i="5"/>
  <c r="A393" i="5"/>
  <c r="A394" i="5"/>
  <c r="A395" i="5"/>
  <c r="A396" i="5"/>
  <c r="A397" i="5"/>
  <c r="A398" i="5"/>
  <c r="A399" i="5"/>
  <c r="A400" i="5"/>
  <c r="A401" i="5"/>
  <c r="A402" i="5"/>
  <c r="A403" i="5"/>
  <c r="A404" i="5"/>
  <c r="A405" i="5"/>
  <c r="A406" i="5"/>
  <c r="A407" i="5"/>
  <c r="A408" i="5"/>
  <c r="A409" i="5"/>
  <c r="A410" i="5"/>
  <c r="A411" i="5"/>
  <c r="A412" i="5"/>
  <c r="A379" i="5"/>
  <c r="A385" i="5"/>
  <c r="A384" i="5"/>
  <c r="A387" i="5"/>
  <c r="A381" i="5"/>
  <c r="A386" i="5"/>
  <c r="A382" i="5"/>
  <c r="A383" i="5"/>
  <c r="A380" i="5"/>
  <c r="A388" i="5"/>
  <c r="A389" i="5"/>
  <c r="A390" i="5"/>
  <c r="A256" i="5"/>
  <c r="A299" i="5"/>
  <c r="A333" i="5"/>
  <c r="A277" i="5"/>
  <c r="A375" i="5"/>
  <c r="A365" i="5"/>
  <c r="A284" i="5"/>
  <c r="A337" i="5"/>
  <c r="A351" i="5"/>
  <c r="A340" i="5"/>
  <c r="A253" i="5"/>
  <c r="A259" i="5"/>
  <c r="A271" i="5"/>
  <c r="A332" i="5"/>
  <c r="A290" i="5"/>
  <c r="A276" i="5"/>
  <c r="A374" i="5"/>
  <c r="A278" i="5"/>
  <c r="A262" i="5"/>
  <c r="A252" i="5"/>
  <c r="A291" i="5"/>
  <c r="A302" i="5"/>
  <c r="A283" i="5"/>
  <c r="A305" i="5"/>
  <c r="A348" i="5"/>
  <c r="A349" i="5"/>
  <c r="A321" i="5"/>
  <c r="A339" i="5"/>
  <c r="A279" i="5"/>
  <c r="A249" i="5"/>
  <c r="A264" i="5"/>
  <c r="A292" i="5"/>
  <c r="A378" i="5"/>
  <c r="A267" i="5"/>
  <c r="A310" i="5"/>
  <c r="A336" i="5"/>
  <c r="A311" i="5"/>
  <c r="A293" i="5"/>
  <c r="A366" i="5"/>
  <c r="A261" i="5"/>
  <c r="A285" i="5"/>
  <c r="A350" i="5"/>
  <c r="A307" i="5"/>
  <c r="A272" i="5"/>
  <c r="A294" i="5"/>
  <c r="A301" i="5"/>
  <c r="A303" i="5"/>
  <c r="A312" i="5"/>
  <c r="A328" i="5"/>
  <c r="A309" i="5"/>
  <c r="A334" i="5"/>
  <c r="A364" i="5"/>
  <c r="A304" i="5"/>
  <c r="A313" i="5"/>
  <c r="A320" i="5"/>
  <c r="A338" i="5"/>
  <c r="A352" i="5"/>
  <c r="A341" i="5"/>
  <c r="A258" i="5"/>
  <c r="A314" i="5"/>
  <c r="A266" i="5"/>
  <c r="A376" i="5"/>
  <c r="A306" i="5"/>
  <c r="A286" i="5"/>
  <c r="A368" i="5"/>
  <c r="A335" i="5"/>
  <c r="A367" i="5"/>
  <c r="A353" i="5"/>
  <c r="A342" i="5"/>
  <c r="A322" i="5"/>
  <c r="A354" i="5"/>
  <c r="A356" i="5"/>
  <c r="A315" i="5"/>
  <c r="A323" i="5"/>
  <c r="A369" i="5"/>
  <c r="A316" i="5"/>
  <c r="A295" i="5"/>
  <c r="A317" i="5"/>
  <c r="A296" i="5"/>
  <c r="A280" i="5"/>
  <c r="A344" i="5"/>
  <c r="A287" i="5"/>
  <c r="A248" i="5"/>
  <c r="A255" i="5"/>
  <c r="A268" i="5"/>
  <c r="A281" i="5"/>
  <c r="A282" i="5"/>
  <c r="A370" i="5"/>
  <c r="A372" i="5"/>
  <c r="A318" i="5"/>
  <c r="A325" i="5"/>
  <c r="A250" i="5"/>
  <c r="A373" i="5"/>
  <c r="A308" i="5"/>
  <c r="A359" i="5"/>
  <c r="A327" i="5"/>
  <c r="A257" i="5"/>
  <c r="A265" i="5"/>
  <c r="A273" i="5"/>
  <c r="A329" i="5"/>
  <c r="A297" i="5"/>
  <c r="A251" i="5"/>
  <c r="A274" i="5"/>
  <c r="A360" i="5"/>
  <c r="A347" i="5"/>
  <c r="A289" i="5"/>
  <c r="A362" i="5"/>
  <c r="A298" i="5"/>
  <c r="A275" i="5"/>
  <c r="A254" i="5"/>
  <c r="A343" i="5"/>
  <c r="A357" i="5"/>
  <c r="A358" i="5"/>
  <c r="A263" i="5"/>
  <c r="A324" i="5"/>
  <c r="A377" i="5"/>
  <c r="A246" i="5"/>
  <c r="A345" i="5"/>
  <c r="A326" i="5"/>
  <c r="A269" i="5"/>
  <c r="A319" i="5"/>
  <c r="A288" i="5"/>
  <c r="A270" i="5"/>
  <c r="A330" i="5"/>
  <c r="A247" i="5"/>
  <c r="A363" i="5"/>
  <c r="A331" i="5"/>
  <c r="A260" i="5"/>
  <c r="A300" i="5"/>
  <c r="A355" i="5"/>
  <c r="A371" i="5"/>
  <c r="A346" i="5"/>
  <c r="A361" i="5"/>
  <c r="A245" i="5"/>
  <c r="A193" i="5"/>
  <c r="A198" i="5"/>
  <c r="A211" i="5"/>
  <c r="A241" i="5"/>
  <c r="A194" i="5"/>
  <c r="A195" i="5"/>
  <c r="A208" i="5"/>
  <c r="A236" i="5"/>
  <c r="A188" i="5"/>
  <c r="A197" i="5"/>
  <c r="A200" i="5"/>
  <c r="A202" i="5"/>
  <c r="A206" i="5"/>
  <c r="A209" i="5"/>
  <c r="A212" i="5"/>
  <c r="A218" i="5"/>
  <c r="A221" i="5"/>
  <c r="A223" i="5"/>
  <c r="A227" i="5"/>
  <c r="A229" i="5"/>
  <c r="A216" i="5"/>
  <c r="A196" i="5"/>
  <c r="A201" i="5"/>
  <c r="A207" i="5"/>
  <c r="A210" i="5"/>
  <c r="A214" i="5"/>
  <c r="A213" i="5"/>
  <c r="A231" i="5"/>
  <c r="A222" i="5"/>
  <c r="A224" i="5"/>
  <c r="A225" i="5"/>
  <c r="A226" i="5"/>
  <c r="A230" i="5"/>
  <c r="A233" i="5"/>
  <c r="A234" i="5"/>
  <c r="A237" i="5"/>
  <c r="A238" i="5"/>
  <c r="A239" i="5"/>
  <c r="A240" i="5"/>
  <c r="A242" i="5"/>
  <c r="A243" i="5"/>
  <c r="A244" i="5"/>
  <c r="A191" i="5"/>
  <c r="A189" i="5"/>
  <c r="A204" i="5"/>
  <c r="A205" i="5"/>
  <c r="A232" i="5"/>
  <c r="A235" i="5"/>
  <c r="A219" i="5"/>
  <c r="A190" i="5"/>
  <c r="A199" i="5"/>
  <c r="A203" i="5"/>
  <c r="A228" i="5"/>
  <c r="A215" i="5"/>
  <c r="A217" i="5"/>
  <c r="A220" i="5"/>
  <c r="A192" i="5"/>
  <c r="A119" i="5"/>
  <c r="A120" i="5"/>
  <c r="A121" i="5"/>
  <c r="A122" i="5"/>
  <c r="A123" i="5"/>
  <c r="A124" i="5"/>
  <c r="A125" i="5"/>
  <c r="A126" i="5"/>
  <c r="A127" i="5"/>
  <c r="A128" i="5"/>
  <c r="A129" i="5"/>
  <c r="A130" i="5"/>
  <c r="A131" i="5"/>
  <c r="A132" i="5"/>
  <c r="A133" i="5"/>
  <c r="A134" i="5"/>
  <c r="A135" i="5"/>
  <c r="A136" i="5"/>
  <c r="A137" i="5"/>
  <c r="A138" i="5"/>
  <c r="A139" i="5"/>
  <c r="A140" i="5"/>
  <c r="A141" i="5"/>
  <c r="A142" i="5"/>
  <c r="A143" i="5"/>
  <c r="A144" i="5"/>
  <c r="A145" i="5"/>
  <c r="A146" i="5"/>
  <c r="A147" i="5"/>
  <c r="A148" i="5"/>
  <c r="A149" i="5"/>
  <c r="A150" i="5"/>
  <c r="A55" i="5"/>
  <c r="A48" i="5"/>
  <c r="A49" i="5"/>
  <c r="A42" i="5"/>
  <c r="A43" i="5"/>
  <c r="A44" i="5"/>
  <c r="A45" i="5"/>
  <c r="A46" i="5"/>
  <c r="A47" i="5"/>
  <c r="A50" i="5"/>
  <c r="A51" i="5"/>
  <c r="A52" i="5"/>
  <c r="A53" i="5"/>
  <c r="A54" i="5"/>
  <c r="A118" i="5"/>
  <c r="A41" i="5"/>
  <c r="A104" i="5"/>
  <c r="A87" i="5"/>
  <c r="A88" i="5"/>
  <c r="A89" i="5"/>
  <c r="A90" i="5"/>
  <c r="A91" i="5"/>
  <c r="A92" i="5"/>
  <c r="A93" i="5"/>
  <c r="A94" i="5"/>
  <c r="A95" i="5"/>
  <c r="A96" i="5"/>
  <c r="A97" i="5"/>
  <c r="A98" i="5"/>
  <c r="A99" i="5"/>
  <c r="A100" i="5"/>
  <c r="A101" i="5"/>
  <c r="A102" i="5"/>
  <c r="A103" i="5"/>
  <c r="A105" i="5"/>
  <c r="A106" i="5"/>
  <c r="A107" i="5"/>
  <c r="A108" i="5"/>
  <c r="A109" i="5"/>
  <c r="A110" i="5"/>
  <c r="A111" i="5"/>
  <c r="A112" i="5"/>
  <c r="A113" i="5"/>
  <c r="A114" i="5"/>
  <c r="A115" i="5"/>
  <c r="A116" i="5"/>
  <c r="A117" i="5"/>
  <c r="A86" i="5"/>
  <c r="A57" i="5"/>
  <c r="A58" i="5"/>
  <c r="A59" i="5"/>
  <c r="A60" i="5"/>
  <c r="A61" i="5"/>
  <c r="A62" i="5"/>
  <c r="A63" i="5"/>
  <c r="A64" i="5"/>
  <c r="A65" i="5"/>
  <c r="A66" i="5"/>
  <c r="A67" i="5"/>
  <c r="A68" i="5"/>
  <c r="A69" i="5"/>
  <c r="A70" i="5"/>
  <c r="A71" i="5"/>
  <c r="A72" i="5"/>
  <c r="A73" i="5"/>
  <c r="A74" i="5"/>
  <c r="A75" i="5"/>
  <c r="A76" i="5"/>
  <c r="A77" i="5"/>
  <c r="A78" i="5"/>
  <c r="A79" i="5"/>
  <c r="A80" i="5"/>
  <c r="A81" i="5"/>
  <c r="A82" i="5"/>
  <c r="A83" i="5"/>
  <c r="A84" i="5"/>
  <c r="A85" i="5"/>
  <c r="A56" i="5"/>
  <c r="A9" i="5"/>
  <c r="A21" i="5"/>
  <c r="A22" i="5"/>
  <c r="A23" i="5"/>
  <c r="A20" i="5"/>
  <c r="A12" i="5"/>
  <c r="A16" i="5"/>
  <c r="A17" i="5"/>
  <c r="A14" i="5"/>
  <c r="A6" i="5"/>
  <c r="A7" i="5"/>
  <c r="A5" i="5"/>
  <c r="A18" i="5"/>
  <c r="A19" i="5"/>
  <c r="A13" i="5"/>
  <c r="A10" i="5"/>
  <c r="A11" i="5"/>
  <c r="A8" i="5"/>
  <c r="A3" i="5"/>
  <c r="A2" i="5"/>
  <c r="A4" i="5"/>
  <c r="A15" i="5"/>
  <c r="A159" i="5"/>
  <c r="A160" i="5"/>
  <c r="A161" i="5"/>
  <c r="A162" i="5"/>
  <c r="A163" i="5"/>
  <c r="A164" i="5"/>
  <c r="A165" i="5"/>
  <c r="A166" i="5"/>
  <c r="A167" i="5"/>
  <c r="A168" i="5"/>
  <c r="A169" i="5"/>
  <c r="A170" i="5"/>
  <c r="A171" i="5"/>
  <c r="A172" i="5"/>
  <c r="A173" i="5"/>
  <c r="A174" i="5"/>
  <c r="A175" i="5"/>
  <c r="A176" i="5"/>
  <c r="A177" i="5"/>
  <c r="A178" i="5"/>
  <c r="A179" i="5"/>
  <c r="A180" i="5"/>
  <c r="A181" i="5"/>
  <c r="A182" i="5"/>
  <c r="A183" i="5"/>
  <c r="A184" i="5"/>
  <c r="A185" i="5"/>
  <c r="A186" i="5"/>
  <c r="A187" i="5"/>
  <c r="A34" i="5"/>
  <c r="A24" i="5"/>
  <c r="A25" i="5"/>
  <c r="A26" i="5"/>
  <c r="A27" i="5"/>
  <c r="A28" i="5"/>
  <c r="A29" i="5"/>
  <c r="A30" i="5"/>
  <c r="A31" i="5"/>
  <c r="A32" i="5"/>
  <c r="A33" i="5"/>
  <c r="A35" i="5"/>
  <c r="A36" i="5"/>
  <c r="A37" i="5"/>
  <c r="A38" i="5"/>
  <c r="A39" i="5"/>
  <c r="A40" i="5"/>
  <c r="A152" i="5"/>
  <c r="A153" i="5"/>
  <c r="A154" i="5"/>
  <c r="A155" i="5"/>
  <c r="A156" i="5"/>
  <c r="A157" i="5"/>
  <c r="A158" i="5"/>
  <c r="A151" i="5"/>
</calcChain>
</file>

<file path=xl/sharedStrings.xml><?xml version="1.0" encoding="utf-8"?>
<sst xmlns="http://schemas.openxmlformats.org/spreadsheetml/2006/main" count="29332" uniqueCount="3383">
  <si>
    <t>Paper Metrics</t>
  </si>
  <si>
    <t>Scoring Metrics</t>
  </si>
  <si>
    <t>From Previous Sheet</t>
  </si>
  <si>
    <t>Info about context (all of these rows should be the same for each paper)</t>
  </si>
  <si>
    <t>Context level for the row</t>
  </si>
  <si>
    <t>Risk treatments</t>
  </si>
  <si>
    <t>No risk treatments</t>
  </si>
  <si>
    <t>id</t>
  </si>
  <si>
    <t>year</t>
  </si>
  <si>
    <t>authors</t>
  </si>
  <si>
    <t>date</t>
  </si>
  <si>
    <t>complete</t>
  </si>
  <si>
    <t>initials</t>
  </si>
  <si>
    <t>difficulty</t>
  </si>
  <si>
    <t>status.notes</t>
  </si>
  <si>
    <t>paper.notes</t>
  </si>
  <si>
    <t>generation</t>
  </si>
  <si>
    <t>consumption</t>
  </si>
  <si>
    <t>NCE.TMIE</t>
  </si>
  <si>
    <t>pathway</t>
  </si>
  <si>
    <t>field</t>
  </si>
  <si>
    <t>fpe</t>
  </si>
  <si>
    <t>field.element</t>
  </si>
  <si>
    <t>PLP.type</t>
  </si>
  <si>
    <t>is.context</t>
  </si>
  <si>
    <t>system</t>
  </si>
  <si>
    <t>multiple.rows</t>
  </si>
  <si>
    <t>no.exp</t>
  </si>
  <si>
    <t>pred.spec</t>
  </si>
  <si>
    <t>prey.spec</t>
  </si>
  <si>
    <t>prey.taxa</t>
  </si>
  <si>
    <t>res.spec</t>
  </si>
  <si>
    <t>phenotypic.response</t>
  </si>
  <si>
    <t>scale</t>
  </si>
  <si>
    <t>size</t>
  </si>
  <si>
    <t>size.org</t>
  </si>
  <si>
    <t>trophic.level</t>
  </si>
  <si>
    <t>no.context</t>
  </si>
  <si>
    <t>int</t>
  </si>
  <si>
    <t>context.type</t>
  </si>
  <si>
    <t>risk.treatment.type</t>
  </si>
  <si>
    <t>risk.level.no</t>
  </si>
  <si>
    <t>TPE</t>
  </si>
  <si>
    <t>CE.test</t>
  </si>
  <si>
    <t>CE.direct</t>
  </si>
  <si>
    <t>CE.levels</t>
  </si>
  <si>
    <t>CE.levels.no</t>
  </si>
  <si>
    <t>context1</t>
  </si>
  <si>
    <t>group1</t>
  </si>
  <si>
    <t>sure</t>
  </si>
  <si>
    <t>levels.1</t>
  </si>
  <si>
    <t>disc.cont.1</t>
  </si>
  <si>
    <t>context.level.1</t>
  </si>
  <si>
    <t>context.level.no.1</t>
  </si>
  <si>
    <t>context2</t>
  </si>
  <si>
    <t>group2</t>
  </si>
  <si>
    <t>levels.2</t>
  </si>
  <si>
    <t>disc.cont.2</t>
  </si>
  <si>
    <t>context.level.2</t>
  </si>
  <si>
    <t>context.level.no.2</t>
  </si>
  <si>
    <t>context3</t>
  </si>
  <si>
    <t>group3</t>
  </si>
  <si>
    <t>levels.3</t>
  </si>
  <si>
    <t>disc.cont.3</t>
  </si>
  <si>
    <t>context.level.3</t>
  </si>
  <si>
    <t>context.level.no.3</t>
  </si>
  <si>
    <t>context4</t>
  </si>
  <si>
    <t>group4</t>
  </si>
  <si>
    <t>levels.4</t>
  </si>
  <si>
    <t>disc.cont.4</t>
  </si>
  <si>
    <t>context.level.4</t>
  </si>
  <si>
    <t>context.level.no.4</t>
  </si>
  <si>
    <t>iso</t>
  </si>
  <si>
    <t>c.treatment</t>
  </si>
  <si>
    <t>response.type</t>
  </si>
  <si>
    <t>risk.neg.error.val</t>
  </si>
  <si>
    <t>risk.val</t>
  </si>
  <si>
    <t>risk.pos.error.val</t>
  </si>
  <si>
    <t>risk.error.type</t>
  </si>
  <si>
    <t>risk.n</t>
  </si>
  <si>
    <t>no.risk.neg.error.val</t>
  </si>
  <si>
    <t>no.risk.val</t>
  </si>
  <si>
    <t>no.risk.pos.error.val</t>
  </si>
  <si>
    <t>no.risk.error.type</t>
  </si>
  <si>
    <t>no.risk.n</t>
  </si>
  <si>
    <t>units</t>
  </si>
  <si>
    <t>figure</t>
  </si>
  <si>
    <t>notes</t>
  </si>
  <si>
    <t>2013Ex1-1371</t>
  </si>
  <si>
    <t>Large, SI; Smee, DL</t>
  </si>
  <si>
    <t>Y</t>
  </si>
  <si>
    <t>isolated</t>
  </si>
  <si>
    <t>this study has multiple interactive contexts, so in order to do this we will collapse down the other contexts to get just one value for control and warmed temperature</t>
  </si>
  <si>
    <t>first experiment: prey from different latitudes and habitats were exposed to different predator (rock crab, green crab) cues; this has 3 contexts but is not actually beyond phenotype (they just looked at behavior). Second experiment looked at shell morphology, which is beyond phenotype, so this is what will be scored out here. contexts are wave exposed/protected, northern and southern latitudes, native and invasive predators</t>
  </si>
  <si>
    <t>n</t>
  </si>
  <si>
    <t>NCE</t>
  </si>
  <si>
    <t>crab cues (verses no water borne cues) decreased movement (number of movements) and foraging of snails (number mussels consumed) and this decreased snail growth (change in mass, g)</t>
  </si>
  <si>
    <t>N</t>
  </si>
  <si>
    <t>m</t>
  </si>
  <si>
    <t>none</t>
  </si>
  <si>
    <t>green crab (Carcinus maenas), rock crab (cancer irroratus)</t>
  </si>
  <si>
    <t>dogwhelk (nucella lapilus)</t>
  </si>
  <si>
    <t>insect</t>
  </si>
  <si>
    <t>barnacle (Semibalanus balanoides)</t>
  </si>
  <si>
    <t>movement</t>
  </si>
  <si>
    <t>lab</t>
  </si>
  <si>
    <t>plastic aquarium (60.45 cm 9 39.63 cm 9 22.61 cm)</t>
  </si>
  <si>
    <t>crabs, snails, barnacles</t>
  </si>
  <si>
    <t>carnivore</t>
  </si>
  <si>
    <t>source habitat, source temperature, predator identity</t>
  </si>
  <si>
    <t>nonlethal</t>
  </si>
  <si>
    <t>na</t>
  </si>
  <si>
    <t>source habitat</t>
  </si>
  <si>
    <t>middleout</t>
  </si>
  <si>
    <t>y</t>
  </si>
  <si>
    <t>py</t>
  </si>
  <si>
    <t>discrete</t>
  </si>
  <si>
    <t>wave exposed or wave sheltered regions</t>
  </si>
  <si>
    <t>source temperature</t>
  </si>
  <si>
    <t>envtl</t>
  </si>
  <si>
    <t>all</t>
  </si>
  <si>
    <t>north or southern maine</t>
  </si>
  <si>
    <t>identity</t>
  </si>
  <si>
    <t>topdown</t>
  </si>
  <si>
    <t>pd</t>
  </si>
  <si>
    <t>green crab (carcinus maenas) or rock crab (cancer irroratus)</t>
  </si>
  <si>
    <t>ambient</t>
  </si>
  <si>
    <t>north, averaged across exposed/protected, rock/green crab</t>
  </si>
  <si>
    <t>change in mass</t>
  </si>
  <si>
    <t>se</t>
  </si>
  <si>
    <t>g</t>
  </si>
  <si>
    <t>warm</t>
  </si>
  <si>
    <t>south, averaged across exposed/protected, rock/green crab</t>
  </si>
  <si>
    <t>2009Ex1-2377</t>
  </si>
  <si>
    <t>Barton, BT; Schmitz, OJ</t>
  </si>
  <si>
    <t>NH</t>
  </si>
  <si>
    <t>temperature as well as predator identity + multuple are contexts here. Another study using a replacement design for the predator treatment</t>
  </si>
  <si>
    <t>M</t>
  </si>
  <si>
    <t>TMIE</t>
  </si>
  <si>
    <t>lethal sit-and-wait predatory spider altered habitat selection and foraging behavior (not quantified) of grasshoppers and indirectly increased biomass of grasses</t>
  </si>
  <si>
    <t>field enclosures that restricted predator and prey</t>
  </si>
  <si>
    <t>t</t>
  </si>
  <si>
    <t>Pisaurina mira and Phidippus rimator</t>
  </si>
  <si>
    <t>grasshopper (Melanoplus femurrubrum)</t>
  </si>
  <si>
    <t>grass and herbs</t>
  </si>
  <si>
    <t>foraging behavior</t>
  </si>
  <si>
    <t>1 m2 x 0.8 m tall cylindrical cages</t>
  </si>
  <si>
    <t>spiders, grasshoppers, and grasses</t>
  </si>
  <si>
    <t>herbivore</t>
  </si>
  <si>
    <t>temperature, predator identitu+multiple</t>
  </si>
  <si>
    <t>lethal</t>
  </si>
  <si>
    <t>natural</t>
  </si>
  <si>
    <t>lethal, absent</t>
  </si>
  <si>
    <t>identity+multiple</t>
  </si>
  <si>
    <t>sit and wait, hunting, or mix of both</t>
  </si>
  <si>
    <t>temperature</t>
  </si>
  <si>
    <t>warming or ambient conditions</t>
  </si>
  <si>
    <t>Temperature</t>
  </si>
  <si>
    <t>plant only</t>
  </si>
  <si>
    <t>Biomass</t>
  </si>
  <si>
    <t>NA</t>
  </si>
  <si>
    <t>SE</t>
  </si>
  <si>
    <t>g cage-1</t>
  </si>
  <si>
    <t>Figure 4</t>
  </si>
  <si>
    <t>control is unwarmed</t>
  </si>
  <si>
    <t>Grasshopper and plant</t>
  </si>
  <si>
    <t xml:space="preserve">Active spider species, grasshopper and plant </t>
  </si>
  <si>
    <t xml:space="preserve">Sit-and- Wait spider species, grasshopper and plant </t>
  </si>
  <si>
    <t>Both spider species, grasshopper and plant Observed</t>
  </si>
  <si>
    <t>Both spider species, grasshopper and plant Predicted</t>
  </si>
  <si>
    <t>this study has 2 contexts, with 3 predator identity+multiple treatments (active, sit and wait, and mix). So, going to collape these treatments down into just ambient and warmed treatment. Master file doesn't include information on which treatments are being looked at....going to have to look back at the paper to determine which is which</t>
  </si>
  <si>
    <t>ambient, averaged across 3 pred treatments</t>
  </si>
  <si>
    <t>warm, averaged across 3 pred treatments</t>
  </si>
  <si>
    <t>2011A18</t>
  </si>
  <si>
    <t>Bannerman, Jordan A.; Gillespie, David R.; Roitberg, Bernard D.</t>
  </si>
  <si>
    <t>study has combination of both 2 temperatures and 2 temperature frequencies (length of temp spikes). So, avg out spike times to just low and high temperature. Just need to look back at paper to get units</t>
  </si>
  <si>
    <t>laboratory experiments that first examined phenotypic response of aphids to wasp attacks (lethal predator), so MS's issue with studies that only have lethal predator treatments is relevant here. In a second experiment, they manipulated heat stress and predator treatment (lethal, simulated attack/non-lethal, and control).</t>
  </si>
  <si>
    <t>simulated attack of parasitoid wasp alters aphid behavior and decreased aphid abundance</t>
  </si>
  <si>
    <t>behavior</t>
  </si>
  <si>
    <t>small cages inside of temp chambers</t>
  </si>
  <si>
    <t>aphids, wasps</t>
  </si>
  <si>
    <t>cue</t>
  </si>
  <si>
    <t>cycles:32-16.5 C, 40-14.5 C; low and high frequency</t>
  </si>
  <si>
    <t>ambient, averaged across 2 durations</t>
  </si>
  <si>
    <t>density</t>
  </si>
  <si>
    <t>figures 2-5</t>
  </si>
  <si>
    <t>warm, averaged across 2 durations</t>
  </si>
  <si>
    <t>2015D4</t>
  </si>
  <si>
    <t>Janssens, Lizanne; Van Dievel, Marie; Stoks, Robby</t>
  </si>
  <si>
    <t>risk absent, risk present/ 2 temp treatments. Only response is growth rate / day</t>
  </si>
  <si>
    <t>dragon fly larvae cues induced higher C:N and N:P stoichometry (to increase morphological defnese) in dameslfly larvae, which decreased growth of dameslfy larvae (NCE) at high temperature</t>
  </si>
  <si>
    <t>fw</t>
  </si>
  <si>
    <t>Anax dragonfly</t>
  </si>
  <si>
    <t>Enallagma cyathigerum damselfly</t>
  </si>
  <si>
    <t>morphological defense</t>
  </si>
  <si>
    <t>100 mL glass vials</t>
  </si>
  <si>
    <t>larval dragonfly</t>
  </si>
  <si>
    <t>omnivore</t>
  </si>
  <si>
    <t xml:space="preserve">ambient and 4C warming </t>
  </si>
  <si>
    <t>20C</t>
  </si>
  <si>
    <t>growth rate</t>
  </si>
  <si>
    <t>growth rate / day</t>
  </si>
  <si>
    <t>1a</t>
  </si>
  <si>
    <t>24C</t>
  </si>
  <si>
    <t>2014D9</t>
  </si>
  <si>
    <t>Culler, Lauren E.; McPeek, Mark A.; Ayres, Matthew P.</t>
  </si>
  <si>
    <t>paper was reviewed by both NP and AD. Going to calculate both and compare answers. Answers are very very different - going to filter for just NP values</t>
  </si>
  <si>
    <t>figure 1 shows: mean relative growth rate, relative consumption rates, assimilation efficiencies, production efficiencies, and average daily metabolic rate. These are the results calculated from experiments. Then, models were fit to look at the response curves to the change in temperature and evaluate how these component physiological responses to risk (trait responses) and these results are presented in figure 2. So, data extracted from figure 1 (relative growth rate)</t>
  </si>
  <si>
    <t>Visual and chemcical cues of sunfish predator reduce growth rate of damselfly nymphs. DK edit: fish visual and chemical cue (versus no cues) did not alter foraging rate (mg/d) of damselfy nymph but decresesed damselfy nymph growth rate (mg/d). SDP:  trait response is related to metabolic costs, assimilation effeciencies/physiology</t>
  </si>
  <si>
    <t>Lepomis sunfish</t>
  </si>
  <si>
    <t>damselfly nymphs (Enallagma vesperum</t>
  </si>
  <si>
    <t>daphnia</t>
  </si>
  <si>
    <t>foraging rate</t>
  </si>
  <si>
    <t>small vials</t>
  </si>
  <si>
    <t>damselfly larvae</t>
  </si>
  <si>
    <t>16, 18, 22, 26, and 30 °C</t>
  </si>
  <si>
    <t>16C</t>
  </si>
  <si>
    <t>relative growth rate</t>
  </si>
  <si>
    <t>&gt;10</t>
  </si>
  <si>
    <t>mg/day</t>
  </si>
  <si>
    <t>avg of 18, 22, 26, 30</t>
  </si>
  <si>
    <t>&gt;40</t>
  </si>
  <si>
    <t>AD</t>
  </si>
  <si>
    <t>16 degrees C</t>
  </si>
  <si>
    <t>mg mg^0.33 day ^-1</t>
  </si>
  <si>
    <t>average of 18, 22, 26, and 30 C</t>
  </si>
  <si>
    <t>2016Ex1-2402</t>
  </si>
  <si>
    <t>Schmitz, OJ; Rosenblatt, AE; Smylie, M</t>
  </si>
  <si>
    <t>multiple temperature treatments; all warmed temperatures are condensed into one warmed treatments. This temp also has multiple response variables, but we are going to also average these together</t>
  </si>
  <si>
    <t>context is temperature. Grasshoppers were offered choice of synthetic diet, but this is not a context because grasshoppers were not offered different choices, they all got the same</t>
  </si>
  <si>
    <t>visual cues of predatory spider altered three traits of grasshoppers (consumed more carbohydrates, reduced assimiliation efficiency, and increased metabolic rate) and decreased  grasshopper survival (%mortality/week) but not growth (g). (sdp other reviewer says "but not the effiiciency of ingested or digested food (ECI and ECD),")</t>
  </si>
  <si>
    <t>Pisaurina mira hunting spiders</t>
  </si>
  <si>
    <t>Melanoplus femurrubrum grasshoppers</t>
  </si>
  <si>
    <t>offered choice of synthetic diet</t>
  </si>
  <si>
    <t>metabolism and food choice</t>
  </si>
  <si>
    <t>24 x 16 x 16 cm terrarium</t>
  </si>
  <si>
    <t>spiders and grasshoppers</t>
  </si>
  <si>
    <t>15, 25, 35 deg C</t>
  </si>
  <si>
    <t>temp</t>
  </si>
  <si>
    <t>15°C</t>
  </si>
  <si>
    <t>mortality</t>
  </si>
  <si>
    <t>Mortality rate (individuals * week^-1)</t>
  </si>
  <si>
    <t>Fig 4</t>
  </si>
  <si>
    <t>25°C</t>
  </si>
  <si>
    <t>Mean Body Mass (g)</t>
  </si>
  <si>
    <t>Fig 5</t>
  </si>
  <si>
    <t>35°C</t>
  </si>
  <si>
    <t>mass</t>
  </si>
  <si>
    <t>2017Ex1-1665</t>
  </si>
  <si>
    <t>Sentis, A; Hemptinne, JL; Brodeur, J</t>
  </si>
  <si>
    <t>heat shock regime averaged here - ignore second respose</t>
  </si>
  <si>
    <t>heat shock regime (5 different) is context here</t>
  </si>
  <si>
    <t>lethal ladybeetle predator decreased proportion of aphids at apex of plant (trait response) and this decreased aphid growth (mass)</t>
  </si>
  <si>
    <t>Coleomegilla maculata leng</t>
  </si>
  <si>
    <t>Myzus persicae</t>
  </si>
  <si>
    <t>Capsicum annuum</t>
  </si>
  <si>
    <t>habitat use</t>
  </si>
  <si>
    <t>20 cm diameter, 45 cm height cylinders</t>
  </si>
  <si>
    <t>aphids, ladybugs, and plants</t>
  </si>
  <si>
    <t xml:space="preserve">heat shock regime: : (i) a constant temperature of 23°C, (ii) one heat wave of 30°C twice a week (with 2 days at constant 23°C between the heat shocks), (iii) one heat wave of 30°C per day, (iv) one heat wave of 40°C twice a week (with 2 days at constant 23°C between the heat shocks), and (v) one heat wave of 40°C per day </t>
  </si>
  <si>
    <t>30 C twice weekly</t>
  </si>
  <si>
    <t>body mass (g) for growth</t>
  </si>
  <si>
    <t>grams</t>
  </si>
  <si>
    <t>30 C - averaged between daily and twice weekly shocks</t>
  </si>
  <si>
    <t>30 C daily</t>
  </si>
  <si>
    <t>40 C -  averaged between daily and twice weekly shocks</t>
  </si>
  <si>
    <t>2017Ex1-1918</t>
  </si>
  <si>
    <t>Svensson, F; Karlsson, E; Gardmark, A; Olsson, J; Adill, A; Zie, J; Snoeijs, P; Eklof, JS</t>
  </si>
  <si>
    <t>two heated sites, two unheated sites. Averaged between for ambient and warming calues</t>
  </si>
  <si>
    <t>context is temperature; looked at a naturally heated site much warmer than surrounding sites. the exclosure represents risk-free treatment and control represents the risky treatment. There will be a temperature level for each site, so there should be four rows. I'll get the temperature average for each site from Figure 5, while risk/no risk data come from Figure 4</t>
  </si>
  <si>
    <t>Eurasian perch predatory fish (lethal) consumed gammarid amphipods and induced them to seek refuge in crevices (this is inferred, not quantified directly) and indirectly increaesed algal biomass (g/DW)</t>
  </si>
  <si>
    <t xml:space="preserve">The observational component of this study only addresses meso-predator fish abundance (and stomach contents) as well as insectivorous fish abundance among sites. Meanwhile, the field experiment is the thing that can be related to a TMII. So this is a risk study with a field component. </t>
  </si>
  <si>
    <t>Perca fluviatilis</t>
  </si>
  <si>
    <t>invert grazer assemblage</t>
  </si>
  <si>
    <t>macroalgae</t>
  </si>
  <si>
    <t>1.2x0.45x0.55 m</t>
  </si>
  <si>
    <t>inverts and algae</t>
  </si>
  <si>
    <t>one site with a 10 C warming regime, one site ambient</t>
  </si>
  <si>
    <t>algal biomass</t>
  </si>
  <si>
    <t>g DW</t>
  </si>
  <si>
    <t>black bar = no risk, gray bar = risk. Calculated average x-value (temp) from figure 5. Bottom error bars not shown</t>
  </si>
  <si>
    <t>avg of 18 and 18</t>
  </si>
  <si>
    <t>avg of 21 and 22</t>
  </si>
  <si>
    <t>McKie, Brendan G.; Pearson, Richard G.</t>
  </si>
  <si>
    <t>getting risk data from author</t>
  </si>
  <si>
    <t xml:space="preserve">laboratory microcosm study across temp as a context using two different predators and two different prey species </t>
  </si>
  <si>
    <t>polycentripod larvae (cue vs. absent) caused e. martinis to have longer larval duration (time) and reduced reproductive output (reduced oocytes). Chironomidae predatory larvae (cue vs. absent) reduced adult survival (days) and size (wing length mm) of diptera larvae</t>
  </si>
  <si>
    <t>shortened larval duration and reduced reproductive output</t>
  </si>
  <si>
    <t>60x20x16 cm</t>
  </si>
  <si>
    <t>insect larvae</t>
  </si>
  <si>
    <t xml:space="preserve">temperature </t>
  </si>
  <si>
    <t>12, 18, 26 C</t>
  </si>
  <si>
    <t>2014Ex1-1188</t>
  </si>
  <si>
    <t>Miller, LP; Matassa, CM; Trussell, GC</t>
  </si>
  <si>
    <t>one context, two treatments (ambient/warmed; 2 rows); two responses in growth efficiency and mass (4 rows). Temperature has 2 treatments: ambient/warming. Should we also quantify the exact temps using the profiles in figure 1? No - don't quantify from temp profiles, see if mean values are reported in paper, in supplementary material, or ask authors</t>
  </si>
  <si>
    <t>temperature is context, both water and air. Ambient and warmed treatments</t>
  </si>
  <si>
    <t>predatory crab cue (vs. control) and temp treatment decreased affected snail consumption of mussels (no eaten per snail) and this decreases snaill growth (tissue grams and growth efficiency)</t>
  </si>
  <si>
    <t>green crab Carcinus maenas</t>
  </si>
  <si>
    <t>dogwhelk Nucella lapilus</t>
  </si>
  <si>
    <t>mussels</t>
  </si>
  <si>
    <t>feeding rate</t>
  </si>
  <si>
    <t>plastic tubs, 2.6 l volume</t>
  </si>
  <si>
    <t>crabs, snails, mussels</t>
  </si>
  <si>
    <t>ambient, warming regime</t>
  </si>
  <si>
    <t>tissue growth</t>
  </si>
  <si>
    <t>mg</t>
  </si>
  <si>
    <t>2b</t>
  </si>
  <si>
    <t>warming</t>
  </si>
  <si>
    <t>growth efficiency</t>
  </si>
  <si>
    <t>2c</t>
  </si>
  <si>
    <t>no units- mean nucella tissue production (J) / per capita energy acquired (J)</t>
  </si>
  <si>
    <t>2016D19-2nd</t>
  </si>
  <si>
    <t>Maran, A. M.; Pelini, S. L.</t>
  </si>
  <si>
    <t>is this beyond risk? Which is the response?</t>
  </si>
  <si>
    <t>experiment conducted in harvard forest, but with buckets that were filled with sand, surrounding soil and stocked with three different invertebrate soil prey (milipedes, earthworms, springtails). Then added two lethal wolf spiders to half of the buckets. They were mostly focused on CO2 flux in resposne to how microbial community was influenced by invertebrate prey. They examined microbial biomass and earthworm burrowing depth at end of experiment. DK believes the latter could be considered a phenotypic response and will score this as risk, but not beyond phenotype.</t>
  </si>
  <si>
    <t xml:space="preserve">spiders increase burrowing depth of earthworms but do not indirectly change microbial biomass. But carbon dioxide flux (due to microbes) increases </t>
  </si>
  <si>
    <t>wolf spider</t>
  </si>
  <si>
    <t>invertebrates</t>
  </si>
  <si>
    <t>microbe</t>
  </si>
  <si>
    <t>unquantified</t>
  </si>
  <si>
    <t>18.9 L plastic buckets</t>
  </si>
  <si>
    <t>wolf spider, burrowing invertebrates, and microbes</t>
  </si>
  <si>
    <t>1.5 to 5.5 C warming, at 0.5 increments</t>
  </si>
  <si>
    <t>2015A60</t>
  </si>
  <si>
    <t>Matassa, Catherine M.; Trussell, Geoffrey C.</t>
  </si>
  <si>
    <t>temperature is context. Will need to look in the paper, supplementary materials, or email authors for temp means. Tissue produced and growth efficiency are NCE so 6 rows</t>
  </si>
  <si>
    <t>temperature is context</t>
  </si>
  <si>
    <t>green crab cues reduced foraging behavior and growth of prey snails</t>
  </si>
  <si>
    <t>collected snails from northern (cooler site) and southern (warmer site) Gulf of Maine; transplanted them with and without crab predator cues in small plastic boxes into a rocky shore (outdoors, with manipulated risk). So they get points for conducting this across a large/natural environmental gradient. But the prey were enclosed artificially outdoors, so not a FIELD PATTERN EXAMINED</t>
  </si>
  <si>
    <t>green crab (Carcinus maenas)</t>
  </si>
  <si>
    <t>Atlantic dogwhelks (Nucella lapillus</t>
  </si>
  <si>
    <t>blue mussels Mytilus edulis)</t>
  </si>
  <si>
    <t>foraging</t>
  </si>
  <si>
    <t>larger boxes holding predators, smaller boxes holding prey</t>
  </si>
  <si>
    <t>snails and crabs</t>
  </si>
  <si>
    <t>southern site (warmest), central (medium), furthest north (coldest)</t>
  </si>
  <si>
    <t>med</t>
  </si>
  <si>
    <t>2d</t>
  </si>
  <si>
    <t>unitless measure of efficiency</t>
  </si>
  <si>
    <t>tissue produced</t>
  </si>
  <si>
    <t>J/nucella consumed</t>
  </si>
  <si>
    <t>low</t>
  </si>
  <si>
    <t>average of medium and high</t>
  </si>
  <si>
    <t xml:space="preserve">average of med and high </t>
  </si>
  <si>
    <t>num</t>
  </si>
  <si>
    <t>specific.response</t>
  </si>
  <si>
    <t>32 °C peaks bi-weekly</t>
  </si>
  <si>
    <t>Figure 2</t>
  </si>
  <si>
    <t>40 °C peaks bi-weekly</t>
  </si>
  <si>
    <t>Figure 3</t>
  </si>
  <si>
    <t>32 °C peaks daily</t>
  </si>
  <si>
    <t>40 °C peaks daily</t>
  </si>
  <si>
    <t>Figure 5</t>
  </si>
  <si>
    <t>NP</t>
  </si>
  <si>
    <t>16C this is the only context</t>
  </si>
  <si>
    <t>growth</t>
  </si>
  <si>
    <t>18C this is the only context</t>
  </si>
  <si>
    <t>22C this is the only context</t>
  </si>
  <si>
    <t>26C this is the only context</t>
  </si>
  <si>
    <t>30C this is the only context</t>
  </si>
  <si>
    <t>JP</t>
  </si>
  <si>
    <t>15°C this is the only context</t>
  </si>
  <si>
    <t xml:space="preserve"> mortality</t>
  </si>
  <si>
    <t>25°C this is the only context</t>
  </si>
  <si>
    <t>35°C this is the only context</t>
  </si>
  <si>
    <t>2017D1</t>
  </si>
  <si>
    <t>Vesely, Lukas; Boukal, David S.; Buric, Milos; et al.</t>
  </si>
  <si>
    <t> </t>
  </si>
  <si>
    <t>Data not collected from figure, instead researchers were contacted to get full data. The no risk is labeled as control, sd is recorded in the notes section</t>
  </si>
  <si>
    <t>predators: two size classes of crayfish and one size class of dragonfly larvae as predators. Carp fry as prey. Temp treatments: 16, 20 C. three prey densities: 70, 110, 220 ind/L. three predator densities/diversities: single predator (3 treatments); pairs of two predators with the same size or species (3 treatments); and two predators differing in size or species. Only used lethal predators but could differentiate between predated organisms and ones that died of natural cuases (stress?)</t>
  </si>
  <si>
    <t>predators (lethal vs. absent) increases mortality of fish fry (inferred to be stress-induced)</t>
  </si>
  <si>
    <t>fish</t>
  </si>
  <si>
    <t>163 x 118 x 62 mm plastic boxes</t>
  </si>
  <si>
    <t>crayfish, dragonfly larvae, carp fry</t>
  </si>
  <si>
    <t xml:space="preserve">temperature, prey density, predator density, predator diversity </t>
  </si>
  <si>
    <t>16, 20 C</t>
  </si>
  <si>
    <t>70, 110, 220 ind/L</t>
  </si>
  <si>
    <t>one predator, two predators</t>
  </si>
  <si>
    <t>diversity</t>
  </si>
  <si>
    <t>one individual, two individuals of the same species, two individuals of different species</t>
  </si>
  <si>
    <t>16°C, 70, BC</t>
  </si>
  <si>
    <t>Non-Consumptive Mortality Strength (dead uneaten prey density/ initial prey density)</t>
  </si>
  <si>
    <t>16°C, 70, D</t>
  </si>
  <si>
    <t>16°C, 70, SC</t>
  </si>
  <si>
    <t>16°C, 70, BC_BC</t>
  </si>
  <si>
    <t>16°C, 70, D_D</t>
  </si>
  <si>
    <t>16°C, 70, SC_SC</t>
  </si>
  <si>
    <t>16°C, 70, D_BC</t>
  </si>
  <si>
    <t>16°C, 70, D_SC</t>
  </si>
  <si>
    <t>16°C, 70, SC_BC</t>
  </si>
  <si>
    <t>16°C, 110, BC</t>
  </si>
  <si>
    <t>16°C, 110, D</t>
  </si>
  <si>
    <t>16°C, 110, SC</t>
  </si>
  <si>
    <t>sd</t>
  </si>
  <si>
    <t>16°C, 110, BC_BC</t>
  </si>
  <si>
    <t>16°C, 110, D_D</t>
  </si>
  <si>
    <t>16°C, 110, SC_SC</t>
  </si>
  <si>
    <t>16°C, 110, D_BC</t>
  </si>
  <si>
    <t>16°C, 110, D_SC</t>
  </si>
  <si>
    <t>16°C, 110, SC_BC</t>
  </si>
  <si>
    <t>16°C, 220, BC</t>
  </si>
  <si>
    <t>16°C, 220, D</t>
  </si>
  <si>
    <t>16°C, 220, SC</t>
  </si>
  <si>
    <t>16°C, 220, BC_BC</t>
  </si>
  <si>
    <t>16°C, 220, D_D</t>
  </si>
  <si>
    <t>16°C, 220, SC_SC</t>
  </si>
  <si>
    <t>16°C, 220, D_BC</t>
  </si>
  <si>
    <t>16°C, 220, D_SC</t>
  </si>
  <si>
    <t>16°C, 220, SC_BC</t>
  </si>
  <si>
    <t>20°C, 70, BC</t>
  </si>
  <si>
    <t>20°C, 70, D</t>
  </si>
  <si>
    <t>20°C, 70, SC</t>
  </si>
  <si>
    <t>20°C, 70, BC_BC</t>
  </si>
  <si>
    <t>20°C, 70, D_D</t>
  </si>
  <si>
    <t>20°C, 70, SC_SC</t>
  </si>
  <si>
    <t>20°C, 70, D_BC</t>
  </si>
  <si>
    <t>20°C, 70, D_SC</t>
  </si>
  <si>
    <t>20°C, 70, SC_BC</t>
  </si>
  <si>
    <t>20°C, 110, BC</t>
  </si>
  <si>
    <t>20°C, 110, D</t>
  </si>
  <si>
    <t>20°C, 110, SC</t>
  </si>
  <si>
    <t>20°C, 110, BC_BC</t>
  </si>
  <si>
    <t>20°C, 110, D_D</t>
  </si>
  <si>
    <t>20°C, 110, SC_SC</t>
  </si>
  <si>
    <t>20°C, 110, D_BC</t>
  </si>
  <si>
    <t>20°C, 110, D_SC</t>
  </si>
  <si>
    <t>20°C, 110, SC_BC</t>
  </si>
  <si>
    <t>20°C, 220, BC</t>
  </si>
  <si>
    <t>20°C, 220, D</t>
  </si>
  <si>
    <t>20°C, 220, SC</t>
  </si>
  <si>
    <t>20°C, 220, BC_BC</t>
  </si>
  <si>
    <t>20°C, 220, D_D</t>
  </si>
  <si>
    <t>20°C, 220, SC_SC</t>
  </si>
  <si>
    <t>20°C, 220, D_BC</t>
  </si>
  <si>
    <t>20°C, 220, D_SC</t>
  </si>
  <si>
    <t>20°C, 220, SC_BC</t>
  </si>
  <si>
    <t>2017D20</t>
  </si>
  <si>
    <t>Beleznai, Orsolya; Dreyer, Jamin; Toth, Zoltan; et al.</t>
  </si>
  <si>
    <t>cool study, but it was conducted in lab. Manipulated different predatory spiders to see effect on cucumber beetle and then on cucumber plant, and to see if result is function of temperature (with I mplcations for global warming). Althought the mortality data in Figure 2A justifies a NCE scoring for the beetles (prey), this experiment only lasted an hour so it's impossible for stress of predator to have killed the prey (so no NCE score).  This study has lethal treatment only ISSUE, so results are not robust. Figure 2D shows percent plant damage , which illustrates a TMIE</t>
  </si>
  <si>
    <t>in warm temperatures, spider presence altered habitat choice and feeding activity of cucumber beetles and this indirectly decreased percent loss of cucumber to herbivory</t>
  </si>
  <si>
    <t>feeding activity</t>
  </si>
  <si>
    <t>10.5 cm diameter, 30 cm high</t>
  </si>
  <si>
    <t>spiders and cucumber beetle</t>
  </si>
  <si>
    <t>predator identity, temperature</t>
  </si>
  <si>
    <t>present, absent</t>
  </si>
  <si>
    <t>2 spider species</t>
  </si>
  <si>
    <t>38, 22 C</t>
  </si>
  <si>
    <t>38°C, Lycosid</t>
  </si>
  <si>
    <t>herbivory</t>
  </si>
  <si>
    <t>Plant Damage (%)</t>
  </si>
  <si>
    <t>Fig 2d</t>
  </si>
  <si>
    <t>No risk was a control</t>
  </si>
  <si>
    <t>38°C, Pisaurid</t>
  </si>
  <si>
    <t>22°C, Lycosid</t>
  </si>
  <si>
    <t>22°C, Pisaurid</t>
  </si>
  <si>
    <t>2017D43</t>
  </si>
  <si>
    <t>Lord, Joshua P.; Barry, James P.; Graves, Dale</t>
  </si>
  <si>
    <t xml:space="preserve">It is unclear if abolone were tested caged or uncaged </t>
  </si>
  <si>
    <t>Lab experiment that looked at effects of temperature and CO2 on the effects of crabs (lethal and non-lethal) on multiple prey feeding rates and growth (NCE). The feeding rate results were also in terms of resources consumed so this could have been a TMII but it's not how the authors intended for those data to be interpreted</t>
  </si>
  <si>
    <t>crab cue altered feeding rate of snails and decreased growth of these prey. crab cue altered feeding rate of abalone and decreased growth of these prey</t>
  </si>
  <si>
    <t>large enough for 10 cm diameter cage and 2.5 x 5 cm cage</t>
  </si>
  <si>
    <t>shore crab, whelk</t>
  </si>
  <si>
    <t>consumer</t>
  </si>
  <si>
    <t>CO2, temperature</t>
  </si>
  <si>
    <t>elevated, control</t>
  </si>
  <si>
    <t>CO2</t>
  </si>
  <si>
    <t>ambient, Hi CO2, whelk, caged</t>
  </si>
  <si>
    <t>Whelk Tissue Growth (g)</t>
  </si>
  <si>
    <t>Fig 3f</t>
  </si>
  <si>
    <t>ambient, Hi CO2, whelk, uncaged</t>
  </si>
  <si>
    <t>Fig 3e</t>
  </si>
  <si>
    <t>ambient, Hi CO2, abalone</t>
  </si>
  <si>
    <t>Tissue Growth (g)</t>
  </si>
  <si>
    <t>Fig 5c</t>
  </si>
  <si>
    <t>ambient, control CO2, whelk, caged</t>
  </si>
  <si>
    <t>ambient, control CO2, whelk, uncaged</t>
  </si>
  <si>
    <t>ambient, control CO2, abalone</t>
  </si>
  <si>
    <t>+2°C, Hi CO2, whelk, caged</t>
  </si>
  <si>
    <t>+2°C, Hi CO2, whelk, uncaged</t>
  </si>
  <si>
    <t>+2°C, Hi CO2, abalone</t>
  </si>
  <si>
    <t>+2°C, control CO2, whelk, caged</t>
  </si>
  <si>
    <t>+2°C, control CO2, whelk, uncaged</t>
  </si>
  <si>
    <t>+2°C, control CO2, abalone</t>
  </si>
  <si>
    <t>dk</t>
  </si>
  <si>
    <t>23 C constant</t>
  </si>
  <si>
    <t>40 C twice weekly</t>
  </si>
  <si>
    <t>40 C daily</t>
  </si>
  <si>
    <t>the exclosure represents risk-free treatment and control represents the risky treatment. There will be a temperature level for each site, so there should be four rows. I'll get the temperature average for each site from Figure 5, while risk/no risk data come from Figure 4</t>
  </si>
  <si>
    <t>context is temperature; looked at a naturally heated site much warmer than surrounding sites</t>
  </si>
  <si>
    <t>Active spider species, grasshopper and grass</t>
  </si>
  <si>
    <t>Active spider species, grasshopper and herb</t>
  </si>
  <si>
    <t>Sit-and- Wait spider species, grasshopper and grass</t>
  </si>
  <si>
    <t>Sit-and- Wait spider species, grasshopper and herb</t>
  </si>
  <si>
    <t>Both spider species, grasshopper and grass</t>
  </si>
  <si>
    <t>Both spider species, grasshopper and herb</t>
  </si>
  <si>
    <t>NEP</t>
  </si>
  <si>
    <t>high (18.1)</t>
  </si>
  <si>
    <t>med (15.6)</t>
  </si>
  <si>
    <t>low (10.1)</t>
  </si>
  <si>
    <t>2016D7</t>
  </si>
  <si>
    <t>Zhang</t>
  </si>
  <si>
    <t>pre-fish/fish period refers to the age of the sediment the daphnia were taken from. The pre-fish period is sediment from before the pond was stocked with fish. The fish period is sediment from after the pond was heavily stocked with fish.</t>
  </si>
  <si>
    <t>daphnia in lab</t>
  </si>
  <si>
    <t>daphnia scared by predators have altered body composition (C:N) and fecundity. Flag. See notes.</t>
  </si>
  <si>
    <t>fish (Lepomis gibbosus)</t>
  </si>
  <si>
    <t>body composition</t>
  </si>
  <si>
    <t>100 ml jars</t>
  </si>
  <si>
    <t>temperature, life history</t>
  </si>
  <si>
    <t>cue, absent</t>
  </si>
  <si>
    <t>20 and 24 C</t>
  </si>
  <si>
    <t>20°C, pre-fish period</t>
  </si>
  <si>
    <t>reproduction</t>
  </si>
  <si>
    <t>fecundity</t>
  </si>
  <si>
    <t>Fig 1 b</t>
  </si>
  <si>
    <t>pre-fish period</t>
  </si>
  <si>
    <t>pre-fish/fish period refers to the age of the sediment the daphnia were taken from. The pre-fish period is sediment from before the pond was stocked with fish. The fish period is sediment from after the pond was heavily stocked with fish. Recheck replicates?</t>
  </si>
  <si>
    <t>20°C, fish period</t>
  </si>
  <si>
    <t xml:space="preserve">fish period </t>
  </si>
  <si>
    <t>24°C, pre-fish period</t>
  </si>
  <si>
    <t>24°C, fish period</t>
  </si>
  <si>
    <t>intrinsic growth rate</t>
  </si>
  <si>
    <t>intrinsic growth rate (day^-1)</t>
  </si>
  <si>
    <t>Fig 1 c</t>
  </si>
  <si>
    <t>pre-fish period, intrinsic growth rate calculated using the Euler equation</t>
  </si>
  <si>
    <t>fish period, intrinsic growth rate calculated using the Euler equation</t>
  </si>
  <si>
    <t>Correa-Araneda, Francisco; Basaguren, Ana; Abdala-Diaz, Roberto T.; et al.</t>
  </si>
  <si>
    <t>DK</t>
  </si>
  <si>
    <t>I think this paper is going to be better processed with means (se) for all possible combinations of temperature, resource identity, and predator cue. Request from authoer. (data has been obtained, stored in onedrive). You'll then have 4 rows for no risk as well as four different rows for risk treatment. This will be a 2-context study. But with data processng, you can also average it down to just predator cue as function of single context. Right? I think you want growth and growth efficiency data. Do you want stoichiometric data? Lavval size data?</t>
  </si>
  <si>
    <t>lab experiment that examined effect of resource quality and predator cue on protective case construction by cadis fly larvae (detritivore). They examined growth (Fig. 3) as response as well as traits in the protective case (phenotype). Growth response warrants a NCE score</t>
  </si>
  <si>
    <t>fish cue affected growth (proportional) of cadis fly larvae</t>
  </si>
  <si>
    <t>350 ml microcosms</t>
  </si>
  <si>
    <t>caddisfly and leaf litter</t>
  </si>
  <si>
    <t>detritivore</t>
  </si>
  <si>
    <t>temperature and resource quality</t>
  </si>
  <si>
    <t>10, 15 C</t>
  </si>
  <si>
    <t>resource quality</t>
  </si>
  <si>
    <t>bottomup</t>
  </si>
  <si>
    <t>r</t>
  </si>
  <si>
    <t xml:space="preserve">2 different leaf species </t>
  </si>
  <si>
    <t>10 C, Alnus glutinosa</t>
  </si>
  <si>
    <t>growth (proportonal)</t>
  </si>
  <si>
    <t>2012Ex1-69</t>
  </si>
  <si>
    <t>Stoks, R; Swillen, I; De Block, M</t>
  </si>
  <si>
    <t>Figure 1 is the one</t>
  </si>
  <si>
    <t>temperature and source population is context (2 source populations, 2 temperature treatments)</t>
  </si>
  <si>
    <t xml:space="preserve">dragonfly larvae (cue vs absent) led to trait change (they call it efficiency) which led to increased growth rate, a trait change to avoid being eaten. This is not an NCE.  But they also looked for costs of the trait changes to a predator, and did not find – thus an NCE paper though not found. </t>
  </si>
  <si>
    <t>damselfly Ischnura elegans.</t>
  </si>
  <si>
    <t>efficiency</t>
  </si>
  <si>
    <t>180 ml plastic cups</t>
  </si>
  <si>
    <t>insectivore</t>
  </si>
  <si>
    <t>source population, temperature</t>
  </si>
  <si>
    <t>source population</t>
  </si>
  <si>
    <t>parental organisms from south france or south of sweden</t>
  </si>
  <si>
    <t>14 or 18 C</t>
  </si>
  <si>
    <t xml:space="preserve">24°C </t>
  </si>
  <si>
    <t>d -1</t>
  </si>
  <si>
    <t>Figure 2a</t>
  </si>
  <si>
    <t>18°C</t>
  </si>
  <si>
    <t>10 C, Eucalyptus globulus</t>
  </si>
  <si>
    <t>15 C, Alnus glutinosa</t>
  </si>
  <si>
    <t>15 C, Eucalyptus globulus</t>
  </si>
  <si>
    <t>addtl3</t>
  </si>
  <si>
    <t>Morton, Scott G; Schmidt, Travis S; Poff, Leroy N</t>
  </si>
  <si>
    <t>done</t>
  </si>
  <si>
    <t>tmie, 3 temps, lethal, nonlethal, and no predator</t>
  </si>
  <si>
    <t>stonefly predators (lethal vs. nonlethal vs. absent) impacted mayfly foraging (ug/cm2) which had no impact on algal biomass (ug/cm2)</t>
  </si>
  <si>
    <t>stonefly</t>
  </si>
  <si>
    <t>mayfly</t>
  </si>
  <si>
    <t>invert</t>
  </si>
  <si>
    <t>algae</t>
  </si>
  <si>
    <t>grazing</t>
  </si>
  <si>
    <t>ambient, +2C, +4C</t>
  </si>
  <si>
    <t>6C, lethal predator</t>
  </si>
  <si>
    <t>algae biomass</t>
  </si>
  <si>
    <t>μg/cm2</t>
  </si>
  <si>
    <t>6C, nonlethal predator</t>
  </si>
  <si>
    <t>8C, lethal predator</t>
  </si>
  <si>
    <t>8C, nonlethal predator</t>
  </si>
  <si>
    <t>10C, nonlethal predator</t>
  </si>
  <si>
    <t>addtl4</t>
  </si>
  <si>
    <t>Manriquez, Patricio H.; Jara, Maria Elisa; Gonzalez, Claudio P.; Jeno, Katherine; Domenici, Paolo; Watson, Sue-Ann; Duarte, Cristian; Brokordt, Katherina</t>
  </si>
  <si>
    <t xml:space="preserve">impact of ocean acidification, crab predator, and warming on gastropod prey. 2 contexts (OA and temp). ambient and +5, ambient pH and future pH. feeding rate, growth, </t>
  </si>
  <si>
    <t xml:space="preserve">crab predators (nonlethal vs. absent) impacted gastropod foraging (feeding rate, mussels/week) and growth (SGR, percentage of change per day) </t>
  </si>
  <si>
    <t>crab</t>
  </si>
  <si>
    <t>gastropod</t>
  </si>
  <si>
    <t>feeding</t>
  </si>
  <si>
    <t>temperature, pH</t>
  </si>
  <si>
    <t>ambient, +5C</t>
  </si>
  <si>
    <t>pH</t>
  </si>
  <si>
    <t>ambient pH (500 uatm, 1400 uatm)</t>
  </si>
  <si>
    <t>15C, 500 μatm pCO2</t>
  </si>
  <si>
    <t>Growth</t>
  </si>
  <si>
    <t>Specific growth rate (Percent per day)</t>
  </si>
  <si>
    <t xml:space="preserve">0.13742328187080252
</t>
  </si>
  <si>
    <t>CI</t>
  </si>
  <si>
    <t xml:space="preserve">	0.5018404862030819</t>
  </si>
  <si>
    <t>%/day</t>
  </si>
  <si>
    <t>Figure 1a</t>
  </si>
  <si>
    <t>15C, 1400 μatm pCO2</t>
  </si>
  <si>
    <t xml:space="preserve">	0.020858859236962256</t>
  </si>
  <si>
    <t xml:space="preserve">	0.3055214586092455</t>
  </si>
  <si>
    <t>20C, 500 μatm pCO2</t>
  </si>
  <si>
    <t xml:space="preserve">	0.44539878449229536</t>
  </si>
  <si>
    <t>20C, 1400 μatm pCO2</t>
  </si>
  <si>
    <t xml:space="preserve">	0.08834352497234339</t>
  </si>
  <si>
    <t xml:space="preserve">	0.22208588124308584</t>
  </si>
  <si>
    <t>addtl5</t>
  </si>
  <si>
    <t>Manriquez, Patricio H.; Jara, Maria Elisa; Gonzalez, Claudio P.; Seguel, Mylene E.; Domenici, Paolo; Watson, Sue-Ann; Anguita, Cristobal; Duarte, Cristian; Brokordt, Katherina</t>
  </si>
  <si>
    <t>assessed the direct effects of ocean warming (OW) and acidification (OA) along with non-consumptive effects (NCEs) of a predatory crab and/or a predatory snail on the habitat-forming mussel Perumytilus purpuratus. contexts are temp, acidification, and predator ID+ multiple</t>
  </si>
  <si>
    <t>crab and snail predators (nonlethal vs. absent) impacted mussel metabolic rate (mg O2g/hr) and clearance rate (mL/hr) which led to no change in growth (SGR, percentage of change per day)</t>
  </si>
  <si>
    <t>crab, snail</t>
  </si>
  <si>
    <t>mussel</t>
  </si>
  <si>
    <t>feeding, metabolic rate</t>
  </si>
  <si>
    <t>temperature, pH, predator id+multiple</t>
  </si>
  <si>
    <t>predator ID+multiple</t>
  </si>
  <si>
    <t>pr</t>
  </si>
  <si>
    <t>crab predator, snail predator, both</t>
  </si>
  <si>
    <t>15C, 500 μatm pCO2, two predators</t>
  </si>
  <si>
    <t>Figure 4a</t>
  </si>
  <si>
    <t>15C, 500 μatm pCO2, predatory crab</t>
  </si>
  <si>
    <t>15C, 500 μatm pCO2, predatory snail</t>
  </si>
  <si>
    <t>15C, 1400 μatm pCO2, two predators</t>
  </si>
  <si>
    <t>15C, 1400 μatm pCO2, predatory crab</t>
  </si>
  <si>
    <t>15C, 1400 μatm pCO2, predatory snail</t>
  </si>
  <si>
    <t>20C, 500 μatm pCO2, two predators</t>
  </si>
  <si>
    <t>20C, 500 μatm pCO2, predatory crab</t>
  </si>
  <si>
    <t>20C, 500 μatm pCO2, predatory snail</t>
  </si>
  <si>
    <t>20C, 1400 μatm pCO2, two predators</t>
  </si>
  <si>
    <t>20C, 1400 μatm pCO2, predatory crab</t>
  </si>
  <si>
    <t>20C, 1400 μatm pCO2, predatory snail</t>
  </si>
  <si>
    <t>addtl7</t>
  </si>
  <si>
    <t>Supina, Jan; Bojkova, Jindriska; Boukal, David S.</t>
  </si>
  <si>
    <t>scored out, data needs to be extracted, add male/female as context (DK is considering this paper, hold for now)</t>
  </si>
  <si>
    <t>three temp NCE in mayflies, looking at survival, growth, and development</t>
  </si>
  <si>
    <t>dragonfly larvae (nonlethal vs. absent) impacted length of development (days) which did not impact final size (um)</t>
  </si>
  <si>
    <t>dragonfly</t>
  </si>
  <si>
    <t>development time</t>
  </si>
  <si>
    <t>nonlethal, absent</t>
  </si>
  <si>
    <t>21, 24, 27</t>
  </si>
  <si>
    <t>addtl8</t>
  </si>
  <si>
    <t>Luhring, TM; Vavra, JM; Cressler, CE; DeLong, JP</t>
  </si>
  <si>
    <t>scored out, data needs to be extracted</t>
  </si>
  <si>
    <t>two contexts: temp and timing of risk exposure</t>
  </si>
  <si>
    <t>odonate chemical cue (vs.control) decreased generation time (T) and increaesd net reproductive output (R0) of Daphnia, which increased intrinsic growth rate (r) by countering the observed decrease in survival (stress induced)</t>
  </si>
  <si>
    <t>generation time</t>
  </si>
  <si>
    <t>temperature, timing</t>
  </si>
  <si>
    <t>11, 17, 23, 27, 29, 31, or 33 °C</t>
  </si>
  <si>
    <t>timing</t>
  </si>
  <si>
    <t>early exposure, late exposure, constant exposure</t>
  </si>
  <si>
    <t>11, early cue</t>
  </si>
  <si>
    <t>Intrinsic rate of growth</t>
  </si>
  <si>
    <t>11, late cue</t>
  </si>
  <si>
    <t xml:space="preserve">11, constant cue </t>
  </si>
  <si>
    <t>17, early cue</t>
  </si>
  <si>
    <t>17, late cue</t>
  </si>
  <si>
    <t xml:space="preserve">17, constant cue </t>
  </si>
  <si>
    <t>23, early cue</t>
  </si>
  <si>
    <t>23, late cue</t>
  </si>
  <si>
    <t xml:space="preserve">23, constant cue </t>
  </si>
  <si>
    <t>27, early cue</t>
  </si>
  <si>
    <t>27, late cue</t>
  </si>
  <si>
    <t xml:space="preserve">27, constant cue </t>
  </si>
  <si>
    <t>29, early cue</t>
  </si>
  <si>
    <t>29, late cue</t>
  </si>
  <si>
    <t xml:space="preserve">29, constant cue </t>
  </si>
  <si>
    <t>31, early cue</t>
  </si>
  <si>
    <t>31, late cue</t>
  </si>
  <si>
    <t xml:space="preserve">31, constant cue </t>
  </si>
  <si>
    <t xml:space="preserve">33, early cue </t>
  </si>
  <si>
    <t xml:space="preserve">33, late cue </t>
  </si>
  <si>
    <t xml:space="preserve">33, constant cue </t>
  </si>
  <si>
    <t>addtl10</t>
  </si>
  <si>
    <t xml:space="preserve"> Burraco, Pablo; Iglesias-Carrasco, Maider; Cabido, Carlos; et al.</t>
  </si>
  <si>
    <t>(citation information at top of temp search sheet)</t>
  </si>
  <si>
    <t>two types of leaf litter (native/invasive) and two temps, so two contexts</t>
  </si>
  <si>
    <t>dragonfly nymph cues (caged versus no predator control) decreased tadpole activity (% visible) without affecting tadpole survival (proportional) or body mass (g) at metamorphosis</t>
  </si>
  <si>
    <t>activity</t>
  </si>
  <si>
    <t>temperature, resource quality</t>
  </si>
  <si>
    <t>15, 20 C</t>
  </si>
  <si>
    <t>native or invasive plant</t>
  </si>
  <si>
    <t>15, Native oak</t>
  </si>
  <si>
    <t>Larval period</t>
  </si>
  <si>
    <t>days</t>
  </si>
  <si>
    <t>Figure 1</t>
  </si>
  <si>
    <t>15, Eucalyptus</t>
  </si>
  <si>
    <t>20, Native oak</t>
  </si>
  <si>
    <t>20, Eucalyptus</t>
  </si>
  <si>
    <t>addtl11</t>
  </si>
  <si>
    <t xml:space="preserve"> Catenazzi, Alessandro; Kupferberg, Sarah J.</t>
  </si>
  <si>
    <t>multiple different experiments, but we are focusing on the two regarding predation. 1) reared tadpoles in 4 different thermal regimes and then exposed to predators; 2) exposed tadpoles from exp 1 who had not been exposed to predators to a reciprocal transplant experiment</t>
  </si>
  <si>
    <t>lethal dragonfly nymph (versus control) decreased foraging rate (inferred) of tadpoles and reduce tadpole growth (delta mass [mg] per day) in cold water (not warm water)</t>
  </si>
  <si>
    <t>field experiment in natural streams but used cages to enclose predator and prey</t>
  </si>
  <si>
    <t>17, 23.8 C</t>
  </si>
  <si>
    <t>Change in mass</t>
  </si>
  <si>
    <t>Figure 3c</t>
  </si>
  <si>
    <t>A.D</t>
  </si>
  <si>
    <t xml:space="preserve">Results discuss dogwhelk foraging behavioral response as well as  physiological response of change in shell morphology, contexts analyzed only relate to changes in shell morphology (weight). </t>
  </si>
  <si>
    <t>wave exposed/wave protected</t>
  </si>
  <si>
    <t>North EXPOSED (Rock Crab)</t>
  </si>
  <si>
    <t>change prey (dogwhelk) mass</t>
  </si>
  <si>
    <t>what is number of treatments? Number of control treatments in figure?</t>
  </si>
  <si>
    <t>North PROTECTED (Rock Crab)</t>
  </si>
  <si>
    <t>change in prey (dogwhelk mass</t>
  </si>
  <si>
    <t>Multiple predators for each treatment (control, green crab, rock crab. Latitude and exposure treatments are combined to one category in the figure (i.e. North exposed is one category showing data for control, green crab risk (invasive), and rock crab risk( native).</t>
  </si>
  <si>
    <t>Latitude</t>
  </si>
  <si>
    <t>NORTH Exposed (Rock Crab)</t>
  </si>
  <si>
    <t>SOUTH Exposed (Rock Crab)</t>
  </si>
  <si>
    <t>Native vs Invasive Predator</t>
  </si>
  <si>
    <t>South Exposed ROCK CRAB</t>
  </si>
  <si>
    <t>South Exposed GREEN CRAB</t>
  </si>
  <si>
    <t>scoring  effects of predation risk from sunfish predator on relative growth rate of damselfly nymphs. Context is temperature</t>
  </si>
  <si>
    <t>Visual and chemical cues of sunfish predator reduce growth rate of damselfly nymphs. DK edit: fish visual and chemical cue (versus no cues) did not alter foraging rate (mg/d) of damselfy nymph but decresesed damselfy nymph growth rate (mg/d). SDP:  trait response is related to metabolic costs, assimilation effeciencies/physiology</t>
  </si>
  <si>
    <t>18 degrees C</t>
  </si>
  <si>
    <t>22 degrees C</t>
  </si>
  <si>
    <t>26 degrees C</t>
  </si>
  <si>
    <t>30 degrees C</t>
  </si>
  <si>
    <t>c</t>
  </si>
  <si>
    <t>temp, daphnia time period</t>
  </si>
  <si>
    <t>SDP-I did not look at paper.  The C:N response is iffy as fitness, but fecundity we have decided is a repsonse (but investment went up, so this really is not a cost and NCE -- this has been debated. But we should flag this one.</t>
  </si>
  <si>
    <t>temp, predator assemblage, prey density</t>
  </si>
  <si>
    <t>16°C, 70, Control</t>
  </si>
  <si>
    <t>16°C, 110, Control</t>
  </si>
  <si>
    <t>16°C, 220, Control</t>
  </si>
  <si>
    <t>20°C, 70, Control</t>
  </si>
  <si>
    <t>20°C, 110, Control</t>
  </si>
  <si>
    <t>20°C, 220, Control</t>
  </si>
  <si>
    <t>temp, predator type</t>
  </si>
  <si>
    <t>temp, CO2, species, cage</t>
  </si>
  <si>
    <t>Get the risk data from author</t>
  </si>
  <si>
    <t>18C</t>
  </si>
  <si>
    <t>22C</t>
  </si>
  <si>
    <t>26C</t>
  </si>
  <si>
    <t>30C</t>
  </si>
  <si>
    <t>high</t>
  </si>
  <si>
    <t>I think this paper is going to be better processed with means (se) for all possible combinations of temperature, resource identity, and predator cue. Request from authoer. You'll then have 4 rows for no risk as well as four different rows for risk treatment. This will be a 2-context study. But with data processng, you can also average it down to just predator cue as function of single context. Right? I think you want growth and growth efficiency data. Do you want stoichiometric data? Lavval size data?</t>
  </si>
  <si>
    <t>Guiliano, Stefanie M.; Karr, Cerina M.; Sommer, Nathalie R.; Buchkowski, Robert W.</t>
  </si>
  <si>
    <t>done, not to be included (not beyond phenotype)</t>
  </si>
  <si>
    <t>used a combination of experiments and modeling to look at impact of warming and predator on woodlouse. Not beyond phenotype. Looked at survival at the end, but this was not nonconsumptive; simply looked at behavior and habitat use</t>
  </si>
  <si>
    <t>Kolar, Vojtech; Boukal, David S.; Sentis, Arnaud</t>
  </si>
  <si>
    <t>done, not to be included (not about temp)</t>
  </si>
  <si>
    <t>looked at impact of habitat complexity, not temperature</t>
  </si>
  <si>
    <t>addtl6</t>
  </si>
  <si>
    <t>Morton, Scott G.; Schmidt, Travis S.; Poff, N. LeRoy</t>
  </si>
  <si>
    <t>partially</t>
  </si>
  <si>
    <r>
      <rPr>
        <sz val="10"/>
        <color rgb="FF000000"/>
        <rFont val="Arial"/>
      </rPr>
      <t xml:space="preserve">scored out, data needs to be extracted, </t>
    </r>
    <r>
      <rPr>
        <b/>
        <sz val="10"/>
        <color rgb="FF000000"/>
        <rFont val="Arial"/>
      </rPr>
      <t>same as addtl3</t>
    </r>
  </si>
  <si>
    <t>at 3 temps, amount of algae removed by mayflies was recorded under lethal, nonlethal, and predators absent. TMIE, context is temp</t>
  </si>
  <si>
    <t>lethal, nonlethall</t>
  </si>
  <si>
    <t>scored out, data needs to be extracted, add male/female as context</t>
  </si>
  <si>
    <t>addtl9</t>
  </si>
  <si>
    <t>not included!</t>
  </si>
  <si>
    <t xml:space="preserve">not included; there is no predator-free control to the tmie experiment. </t>
  </si>
  <si>
    <t>predatory spider avoidance of heat altered grasshopper location (height) on plants and foraging behavior (feeding time, minutes) so that golden rod biomass (g/m2) increased</t>
  </si>
  <si>
    <t>lab experiment fleshed out how day time and night time warming treatments influenced predatory spider behavior and how this influenced grasshopper habitat selection and foraging behavior. They then did this in outdoor cages (open bottoms) with much less control and saw plant community responses matching those predicted from the lab experiments. So, it's a good TMII study, but not FPE</t>
  </si>
  <si>
    <t>feeding time</t>
  </si>
  <si>
    <t>ambient, +3-4C</t>
  </si>
  <si>
    <t>daytime warming, nighttime warming</t>
  </si>
  <si>
    <t>new.id</t>
  </si>
  <si>
    <t>old.id</t>
  </si>
  <si>
    <t>title</t>
  </si>
  <si>
    <t>au</t>
  </si>
  <si>
    <t>else</t>
  </si>
  <si>
    <t>76F</t>
  </si>
  <si>
    <t xml:space="preserve">NONLETHAL EFFECTS OF A PREDATOR ON COMPETITIVE INTERACTIONS BETWEEN 2 ANURAN LARVAE </t>
  </si>
  <si>
    <t xml:space="preserve"> WERNER, EE</t>
  </si>
  <si>
    <t xml:space="preserve">ECOLOGY  Volume: 72   Issue: 5   Pages: 1709-1720   Published: OCT 1991 </t>
  </si>
  <si>
    <t>71F</t>
  </si>
  <si>
    <t xml:space="preserve">NONLETHAL IMPACTS OF PREDATOR INVASION - FACULTATIVE SUPPRESSION OF GROWTH AND REPRODUCTION </t>
  </si>
  <si>
    <t xml:space="preserve"> FRASER, DF; GILLIAM, JF</t>
  </si>
  <si>
    <t xml:space="preserve">ECOLOGY  Volume: 73   Issue: 3   Pages: 959-970   Published: JUN 1992 </t>
  </si>
  <si>
    <t>missed</t>
  </si>
  <si>
    <t>Field Evidence for a Cost of Behavioral Antipredator Response in a Larval Amphibian</t>
  </si>
  <si>
    <t>Skelly, DK</t>
  </si>
  <si>
    <t>Skelly 1992 - ecology 73: 704-708</t>
  </si>
  <si>
    <t>241E</t>
  </si>
  <si>
    <t xml:space="preserve">SUBLETHAL CONSEQUENCES OF STREAM-DWELLING PREDATORY STONEFLIES ON MAYFLY GROWTH AND FECUNDITY </t>
  </si>
  <si>
    <t xml:space="preserve"> PECKARSKY, BL; COWAN, CA; PENTON, MA; et al.</t>
  </si>
  <si>
    <t xml:space="preserve">ECOLOGY  Volume: 74   Issue: 6   Pages: 1836-1846   Published: SEP 1993 </t>
  </si>
  <si>
    <t>185E</t>
  </si>
  <si>
    <t xml:space="preserve">Sublethal effects provoked by the presence of the predator Nucella crassilabrum (Lamarck) upon the mussel Perumytilus purpuratus (Lamarck) in Chile </t>
  </si>
  <si>
    <t xml:space="preserve"> Lopez, DA; Gonzalez, ML; Vial, MV; et al.</t>
  </si>
  <si>
    <t xml:space="preserve">REVISTA CHILENA DE HISTORIA NATURAL  Volume: 68   Issue: 4   Pages: 469-475   Published: DEC 1995 </t>
  </si>
  <si>
    <t>202E</t>
  </si>
  <si>
    <t xml:space="preserve">MULTI-TROPHIC-LEVEL IMPACT OF SUBLETHAL INTERACTIONS BETWEEN BASS AND OMNIVOROUS CRAYFISH </t>
  </si>
  <si>
    <t xml:space="preserve"> HILL, AM; LODGE, DM</t>
  </si>
  <si>
    <t xml:space="preserve">JOURNAL OF THE NORTH AMERICAN BENTHOLOGICAL SOCIETY  Volume: 14   Issue: 2   Pages: 306-314   Published: JUN 1995 </t>
  </si>
  <si>
    <t>50F</t>
  </si>
  <si>
    <t xml:space="preserve">THE NONLETHAL EFFECTS OF PREDATORS AND THE INFLUENCE OF FOOD AVAILABILITY ON LIFE-HISTORY OF ADULT CHIRONOMUS-TENTANS (DIPTERA, CHIRONOMIDAE) </t>
  </si>
  <si>
    <t xml:space="preserve"> BALL, SL; BAKER, RL</t>
  </si>
  <si>
    <t xml:space="preserve">FRESHWATER BIOLOGY  Volume: 34   Issue: 1   Pages: 1-12   Published: AUG 1995 </t>
  </si>
  <si>
    <t>52F</t>
  </si>
  <si>
    <t xml:space="preserve">INDIVIDUALITY IN THE GROWTH OF STONEFLY NYMPHS IN RESPONSE TO STRESS FROM A PREDATOR </t>
  </si>
  <si>
    <t>DUVALL, CJ; WILLIAMS, DD</t>
  </si>
  <si>
    <t xml:space="preserve">ARCHIV FUR HYDROBIOLOGIE  Volume: 133   Issue: 3   Pages: 273-286   Published: MAY 1995 </t>
  </si>
  <si>
    <t>44F</t>
  </si>
  <si>
    <t xml:space="preserve">Predator-induced life history changes: Antipredator behavior costs or facultative life history shifts? </t>
  </si>
  <si>
    <t xml:space="preserve"> Ball, SL; Baker, RL</t>
  </si>
  <si>
    <t xml:space="preserve">ECOLOGY  Volume: 77   Issue: 4   Pages: 1116-1124   Published: JUN 1996 </t>
  </si>
  <si>
    <t>48F</t>
  </si>
  <si>
    <t xml:space="preserve">Predator-induced behavioral indirect effects: Consequences to competitive interactions in anuran larvae </t>
  </si>
  <si>
    <t xml:space="preserve"> Werner, EE; Anholt, BR</t>
  </si>
  <si>
    <t xml:space="preserve">ECOLOGY  Volume: 77   Issue: 1   Pages: 157-169   Published: JAN 1996 </t>
  </si>
  <si>
    <t>11A</t>
  </si>
  <si>
    <t xml:space="preserve">Trait-mediated indirect interactions in a simple aquatic food web </t>
  </si>
  <si>
    <t xml:space="preserve"> Peacor, SD; Werner, EE</t>
  </si>
  <si>
    <t xml:space="preserve">ECOLOGY  Volume: 78   Issue: 4   Pages: 1146-1156   Published: JUN 1997 </t>
  </si>
  <si>
    <t>37F</t>
  </si>
  <si>
    <t xml:space="preserve">Behavior of harassed caterpillars and consequences for host plants </t>
  </si>
  <si>
    <t xml:space="preserve"> Stamp, NE</t>
  </si>
  <si>
    <t xml:space="preserve">OIKOS  Volume: 79   Issue: 1   Pages: 147-154   Published: MAY 1997 </t>
  </si>
  <si>
    <t>50D</t>
  </si>
  <si>
    <t xml:space="preserve">Non-consumptive effects of larval Salamandra on crustacean prey: Can eggs detect predators? </t>
  </si>
  <si>
    <t xml:space="preserve"> Blaustein, L</t>
  </si>
  <si>
    <t xml:space="preserve">OECOLOGIA  Volume: 110   Issue: 2   Pages: 212-217   Published: APR 1997 </t>
  </si>
  <si>
    <t>Conflict between antipredator and antiparasite behaviour in larval damselflies</t>
  </si>
  <si>
    <t>Baker, RL; Smith, BP</t>
  </si>
  <si>
    <t>Baker and smith 1997 Oecologia 109: 622-628</t>
  </si>
  <si>
    <t>13B</t>
  </si>
  <si>
    <t xml:space="preserve">Predictable changes in predation mortality as a consequence of changes in food availability and predation risk </t>
  </si>
  <si>
    <t xml:space="preserve"> Anholt, BR; Werner, EE</t>
  </si>
  <si>
    <t xml:space="preserve">EVOLUTIONARY ECOLOGY  Volume: 12   Issue: 6   Pages: 729-738   Published: AUG 1998 </t>
  </si>
  <si>
    <t>14B</t>
  </si>
  <si>
    <t xml:space="preserve">Fitness and community consequences of avoiding multiple predators </t>
  </si>
  <si>
    <t xml:space="preserve"> Peckarsky, BL; McIntosh, AR</t>
  </si>
  <si>
    <t xml:space="preserve">OECOLOGIA  Volume: 113   Issue: 4   Pages: 565-576   Published: FEB 1998 </t>
  </si>
  <si>
    <t>22F</t>
  </si>
  <si>
    <t xml:space="preserve">Predator-induced changes in life history in two anuran tadpoles: effects of predator diet </t>
  </si>
  <si>
    <t xml:space="preserve"> Laurila, A; Kujasalo, J; Ranta, E</t>
  </si>
  <si>
    <t xml:space="preserve">OIKOS  Volume: 83   Issue: 2   Pages: 307-317   Published: NOV 1998 </t>
  </si>
  <si>
    <t>31F</t>
  </si>
  <si>
    <t xml:space="preserve">Plasticity or fixed adaptive traits? Strategies for predation avoidance in Rana arvalis tadpoles </t>
  </si>
  <si>
    <t xml:space="preserve"> Lardner, B</t>
  </si>
  <si>
    <t xml:space="preserve">OECOLOGIA  Volume: 117   Issue: 1-2   Pages: 119-126   Published: 1998 </t>
  </si>
  <si>
    <t>9A</t>
  </si>
  <si>
    <t xml:space="preserve">Direct and indirect effects of predation and predation risk in old-field interaction webs </t>
  </si>
  <si>
    <t xml:space="preserve"> Schmitz, OJ</t>
  </si>
  <si>
    <t xml:space="preserve">AMERICAN NATURALIST  Volume: 151   Issue: 4   Pages: 327-342   Published: APR 1998 </t>
  </si>
  <si>
    <t>10B</t>
  </si>
  <si>
    <t xml:space="preserve">Additive interactions between the moon snail Euspira heros and the sea star Asterias forbesi, two predators of the surfclam Spisula solidissima </t>
  </si>
  <si>
    <t>Weissberger, EJ</t>
  </si>
  <si>
    <t xml:space="preserve">OECOLOGIA  Volume: 119   Issue: 3   Pages: 461-466   Published: MAY 1999 </t>
  </si>
  <si>
    <t>5A</t>
  </si>
  <si>
    <t xml:space="preserve">Foraging trade-offs along a predator-permanence gradient in subalpine wetlands </t>
  </si>
  <si>
    <t xml:space="preserve"> Wissinger, SA; Whiteman, HH; Sparks, GB; et al.</t>
  </si>
  <si>
    <t xml:space="preserve">ECOLOGY  Volume: 80   Issue: 6   Pages: 2102-2116   Published: SEP 1999 </t>
  </si>
  <si>
    <t>6A</t>
  </si>
  <si>
    <t xml:space="preserve">Trait-mediated indirect effects of a theridiid spider on an ant-plant mutualism </t>
  </si>
  <si>
    <t xml:space="preserve"> Gastreich, KR</t>
  </si>
  <si>
    <t xml:space="preserve">ECOLOGY  Volume: 80   Issue: 3   Pages: 1066-1070   Published: APR 1999 </t>
  </si>
  <si>
    <t>A10</t>
  </si>
  <si>
    <t xml:space="preserve">Behavioral responses to environmental change alter direct and indirect trait-mediated interactions </t>
  </si>
  <si>
    <t xml:space="preserve"> Rothley, K. D.; Dutton, G.</t>
  </si>
  <si>
    <t xml:space="preserve">CANADIAN JOURNAL OF ZOOLOGY-REVUE CANADIENNE DE ZOOLOGIE  Volume: 84   Issue: 7   Pages: 1053-1058   Published: JUL 2006 </t>
  </si>
  <si>
    <t>A13</t>
  </si>
  <si>
    <t xml:space="preserve">Non-lethal effect of the invasive predator Bythotrephes longimanus on Daphnia mendotae </t>
  </si>
  <si>
    <t xml:space="preserve"> Pangle, KL; Peacor, SD</t>
  </si>
  <si>
    <t xml:space="preserve">FRESHWATER BIOLOGY  Volume: 51   Issue: 6   Pages: 1070-1078   Published: JUN 2006 </t>
  </si>
  <si>
    <t>A15</t>
  </si>
  <si>
    <t xml:space="preserve">Size-dependent trait-mediated indirect interactions among sea urchin herbivores </t>
  </si>
  <si>
    <t xml:space="preserve"> Freeman, A</t>
  </si>
  <si>
    <t xml:space="preserve">BEHAVIORAL ECOLOGY  Volume: 17   Issue: 2   Pages: 182-187   Published: MAR-APR 2006 </t>
  </si>
  <si>
    <t>A16</t>
  </si>
  <si>
    <t xml:space="preserve">Opposite shifts in size at metamorphosis in response to larval and metamorph predators </t>
  </si>
  <si>
    <t xml:space="preserve"> Vonesh, JR; Warkentin, KM</t>
  </si>
  <si>
    <t xml:space="preserve">ECOLOGY  Volume: 87   Issue: 3   Pages: 556-562   Published: MAR 2006 </t>
  </si>
  <si>
    <t>A17</t>
  </si>
  <si>
    <t xml:space="preserve">Insect predators affect plant resistance via density- and trait-mediated indirect interactions </t>
  </si>
  <si>
    <t xml:space="preserve"> Griffin, CAM; Thaler, JS</t>
  </si>
  <si>
    <t xml:space="preserve">ECOLOGY LETTERS  Volume: 9   Issue: 3   Pages: 335-343   Published: MAR 2006 </t>
  </si>
  <si>
    <t>A22</t>
  </si>
  <si>
    <t xml:space="preserve">Lethal and nonlethal predator effects on an herbivore guild mediated by system productivity </t>
  </si>
  <si>
    <t xml:space="preserve"> Werner, EE; Peacor, SD</t>
  </si>
  <si>
    <t xml:space="preserve">ECOLOGY  Volume: 87   Issue: 2   Pages: 347-361   Published: FEB 2006 </t>
  </si>
  <si>
    <t>A23</t>
  </si>
  <si>
    <t xml:space="preserve">The influence of size-specific indirect interactions in predator-prey systems </t>
  </si>
  <si>
    <t xml:space="preserve"> Rudolf, VHW</t>
  </si>
  <si>
    <t xml:space="preserve">ECOLOGY  Volume: 87   Issue: 2   Pages: 362-371   Published: FEB 2006 </t>
  </si>
  <si>
    <t>A28</t>
  </si>
  <si>
    <t xml:space="preserve">Predator diversity strengthens trophic cascades in kelp forests by modifying herbivore behaviour </t>
  </si>
  <si>
    <t xml:space="preserve"> Byrnes, J; Stachowicz, JJ; Hultgren, KM; et al.</t>
  </si>
  <si>
    <t xml:space="preserve">ECOLOGY LETTERS  Volume: 9   Issue: 1   Pages: 61-71   Published: JAN 2006 </t>
  </si>
  <si>
    <t>A30</t>
  </si>
  <si>
    <t xml:space="preserve">Depletion of palatable algae by sea urchins and fishes in a Mediterranean subtidal community </t>
  </si>
  <si>
    <t xml:space="preserve"> Hereu, Bernat</t>
  </si>
  <si>
    <t xml:space="preserve">MARINE ECOLOGY PROGRESS SERIES  Volume: 313   Pages: 95-103   Published: 2006 </t>
  </si>
  <si>
    <t>A32</t>
  </si>
  <si>
    <t xml:space="preserve">Partitioning mechanisms of Predator Interference in different Habitats </t>
  </si>
  <si>
    <t xml:space="preserve"> Griffen, BD; Byers, JE</t>
  </si>
  <si>
    <t xml:space="preserve">OECOLOGIA  Volume: 146   Issue: 4   Pages: 608-614   Published: JAN 2006 </t>
  </si>
  <si>
    <t>A6</t>
  </si>
  <si>
    <t xml:space="preserve">Habitat effects on the relative importance of trait- and density-mediated indirect interactions </t>
  </si>
  <si>
    <t xml:space="preserve"> Trussell, Geoffrey C.; Ewanchuk, Patrick J.; Matassa, Catherine M.</t>
  </si>
  <si>
    <t xml:space="preserve">ECOLOGY LETTERS  Volume: 9   Issue: 11   Pages: 1245-1252   Published: NOV 2006 </t>
  </si>
  <si>
    <t>E23</t>
  </si>
  <si>
    <t xml:space="preserve">Environmental variation and the predator-specific responses of tropical stream insects: effects of temperature and predation on survival and development of Australian Chironomidae (Diptera) </t>
  </si>
  <si>
    <t xml:space="preserve"> McKie, Brendan G.; Pearson, Richard G.</t>
  </si>
  <si>
    <t xml:space="preserve">OECOLOGIA  Volume: 149   Issue: 2   Pages: 328-339   Published: AUG 2006 </t>
  </si>
  <si>
    <t>E25</t>
  </si>
  <si>
    <t xml:space="preserve">Human and natural predators combine to alter behavior and reduce survival of Caribbean spiny lobster </t>
  </si>
  <si>
    <t xml:space="preserve"> Parsons, DM; Eggleston, DB</t>
  </si>
  <si>
    <t xml:space="preserve">JOURNAL OF EXPERIMENTAL MARINE BIOLOGY AND ECOLOGY  Volume: 334   Issue: 2   Pages: 196-205   Published: JUL 11 2006 </t>
  </si>
  <si>
    <t>E35</t>
  </si>
  <si>
    <t xml:space="preserve">Time constraints mediate predator-induced plasticity in immune function, condition, and life history </t>
  </si>
  <si>
    <t xml:space="preserve"> Stoks, R; De Block, M; Slos, S; et al.</t>
  </si>
  <si>
    <t xml:space="preserve">ECOLOGY  Volume: 87   Issue: 4   Pages: 809-815   Published: APR 2006 </t>
  </si>
  <si>
    <t>F12</t>
  </si>
  <si>
    <t xml:space="preserve">The effects of long-term predator exposure on body composition and condition of young Arctic charr (Salvelinus alpinus) </t>
  </si>
  <si>
    <t xml:space="preserve"> Laakkonen, Mika V. M.</t>
  </si>
  <si>
    <t xml:space="preserve">ANNALES ZOOLOGICI FENNICI  Volume: 43   Issue: 3   Pages: 263-270   Published: JUN 28 2006 </t>
  </si>
  <si>
    <t>F16</t>
  </si>
  <si>
    <t xml:space="preserve">Growth rates of juvenile pinfish (Lagodon rhomboides): Effects of habitat and predation risk </t>
  </si>
  <si>
    <t xml:space="preserve"> Harter, Stacey L.; Heck, Kenneth L., Jr.</t>
  </si>
  <si>
    <t xml:space="preserve">ESTUARIES AND COASTS  Volume: 29   Issue: 2   Pages: 318-327   Published: APR 2006 </t>
  </si>
  <si>
    <t>F17</t>
  </si>
  <si>
    <t xml:space="preserve">Population divergence in growth rate and antipredator defences in Rana arvalis </t>
  </si>
  <si>
    <t xml:space="preserve"> Laurila, A; Pakkasmaa, S; Merila, J</t>
  </si>
  <si>
    <t xml:space="preserve">OECOLOGIA  Volume: 147   Issue: 4   Pages: 585-595   Published: APR 2006 </t>
  </si>
  <si>
    <t>A1</t>
  </si>
  <si>
    <t xml:space="preserve">Herbivore release through cascading risk effects </t>
  </si>
  <si>
    <t xml:space="preserve"> Schmidt-Entling, Martin H.; Siegenthaler, Eva</t>
  </si>
  <si>
    <t xml:space="preserve">BIOLOGY LETTERS  Volume: 5   Issue: 6   Pages: 773-776   Published: DEC 23 2009 </t>
  </si>
  <si>
    <t xml:space="preserve">Invasive species cause large-scale loss of native California oyster habitat by disrupting trophic cascades </t>
  </si>
  <si>
    <t xml:space="preserve"> Kimbro, David L.; Grosholz, Edwin D.; Baukus, Adam J.; et al.</t>
  </si>
  <si>
    <t xml:space="preserve">OECOLOGIA  Volume: 160   Issue: 3   Pages: 563-575   Published: JUN 2009 </t>
  </si>
  <si>
    <t>A14</t>
  </si>
  <si>
    <t xml:space="preserve">Non-consumptive effects of predatory mites on thrips and its host plant </t>
  </si>
  <si>
    <t xml:space="preserve"> Walzer, Andreas; Schausberger, Peter</t>
  </si>
  <si>
    <t xml:space="preserve">OIKOS  Volume: 118   Issue: 6   Pages: 934-940   Published: JUN 2009 </t>
  </si>
  <si>
    <t xml:space="preserve">Indirect competition facilitates widespread displacement of one naturalized parasitoid of imported fire ants by another </t>
  </si>
  <si>
    <t xml:space="preserve"> LeBrun, E. G.; Plowes, R. M.; Gilbert, L. E.</t>
  </si>
  <si>
    <t xml:space="preserve">ECOLOGY  Volume: 90   Issue: 5   Pages: 1184-1194   Published: MAY 2009 </t>
  </si>
  <si>
    <t xml:space="preserve">Top-down effects on antagonistic inducible defense and offense </t>
  </si>
  <si>
    <t xml:space="preserve"> Kishida, Osamu; Trussell, Geoffrey C.; Nishimura, Kinya</t>
  </si>
  <si>
    <t xml:space="preserve">ECOLOGY  Volume: 90   Issue: 5   Pages: 1217-1226   Published: MAY 2009 </t>
  </si>
  <si>
    <t>A20</t>
  </si>
  <si>
    <t xml:space="preserve">The persistent effect of wave exposure on TMIIs and crab predation in Nucella lapillus </t>
  </si>
  <si>
    <t xml:space="preserve"> Freeman, Aaren S.; Hamer, Caitlin E.</t>
  </si>
  <si>
    <t xml:space="preserve">JOURNAL OF EXPERIMENTAL MARINE BIOLOGY AND ECOLOGY  Volume: 372   Issue: 1-2   Pages: 58-63   Published: APR 30 2009 </t>
  </si>
  <si>
    <t>A21</t>
  </si>
  <si>
    <t xml:space="preserve">Community impacts of two invasive crabs: the interactive roles of density, prey recruitment, and indirect effects </t>
  </si>
  <si>
    <t xml:space="preserve"> Griffen, Blaine D.; Byers, James E.</t>
  </si>
  <si>
    <t xml:space="preserve">BIOLOGICAL INVASIONS  Volume: 11   Issue: 4   Pages: 927-940   Published: APR 2009 </t>
  </si>
  <si>
    <t>A3</t>
  </si>
  <si>
    <t xml:space="preserve">Inducible defenses in prey intensify predator cannibalism </t>
  </si>
  <si>
    <t xml:space="preserve"> Kishida, Osamu; Trussell, Geoffrey C.; Nishimura, Kinya; et al.</t>
  </si>
  <si>
    <t xml:space="preserve">ECOLOGY  Volume: 90   Issue: 11   Pages: 3150-3158   Published: NOV 2009 </t>
  </si>
  <si>
    <t>A7</t>
  </si>
  <si>
    <t xml:space="preserve">Foraging and refuge use by a pond snail: Effects of physiological state, predators, and resources </t>
  </si>
  <si>
    <t xml:space="preserve"> Wojdak, Jeremy M.</t>
  </si>
  <si>
    <t xml:space="preserve">ACTA OECOLOGICA-INTERNATIONAL JOURNAL OF ECOLOGY  Volume: 35   Issue: 5   Pages: 746-751   Published: SEP-OCT 2009 </t>
  </si>
  <si>
    <t>D4</t>
  </si>
  <si>
    <t xml:space="preserve">Wolf presence and increased willow consumption by Yellowstone elk: implications for trophic cascades </t>
  </si>
  <si>
    <t xml:space="preserve"> Creel, Scott; Christianson, David</t>
  </si>
  <si>
    <t xml:space="preserve">ECOLOGY  Volume: 90   Issue: 9   Pages: 2454-2466   Published: SEP 2009 </t>
  </si>
  <si>
    <t>D7</t>
  </si>
  <si>
    <t xml:space="preserve">Food level and sex shape predator-induced physiological stress: immune defence and antioxidant defence </t>
  </si>
  <si>
    <t xml:space="preserve"> Slos, Stefanie; De Meester, Luc; Stoks, Robby</t>
  </si>
  <si>
    <t xml:space="preserve">OECOLOGIA  Volume: 161   Issue: 3   Pages: 461-467   Published: SEP 2009 </t>
  </si>
  <si>
    <t>D8</t>
  </si>
  <si>
    <t xml:space="preserve">Glucocorticoid stress hormones and the effect of predation risk on elk reproduction </t>
  </si>
  <si>
    <t xml:space="preserve"> Creel, Scott; Winnie, John A., Jr.; Christianson, David</t>
  </si>
  <si>
    <t xml:space="preserve">PROCEEDINGS OF THE NATIONAL ACADEMY OF SCIENCES OF THE UNITED STATES OF AMERICA  Volume: 106   Issue: 30   Pages: 12388-12393   Published: JUL 28 2009 </t>
  </si>
  <si>
    <t>E8</t>
  </si>
  <si>
    <t xml:space="preserve">The sensitive hare: sublethal effects of predator stress on reproduction in snowshoe hares </t>
  </si>
  <si>
    <t xml:space="preserve"> Sheriff, Michael J.; Krebs, Charles J.; Boonstra, Rudy</t>
  </si>
  <si>
    <t xml:space="preserve">JOURNAL OF ANIMAL ECOLOGY  Volume: 78   Issue: 6   Pages: 1249-1258   Published: NOV 2009 </t>
  </si>
  <si>
    <t>F18</t>
  </si>
  <si>
    <t xml:space="preserve">Alarm cues experienced by cane toad tadpoles affect post-metamorphic morphology and chemical defences </t>
  </si>
  <si>
    <t xml:space="preserve"> Hagman, M.; Hayes, R. A.; Capon, R. J.; et al.</t>
  </si>
  <si>
    <t xml:space="preserve">FUNCTIONAL ECOLOGY  Volume: 23   Issue: 1   Pages: 126-132   Published: FEB 2009 </t>
  </si>
  <si>
    <t>F6</t>
  </si>
  <si>
    <t xml:space="preserve">Multiple predators induce risk reduction in coexisting vole species </t>
  </si>
  <si>
    <t xml:space="preserve"> Hoset, Katrine S.; Koivisto, Elina; Huitu, Otso; et al.</t>
  </si>
  <si>
    <t xml:space="preserve">OIKOS  Volume: 118   Issue: 9   Pages: 1421-1429   Published: SEP 2009 </t>
  </si>
  <si>
    <t>A11</t>
  </si>
  <si>
    <t xml:space="preserve">Trait-mediated effects of predation across life-history stages in container mosquitoes </t>
  </si>
  <si>
    <t xml:space="preserve"> Costanzo, Katie S.; Muturi, Ephantus J.; Alto, Barry W.</t>
  </si>
  <si>
    <t xml:space="preserve">ECOLOGICAL ENTOMOLOGY  Volume: 36   Issue: 5   Pages: 605-615   Published: OCT 2011 </t>
  </si>
  <si>
    <t xml:space="preserve">Susceptibility to Predation Affects Trait-Mediated Indirect Interactions by Reversing Interspecific Competition </t>
  </si>
  <si>
    <t xml:space="preserve"> Mowles, Sophie L.; Rundle, Simon D.; Cotton, Peter A.</t>
  </si>
  <si>
    <t xml:space="preserve">PLOS ONE  Volume: 6   Issue: 8     Article Number: e23068   Published: AUG 17 2011 </t>
  </si>
  <si>
    <t>A18</t>
  </si>
  <si>
    <t xml:space="preserve">The impacts of extreme and fluctuating temperatures on trait-mediated indirect aphid-parasitoid interactions </t>
  </si>
  <si>
    <t xml:space="preserve"> Bannerman, Jordan A.; Gillespie, David R.; Roitberg, Bernard D.</t>
  </si>
  <si>
    <t xml:space="preserve">ECOLOGICAL ENTOMOLOGY  Volume: 36   Issue: 4   Pages: 490-498   Published: AUG 2011 </t>
  </si>
  <si>
    <t>A2</t>
  </si>
  <si>
    <t xml:space="preserve">Altering aquatic food webs with a global insecticide: arthropod-amphibian links in mesocosms that simulate pond communities </t>
  </si>
  <si>
    <t xml:space="preserve"> Cothran, Rickey D.; Radarian, Forrest; Relyea, Rick A.</t>
  </si>
  <si>
    <t xml:space="preserve">JOURNAL OF THE NORTH AMERICAN BENTHOLOGICAL SOCIETY  Volume: 30   Issue: 4   Pages: 893-912   Published: DEC 2011 </t>
  </si>
  <si>
    <t xml:space="preserve">Vertebrate predators have minimal cascading effects on plant production or seed predation in an intact grassland ecosystem </t>
  </si>
  <si>
    <t xml:space="preserve"> Maron, John L.; Pearson, Dean E.</t>
  </si>
  <si>
    <t xml:space="preserve">ECOLOGY LETTERS  Volume: 14   Issue: 7   Pages: 661-669   Published: JUL 2011 </t>
  </si>
  <si>
    <t xml:space="preserve">Cascading Indirect Effects in a Coffee Agroecosystem: Effects of Parasitic Phorid Flies on Ants and the Coffee Berry Borer in a High-Shade and Low-Shade Habitat </t>
  </si>
  <si>
    <t xml:space="preserve"> Pardee, Gabriella L.; Philpott, Stacy M.</t>
  </si>
  <si>
    <t xml:space="preserve">ENVIRONMENTAL ENTOMOLOGY  Volume: 40   Issue: 3   Pages: 581-588   Published: JUN 2011 </t>
  </si>
  <si>
    <t>A29</t>
  </si>
  <si>
    <t xml:space="preserve">Predation risk indirectly enhances survival of seaweed recruits but not intraspecific competition in an intermediate herbivore species </t>
  </si>
  <si>
    <t xml:space="preserve"> Molis, Markus; Preuss, Inken; Firmenich, Annika; et al.</t>
  </si>
  <si>
    <t xml:space="preserve">JOURNAL OF ECOLOGY  Volume: 99   Issue: 3   Pages: 807-817   Published: MAY 2011 </t>
  </si>
  <si>
    <t xml:space="preserve">Landscape of fear influences the relative importance of consumptive and nonconsumptive predator effects </t>
  </si>
  <si>
    <t xml:space="preserve"> Matassa, Catherine M.; Trussell, Geoffrey C.</t>
  </si>
  <si>
    <t xml:space="preserve">ECOLOGY  Volume: 92   Issue: 12   Pages: 2258-2266   Published: DEC 2011 </t>
  </si>
  <si>
    <t>A53</t>
  </si>
  <si>
    <t xml:space="preserve">Subtle changes in prey foraging behavior have cascading effects in a shallow estuary </t>
  </si>
  <si>
    <t xml:space="preserve"> Geraldi, Nathan R.; Powers, Sean P.</t>
  </si>
  <si>
    <t xml:space="preserve">MARINE ECOLOGY PROGRESS SERIES  Volume: 427   Pages: 51-58   Published: 2011 </t>
  </si>
  <si>
    <t>A59</t>
  </si>
  <si>
    <t xml:space="preserve">Spiders, Ants and an Amazonian Myrmecophyte: a Tale of Trophic Cascades </t>
  </si>
  <si>
    <t xml:space="preserve"> Rosa, Cassiano S.; DeSouza, Og</t>
  </si>
  <si>
    <t xml:space="preserve">SOCIOBIOLOGY  Volume: 58   Issue: 2   Pages: 403-418   Published: 2011 </t>
  </si>
  <si>
    <t xml:space="preserve">Predation risk suppresses the positive feedback between size structure and cannibalism </t>
  </si>
  <si>
    <t xml:space="preserve"> Kishida, Osamu; Trussell, Geoffrey C.; Ohno, Ayaka; et al.</t>
  </si>
  <si>
    <t xml:space="preserve">JOURNAL OF ANIMAL ECOLOGY  Volume: 80   Issue: 6   Pages: 1278-1287   Published: NOV 2011 </t>
  </si>
  <si>
    <t>A8</t>
  </si>
  <si>
    <t xml:space="preserve">Top predators suppress rather than facilitate plants in a trait-mediated tri-trophic cascade </t>
  </si>
  <si>
    <t xml:space="preserve"> Griffin, John N.; Butler, Jack; Soomdat, Nicole N.; et al.</t>
  </si>
  <si>
    <t xml:space="preserve">BIOLOGY LETTERS  Volume: 7   Issue: 5   Pages: 710-713   Published: OCT 23 2011 </t>
  </si>
  <si>
    <t>A9</t>
  </si>
  <si>
    <t xml:space="preserve">Unhealthy herds: indirect effects of predators enhance two drivers of disease spread </t>
  </si>
  <si>
    <t xml:space="preserve"> Duffy, Meghan A.; Housley, Jessica M.; Penczykowski, Rachel M.; et al.</t>
  </si>
  <si>
    <t xml:space="preserve">FUNCTIONAL ECOLOGY  Volume: 25   Issue: 5   Pages: 945-953   Published: OCT 2011 </t>
  </si>
  <si>
    <t>D1</t>
  </si>
  <si>
    <t xml:space="preserve">Seasonal shift in the effects of predators on juvenile Atlantic salmon (Salmo salar) energetics </t>
  </si>
  <si>
    <t xml:space="preserve"> Ward, Darren M.; Nislow, Keith H.; Folt, Carol L.</t>
  </si>
  <si>
    <t xml:space="preserve">CANADIAN JOURNAL OF FISHERIES AND AQUATIC SCIENCES  Volume: 68   Issue: 12   Pages: 2080-2089   Published: DEC 2011 </t>
  </si>
  <si>
    <t>D10</t>
  </si>
  <si>
    <t xml:space="preserve">Interactions Between Competition and Predation Shape Early Growth and Survival of Two Neotropical Hylid Tadpoles </t>
  </si>
  <si>
    <t xml:space="preserve"> Gonzalez, Sergio C.; Touchon, Justin C.; Vonesh, James R.</t>
  </si>
  <si>
    <t xml:space="preserve">BIOTROPICA  Volume: 43   Issue: 5   Pages: 633-639   Published: SEP 2011 </t>
  </si>
  <si>
    <t>D11</t>
  </si>
  <si>
    <t xml:space="preserve">Non-consumptive predator effects indirectly influence marine plant biomass and palatability </t>
  </si>
  <si>
    <t xml:space="preserve"> Reynolds, Pamela L.; Sotka, Erik E.</t>
  </si>
  <si>
    <t xml:space="preserve">JOURNAL OF ECOLOGY  Volume: 99   Issue: 5   Pages: 1272-1281   Published: SEP 2011 </t>
  </si>
  <si>
    <t>D12</t>
  </si>
  <si>
    <t xml:space="preserve">The effects of variable predation risk on foraging and growth: Less risk is not necessarily better </t>
  </si>
  <si>
    <t xml:space="preserve"> Trussell, Geoffrey C.; Matassa, Catherine M.; Luttbeg, Barney</t>
  </si>
  <si>
    <t xml:space="preserve">ECOLOGY  Volume: 92   Issue: 9   Pages: 1799-1806   Published: SEP 2011 </t>
  </si>
  <si>
    <t>D2</t>
  </si>
  <si>
    <t xml:space="preserve">Invasive carp and prey community composition disrupt trophic cascades in eutrophic ponds </t>
  </si>
  <si>
    <t xml:space="preserve"> Wahl, David H.; Wolfe, Matthew D.; Santucci, Victor J., Jr.; et al.</t>
  </si>
  <si>
    <t xml:space="preserve">HYDROBIOLOGIA  Volume: 678   Issue: 1   Pages: 49-63   Published: DEC 2011 </t>
  </si>
  <si>
    <t>D23</t>
  </si>
  <si>
    <t xml:space="preserve">Predator-induced defences in offspring of laboratory and wild-caught snails: prey history impacts prey response </t>
  </si>
  <si>
    <t xml:space="preserve"> Salice, Christopher J.; Plautz, Stephanie C.</t>
  </si>
  <si>
    <t xml:space="preserve">EVOLUTIONARY ECOLOGY RESEARCH  Volume: 13   Issue: 4   Pages: 373-386   Published: MAY 2011 </t>
  </si>
  <si>
    <t>D27</t>
  </si>
  <si>
    <t xml:space="preserve">Largemouth bass predators reduce growth, feeding and movement in juvenile channel catfish </t>
  </si>
  <si>
    <t xml:space="preserve"> Fine, M. L.; Mayo, M. S.; Newton, S. H.; et al.</t>
  </si>
  <si>
    <t xml:space="preserve">ECOLOGY OF FRESHWATER FISH  Volume: 20   Issue: 1   Pages: 114-119   Published: MAR 2011 </t>
  </si>
  <si>
    <t>D6</t>
  </si>
  <si>
    <t xml:space="preserve">The deadly effects of "nonlethal" predators </t>
  </si>
  <si>
    <t xml:space="preserve"> McCauley, Shannon J.; Rowe, Locke; Fortin, Marie-Josee</t>
  </si>
  <si>
    <t xml:space="preserve">ECOLOGY  Volume: 92   Issue: 11   Pages: 2043-2048   Published: NOV 2011 </t>
  </si>
  <si>
    <t xml:space="preserve">Does a top predator reduce the predatory impact of an invasive mesopredator on an endangered rodent? </t>
  </si>
  <si>
    <t xml:space="preserve"> Letnic, Mike; Dworjanyn, Symon A.</t>
  </si>
  <si>
    <t xml:space="preserve">ECOGRAPHY  Volume: 34   Issue: 5   Pages: 827-835   Published: OCT 2011 </t>
  </si>
  <si>
    <t>E13</t>
  </si>
  <si>
    <t xml:space="preserve">Extended larval development compensates for sublethal effects of fish predation in a mayfly population (Rhithrogena semicolorata, Ephemeroptera) </t>
  </si>
  <si>
    <t xml:space="preserve"> Hellmann, Claudia; Winkelmann, Carola; Worischka, Susanne; et al.</t>
  </si>
  <si>
    <t xml:space="preserve">LIMNOLOGICA  Volume: 41   Issue: 3   Pages: 256-265   Published: SEP 2011 </t>
  </si>
  <si>
    <t>E34</t>
  </si>
  <si>
    <t xml:space="preserve">Combined Effects of Virus, Pesticide, and Predator Cue on the Larval Tiger Salamander (Ambystoma tigrinum) </t>
  </si>
  <si>
    <t xml:space="preserve"> Kerby, Jacob L.; Hart, Alison J.; Storfer, Andrew</t>
  </si>
  <si>
    <t xml:space="preserve">ECOHEALTH  Volume: 8   Issue: 1   Pages: 46-54   Published: MAR 2011 </t>
  </si>
  <si>
    <t>E47</t>
  </si>
  <si>
    <t xml:space="preserve">Behavioural and fitness consequences of direct and indirect non-lethal disturbances in a catch-and-release northern pike (Esox lucius) fishery </t>
  </si>
  <si>
    <t xml:space="preserve"> Klefoth, T.; Kobler, A.; Arlinghaus, R.</t>
  </si>
  <si>
    <t xml:space="preserve">KNOWLEDGE AND MANAGEMENT OF AQUATIC ECOSYSTEMS  Issue: 403     Article Number: 11   Published: 2011 </t>
  </si>
  <si>
    <t xml:space="preserve">Early exposure to nonlethal predation risk by size-selective predators increases somatic growth and decreases size at adulthood in threespined sticklebacks </t>
  </si>
  <si>
    <t xml:space="preserve"> Bell, A. M.; Dingemanse, N. J.; Hankison, S. J.; et al.</t>
  </si>
  <si>
    <t xml:space="preserve">JOURNAL OF EVOLUTIONARY BIOLOGY  Volume: 24   Issue: 5   Pages: 943-953   Published: MAY 2011 </t>
  </si>
  <si>
    <t>F19</t>
  </si>
  <si>
    <t xml:space="preserve">Costs and benefits of defences induced by predators differing in dangerousness </t>
  </si>
  <si>
    <t xml:space="preserve"> Hettyey, A.; Vincze, K.; Zsarnoczai, S.; et al.</t>
  </si>
  <si>
    <t xml:space="preserve">JOURNAL OF EVOLUTIONARY BIOLOGY  Volume: 24   Issue: 5   Pages: 1007-1019   Published: MAY 2011 </t>
  </si>
  <si>
    <t>F2</t>
  </si>
  <si>
    <t xml:space="preserve">Levels of Predation Modulate Antipredator Defense Behavior and Metamorphic Traits in the Toad Bufo melanostictus </t>
  </si>
  <si>
    <t xml:space="preserve"> Mogali, Santosh M.; Saidapur, Srinivas K.; Shanbhag, Bhagyashri A.</t>
  </si>
  <si>
    <t xml:space="preserve">JOURNAL OF HERPETOLOGY  Volume: 45   Issue: 4   Pages: 428-431   Published: DEC 2011 </t>
  </si>
  <si>
    <t>F24</t>
  </si>
  <si>
    <t xml:space="preserve">Effect of predation and habitat quality on growth and reproduction of a stream fish </t>
  </si>
  <si>
    <t xml:space="preserve"> Billman, E. J.; Tjarks, B. J.; Belk, M. C.</t>
  </si>
  <si>
    <t xml:space="preserve">ECOLOGY OF FRESHWATER FISH  Volume: 20   Issue: 1   Pages: 102-113   Published: MAR 2011 </t>
  </si>
  <si>
    <t>F26</t>
  </si>
  <si>
    <t xml:space="preserve">Experimental evidence that induced defenses promote coexistence of zooplanktonic populations </t>
  </si>
  <si>
    <t xml:space="preserve"> Aranguiz-Acuna, Adriana; Ramos-Jiliberto, Rodrigo; Bustamante, Ramiro O.</t>
  </si>
  <si>
    <t xml:space="preserve">JOURNAL OF PLANKTON RESEARCH  Volume: 33   Issue: 3   Pages: 469-477   Published: MAR 2011 </t>
  </si>
  <si>
    <t xml:space="preserve">Changes in algal community structure via density- and trait-mediated indirect interactions in a marine ecosystem </t>
  </si>
  <si>
    <t xml:space="preserve"> Wada, Yoko; Iwasaki, Keiji; Yusa, Yoichi</t>
  </si>
  <si>
    <t xml:space="preserve">ECOLOGY  Volume: 94   Issue: 11   Pages: 2567-2574   Published: NOV 2013 </t>
  </si>
  <si>
    <t xml:space="preserve">Trait-mediated indirect interactions in a marine intertidal system as quantified by functional responses </t>
  </si>
  <si>
    <t xml:space="preserve"> Alexander, Mhairi E.; Dick, Jaimie T. A.; O'Connor, Nessa E.</t>
  </si>
  <si>
    <t xml:space="preserve">OIKOS  Volume: 122   Issue: 11   Pages: 1521-1531   Published: NOV 2013 </t>
  </si>
  <si>
    <t>A12</t>
  </si>
  <si>
    <t xml:space="preserve">Predation-risk effects of predator identity on the foraging behaviors of frugivorous bats </t>
  </si>
  <si>
    <t xml:space="preserve"> Breviglieri, C. P. B.; Piccoli, G. C. O.; Uieda, W.; et al.</t>
  </si>
  <si>
    <t xml:space="preserve">OECOLOGIA  Volume: 173   Issue: 3   Pages: 905-912   Published: NOV 2013 </t>
  </si>
  <si>
    <t xml:space="preserve">Trait-mediated indirect effects, predators, and disease: test of a size-based model </t>
  </si>
  <si>
    <t xml:space="preserve"> Bertram, Christopher R.; Pinkowski, Mark; Hall, Spencer R.; et al.</t>
  </si>
  <si>
    <t xml:space="preserve">OECOLOGIA  Volume: 173   Issue: 3   Pages: 1023-1032   Published: NOV 2013 </t>
  </si>
  <si>
    <t xml:space="preserve">Trophic complexity enhances ecosystem functioning in an aquatic detritus-based model system </t>
  </si>
  <si>
    <t xml:space="preserve"> Jabiol, Jeremy; McKie, Brendan G.; Bruder, Andreas; et al.</t>
  </si>
  <si>
    <t xml:space="preserve">JOURNAL OF ANIMAL ECOLOGY  Volume: 82   Issue: 5   Pages: 1042-1051   Published: SEP 2013 </t>
  </si>
  <si>
    <t>A19</t>
  </si>
  <si>
    <t xml:space="preserve">Predator Diversity Effects in an Exotic Freshwater Food Web </t>
  </si>
  <si>
    <t>Naddafi, Rahmat; Rudstam, Lars G.</t>
  </si>
  <si>
    <t>By: Naddafi, Rahmat; Rudstam, Lars G.</t>
  </si>
  <si>
    <t xml:space="preserve">Synergistic effects of predators and trematode parasites on larval green frog (Rana clamitans) survival </t>
  </si>
  <si>
    <t xml:space="preserve"> Marino, John A.; Werner, Earl E.</t>
  </si>
  <si>
    <t xml:space="preserve">ECOLOGY  Volume: 94   Issue: 12   Pages: 2697-2708   Published: DEC 2013 </t>
  </si>
  <si>
    <t xml:space="preserve">The biological control of Pomacea canaliculata population by rice-duck mutualism in paddy fields </t>
  </si>
  <si>
    <t xml:space="preserve"> Liang, Kaiming; Zhang, Jia-en; Fang, Li; et al.</t>
  </si>
  <si>
    <t xml:space="preserve">BIOCONTROL SCIENCE AND TECHNOLOGY  Volume: 23   Issue: 6   Pages: 674-690   Published: JUN 1 2013 </t>
  </si>
  <si>
    <t>A33</t>
  </si>
  <si>
    <t xml:space="preserve">Top-down control of prey increases with drying disturbance in ponds: a consequence of non-consumptive interactions? </t>
  </si>
  <si>
    <t xml:space="preserve"> Greig, Hamish S.; Wissinger, Scott A.; McIntosh, Angus R.</t>
  </si>
  <si>
    <t xml:space="preserve">JOURNAL OF ANIMAL ECOLOGY  Volume: 82   Issue: 3   Pages: 598-607   Published: MAY 2013 </t>
  </si>
  <si>
    <t>A34</t>
  </si>
  <si>
    <t xml:space="preserve">Density- and trait-mediated top-down effects modify bottom-up control of a highly endemic tropical aquatic food web </t>
  </si>
  <si>
    <t xml:space="preserve"> Dalton, C. M.; Mokiao-Lee, A.; Sakihara, T. S.; et al.</t>
  </si>
  <si>
    <t xml:space="preserve">OIKOS  Volume: 122   Issue: 5   Pages: 790-800   Published: MAY 2013 </t>
  </si>
  <si>
    <t>A42</t>
  </si>
  <si>
    <t xml:space="preserve">Spider silk reduces insect herbivory. </t>
  </si>
  <si>
    <t xml:space="preserve"> Rypstra, Ann L.; Buddle, Christopher M.</t>
  </si>
  <si>
    <t xml:space="preserve">Biology Letters  Volume: 9   Issue: 1   Pages: 4pp.   Published: Feb 23 2013 </t>
  </si>
  <si>
    <t>A45</t>
  </si>
  <si>
    <t xml:space="preserve">Restricting Prey Dispersal Can Overestimate the Importance of Predation in Trophic Cascades. </t>
  </si>
  <si>
    <t xml:space="preserve"> Geraldi, Nathan R.; Macreadie, Peter I.</t>
  </si>
  <si>
    <t xml:space="preserve">PLoS ONE  Volume: 8   Issue: 2   Pages: 1-9   Published: Feb 7 2013 </t>
  </si>
  <si>
    <t>A46</t>
  </si>
  <si>
    <t xml:space="preserve">Ants protect conifer seedlings from feeding damage by the pine weevil Hylobius abietis </t>
  </si>
  <si>
    <t xml:space="preserve"> Manak, Vitezslav; Nordenhem, Henrik; Bjorklund, Niklas; et al.</t>
  </si>
  <si>
    <t xml:space="preserve">AGRICULTURAL AND FOREST ENTOMOLOGY  Volume: 15   Issue: 1   Pages: 98-105   Published: FEB 2013 </t>
  </si>
  <si>
    <t>A47</t>
  </si>
  <si>
    <t xml:space="preserve">Fearing the feline: domestic cats reduce avian fecundity through trait-mediated indirect effects that increase nest predation by other species </t>
  </si>
  <si>
    <t xml:space="preserve"> Bonnington, Colin; Gaston, Kevin J.; Evans, Karl L.</t>
  </si>
  <si>
    <t xml:space="preserve">JOURNAL OF APPLIED ECOLOGY  Volume: 50   Issue: 1   Pages: 15-24   Published: FEB 2013 </t>
  </si>
  <si>
    <t>A5</t>
  </si>
  <si>
    <t xml:space="preserve">Prey subsidy or predator cue? Direct and indirect effects of caged predators on aquatic consumers and resources </t>
  </si>
  <si>
    <t xml:space="preserve"> Costa, Zacharia J.; Vonesh, James R.</t>
  </si>
  <si>
    <t xml:space="preserve">OECOLOGIA  Volume: 173   Issue: 4   Pages: 1481-1490   Published: DEC 2013 </t>
  </si>
  <si>
    <t>A51</t>
  </si>
  <si>
    <t xml:space="preserve">Spiders do not affect fruit set in Byrsonima intermedia (Malpighiaceae). </t>
  </si>
  <si>
    <t xml:space="preserve"> Ribas, Augusto C.A.; Raizer, Josue</t>
  </si>
  <si>
    <t xml:space="preserve">Journal of Negative Results Ecology &amp; Evolutionary Biology  Volume: 10   Pages: 1-5   Published: Jan 2 2013 </t>
  </si>
  <si>
    <t>A57</t>
  </si>
  <si>
    <t xml:space="preserve">Facilitation of ground-dwelling wolf spider predation on mind bugs by horizontal webs built by Tetragnatha spiders in organic paddy fields </t>
  </si>
  <si>
    <t xml:space="preserve"> Takada, Mayura B.; Kobayashi, Tetsuya; Yoshioka, Akira; et al.</t>
  </si>
  <si>
    <t xml:space="preserve">JOURNAL OF ARACHNOLOGY  Volume: 41   Issue: 1   Pages: 31-35   Published: 2013 </t>
  </si>
  <si>
    <t>A62</t>
  </si>
  <si>
    <t xml:space="preserve">Threat of predation alters the ability of benthic invertebrates to modify sediment biogeochemistry and benthic microalgal abundance </t>
  </si>
  <si>
    <t xml:space="preserve"> Premo, Katherine M.; Tyler, Anna Christina</t>
  </si>
  <si>
    <t xml:space="preserve">MARINE ECOLOGY PROGRESS SERIES  Volume: 494   Pages: 29-39   Published: 2013 </t>
  </si>
  <si>
    <t xml:space="preserve">Consumptive effects of crayfish limit snail populations </t>
  </si>
  <si>
    <t>Dorn, Nathan J.</t>
  </si>
  <si>
    <t xml:space="preserve">FRESHWATER SCIENCE  Volume: 32   Issue: 4   Pages: 1298-1308   Published: DEC 2013 </t>
  </si>
  <si>
    <t>D14</t>
  </si>
  <si>
    <t xml:space="preserve">An invasive species facilitates the recovery of salt marsh ecosystems on Cape Cod </t>
  </si>
  <si>
    <t xml:space="preserve"> Bertness, Mark D.; Coverdale, Tyler C.</t>
  </si>
  <si>
    <t xml:space="preserve">ECOLOGY  Volume: 94   Issue: 9   Pages: 1937-1943   Published: SEP 2013 </t>
  </si>
  <si>
    <t>D16</t>
  </si>
  <si>
    <t xml:space="preserve">Nonconsumptive effects in a multiple predator system reduce the foraging efficiency of a keystone predator </t>
  </si>
  <si>
    <t xml:space="preserve"> Davenport, Jon M.; Chalcraft, David R.</t>
  </si>
  <si>
    <t xml:space="preserve">ECOLOGY AND EVOLUTION  Volume: 3   Issue: 9   Pages: 3063-3072   Published: SEP 2013 </t>
  </si>
  <si>
    <t>D20</t>
  </si>
  <si>
    <t xml:space="preserve">New England Salt Marsh Recovery: Opportunistic Colonization of an Invasive Species and Its Non-Consumptive Effects </t>
  </si>
  <si>
    <t xml:space="preserve"> Coverdale, Tyler C.; Axelman, Eric E.; Brisson, Caitlin P.; et al.</t>
  </si>
  <si>
    <t xml:space="preserve">PLOS ONE  Volume: 8   Issue: 8     Article Number: e73823   Published: AUG 29 2013 </t>
  </si>
  <si>
    <t>D25</t>
  </si>
  <si>
    <t xml:space="preserve">Food use is affected by the experience of nest predation: implications for indirect predator effects on clutch size </t>
  </si>
  <si>
    <t xml:space="preserve"> Zanette, Liana Y.; Hobson, Keith A.; Clinchy, Michael; et al.</t>
  </si>
  <si>
    <t xml:space="preserve">OECOLOGIA  Volume: 172   Issue: 4   Pages: 1031-1039   Published: AUG 2013 </t>
  </si>
  <si>
    <t>D28</t>
  </si>
  <si>
    <t xml:space="preserve">Trophic cascade alters ecosystem carbon exchange </t>
  </si>
  <si>
    <t xml:space="preserve"> Strickland, Michael S.; Hawlena, Dror; Reese, Aspen; et al.</t>
  </si>
  <si>
    <t xml:space="preserve">PROCEEDINGS OF THE NATIONAL ACADEMY OF SCIENCES OF THE UNITED STATES OF AMERICA  Volume: 110   Issue: 27   Pages: 11035-11038   Published: JUL 2 2013 </t>
  </si>
  <si>
    <t>D30</t>
  </si>
  <si>
    <t xml:space="preserve">Transgenerational cross-tolerance to stress: parental exposure to predators increases offspring contaminant tolerance </t>
  </si>
  <si>
    <t xml:space="preserve"> Plautz, Stephanie C.; Guest, Taylor; Funkhouser, Meghan A.; et al.</t>
  </si>
  <si>
    <t xml:space="preserve">ECOTOXICOLOGY  Volume: 22   Issue: 5   Special Issue: SI   Pages: 854-861   Published: JUL 2013 </t>
  </si>
  <si>
    <t>D36</t>
  </si>
  <si>
    <t xml:space="preserve">Predator biomass determines the magnitude of non-consumptive effects (NCEs) in both laboratory and field environments </t>
  </si>
  <si>
    <t xml:space="preserve"> Hill, Jennifer M.; Weissburg, Marc J.</t>
  </si>
  <si>
    <t xml:space="preserve">OECOLOGIA  Volume: 172   Issue: 1   Pages: 79-91   Published: MAY 2013 </t>
  </si>
  <si>
    <t>D37</t>
  </si>
  <si>
    <t xml:space="preserve">Stress Triangle: Do Introduced Predators Exert Indirect Costs on Native Predators and Prey? </t>
  </si>
  <si>
    <t xml:space="preserve"> Anson, Jennifer R.; Dickman, Chris R.; Boonstra, Rudy; et al.</t>
  </si>
  <si>
    <t xml:space="preserve">PLOS ONE  Volume: 8   Issue: 4     Article Number: e60916   Published: APR 9 2013 </t>
  </si>
  <si>
    <t xml:space="preserve">Fear in the dark? Community-level effects of non-lethal predators change with light regime </t>
  </si>
  <si>
    <t>Forbes, Coreen; Hammill, Edd</t>
  </si>
  <si>
    <t xml:space="preserve">OIKOS  Volume: 122   Issue: 12   Pages: 1662-1668   Published: DEC 2013 </t>
  </si>
  <si>
    <t>D45</t>
  </si>
  <si>
    <t xml:space="preserve">Multiple predator species alter prey behavior, population growth, and a trophic cascade in a model estuarine food web </t>
  </si>
  <si>
    <t>Reynolds, Pamela L.; Bruno, John F.</t>
  </si>
  <si>
    <t>By: Reynolds, Pamela L.; Bruno, John F.</t>
  </si>
  <si>
    <t>D46</t>
  </si>
  <si>
    <t xml:space="preserve">Impacts of a large-bodied, apex predator (Alligator mississippiensis Daudin 1801) on salt marsh food webs </t>
  </si>
  <si>
    <t xml:space="preserve"> Nifong, James C.; Silliman, Brian R.</t>
  </si>
  <si>
    <t xml:space="preserve">JOURNAL OF EXPERIMENTAL MARINE BIOLOGY AND ECOLOGY  Volume: 440   Pages: 185-191   Published: FEB 2013 </t>
  </si>
  <si>
    <t>D5</t>
  </si>
  <si>
    <t xml:space="preserve">Patterns of top-down control in a seagrass ecosystem: could a roving apex predator induce a behaviour-mediated trophic cascade? </t>
  </si>
  <si>
    <t xml:space="preserve"> Burkholder, Derek A.; Heithaus, Michael R.; Fourqurean, James W.; et al.</t>
  </si>
  <si>
    <t xml:space="preserve">JOURNAL OF ANIMAL ECOLOGY  Volume: 82   Issue: 6   Pages: 1192-1202   Published: NOV 2013 </t>
  </si>
  <si>
    <t xml:space="preserve">A suite of prey traits determine predator and nutrient enrichment effects in a tri-trophic food chain </t>
  </si>
  <si>
    <t xml:space="preserve"> Ruehl, Clifton B.; Trexler, Joel C.</t>
  </si>
  <si>
    <t xml:space="preserve">ECOSPHERE   Volume: 4   Issue: 6     Article Number: UNSP 75   Published: JUN 2013 </t>
  </si>
  <si>
    <t xml:space="preserve">Predation risk between cannibalistic aeshnid dragonflies influences their functional response on a larval salamander prey </t>
  </si>
  <si>
    <t>By: Anderson, T. L.</t>
  </si>
  <si>
    <t xml:space="preserve">JOURNAL OF ZOOLOGY  Volume: 300   Issue: 3   Pages: 221-227   Published: NOV 2016 </t>
  </si>
  <si>
    <t xml:space="preserve">Prey state alters trait-mediated indirect interactions in rocky tide pools </t>
  </si>
  <si>
    <t>By: Gravem, Sarah A.; Morgan, Steven G.</t>
  </si>
  <si>
    <t xml:space="preserve">FUNCTIONAL ECOLOGY  Volume: 30   Issue: 9   Pages: 1574-1582   Published: SEP 2016 </t>
  </si>
  <si>
    <t>A35</t>
  </si>
  <si>
    <t xml:space="preserve">Trait-mediated indirect interactions among residents of rocky shore tidepools </t>
  </si>
  <si>
    <t>By: Morgan, Steven G.; Gravem, Sarah A.; Lipus, Adam C.; et al.</t>
  </si>
  <si>
    <t xml:space="preserve">MARINE ECOLOGY PROGRESS SERIES  Volume: 552   Pages: 31-46   Published: JUN 23 2016 </t>
  </si>
  <si>
    <t xml:space="preserve">Floral asymmetry and predation risk modify pollinator behavior, but only predation risk decreases plant fitness </t>
  </si>
  <si>
    <t>By: Poleto Antiqueira, Pablo Augusto; Romero, Gustavo Quevedo</t>
  </si>
  <si>
    <t xml:space="preserve">OECOLOGIA  Volume: 181   Issue: 2   Pages: 475-485   Published: JUN 2016 </t>
  </si>
  <si>
    <t>A47a</t>
  </si>
  <si>
    <t xml:space="preserve">Fear, fire, and behaviorally mediated trophic cascades in a frequently burned savanna </t>
  </si>
  <si>
    <t>By: Cherry, Michael J.; Warren, Robert J.; Conner, L. Mike</t>
  </si>
  <si>
    <t xml:space="preserve">FOREST ECOLOGY AND MANAGEMENT  Volume: 368   Pages: 133-139   Published: MAY 15 2016 </t>
  </si>
  <si>
    <t>A59a</t>
  </si>
  <si>
    <t xml:space="preserve">Non-consumptive predator effects on a primary greenhouse pest: Predatory mite harassment reduces western flower thrips abundance and plant damage </t>
  </si>
  <si>
    <t>By: Jandricic, S. E.; Schmidt, Danielle; Bryant, G.; et al.</t>
  </si>
  <si>
    <t xml:space="preserve">BIOLOGICAL CONTROL  Volume: 95   Pages: 5-12   Published: APR 2016 </t>
  </si>
  <si>
    <t>A61a</t>
  </si>
  <si>
    <t xml:space="preserve">Natural and experimental tests of trophic cascades: gray wolves and white-tailed deer in a Great Lakes forest </t>
  </si>
  <si>
    <t>By: Flagel, D. G.; Belovsky, G. E.; Beyer, D. E., Jr.</t>
  </si>
  <si>
    <t xml:space="preserve">OECOLOGIA  Volume: 180   Issue: 4   Pages: 1183-1194   Published: APR 2016 </t>
  </si>
  <si>
    <t>A68</t>
  </si>
  <si>
    <t xml:space="preserve">Consumptive and non-consumptive effects of wolf spiders on cotton bollworms </t>
  </si>
  <si>
    <t>By: Rendon, Dalila; Whitehouse, Mary E. A.; Taylor, Phillip W.</t>
  </si>
  <si>
    <t xml:space="preserve">ENTOMOLOGIA EXPERIMENTALIS ET APPLICATA  Volume: 158   Issue: 2   Pages: 170-183   Published: FEB 2016 </t>
  </si>
  <si>
    <t>D101-2nd</t>
  </si>
  <si>
    <t xml:space="preserve">A predator has nonconsumptive effects on different life-history stages of a prey </t>
  </si>
  <si>
    <t>By: Ellrich, Julius A.; Scrosati, Ricardo A.; Bertolini, Camilla; et al.</t>
  </si>
  <si>
    <t xml:space="preserve">MARINE BIOLOGY  Volume: 163   Issue: 1     Article Number: 5   Published: JAN 2016 </t>
  </si>
  <si>
    <t>D15</t>
  </si>
  <si>
    <t xml:space="preserve">Dropping behaviour of pea aphid nymphs increases their development time and reduces their reproductive capacity as adults </t>
  </si>
  <si>
    <t>By: Agabiti, Barbara; Wassenaar, Roxanne J.; Winder, Linton</t>
  </si>
  <si>
    <t xml:space="preserve">PEERJ  Volume: 4     Article Number: e2236   Published: JUL 27 2016 </t>
  </si>
  <si>
    <t>D15-2nd</t>
  </si>
  <si>
    <t xml:space="preserve">Resource levels and prey state influence antipredator behavior and the strength of nonconsumptive predator effects </t>
  </si>
  <si>
    <t>By: Matassa, Catherine M.; Donelan, Sarah C.; Luttbeg, Barney; et al.</t>
  </si>
  <si>
    <t xml:space="preserve">OIKOS  Volume: 125   Issue: 10   Pages: 1478-1488   Published: OCT 2016 </t>
  </si>
  <si>
    <t>D18</t>
  </si>
  <si>
    <t xml:space="preserve">The Effects of Pond Drying and Predation on Blanchard's Cricket Frogs (Acris blanchardi) </t>
  </si>
  <si>
    <t>By: Gordon, Ashley M.; Youngquist, Melissa B.; Boone, Michelle D.</t>
  </si>
  <si>
    <t xml:space="preserve">COPEIA  Volume: 104   Issue: 2   Pages: 482-486   Published: JUL 2016 </t>
  </si>
  <si>
    <t>D19</t>
  </si>
  <si>
    <t xml:space="preserve">Antagonistic interactions between an invasive alien and a native coccinellid species may promote coexistence </t>
  </si>
  <si>
    <t>By: Hentley, William T.; Vanbergen, Adam J.; Beckerman, Andrew P.; et al.</t>
  </si>
  <si>
    <t xml:space="preserve">JOURNAL OF ANIMAL ECOLOGY  Volume: 85   Issue: 4   Pages: 1087-1097   Published: JUL 2016 </t>
  </si>
  <si>
    <t>D19-2nd</t>
  </si>
  <si>
    <t xml:space="preserve">Predator contributions to belowground responses to warming </t>
  </si>
  <si>
    <t>By: Maran, A. M.; Pelini, S. L.</t>
  </si>
  <si>
    <t xml:space="preserve">ECOSPHERE  Volume: 7   Issue: 9     Article Number: e01457   Published: SEP 2016 </t>
  </si>
  <si>
    <t>D21</t>
  </si>
  <si>
    <t xml:space="preserve">Human shields mediate sexual conflict in a top predator </t>
  </si>
  <si>
    <t>By: Steyaert, S. M. J. G.; Leclerc, M.; Pelletier, F.; et al.</t>
  </si>
  <si>
    <t xml:space="preserve">PROCEEDINGS OF THE ROYAL SOCIETY B-BIOLOGICAL SCIENCES  Volume: 283   Issue: 1833     Article Number: 20160906   Published: JUN 29 2016 </t>
  </si>
  <si>
    <t>D23-2nd</t>
  </si>
  <si>
    <t>D24</t>
  </si>
  <si>
    <t xml:space="preserve">Short- and long-term behavioural, physiological and stoichiometric responses to predation risk indicate chronic stress and compensatory mechanisms </t>
  </si>
  <si>
    <t>By: Van Dievel, Marie; Janssens, Lizanne; Stoks, Robby</t>
  </si>
  <si>
    <t xml:space="preserve">OECOLOGIA  Volume: 181   Issue: 2   Pages: 347-357   Published: JUN 2016 </t>
  </si>
  <si>
    <t xml:space="preserve">Predator presence dramatically reduces copepod abundance through condition-mediated non-consumptive effects </t>
  </si>
  <si>
    <t>By: Bourdeau, Paul E.; Bach, Matthew T.; Peacor, Scott D.</t>
  </si>
  <si>
    <t xml:space="preserve">FRESHWATER BIOLOGY  Volume: 61   Issue: 6   Pages: 1020-1031   Published: JUN 2016 </t>
  </si>
  <si>
    <t>D32-2nd</t>
  </si>
  <si>
    <t xml:space="preserve">Linking predation risk, ungulate antipredator responses, and patterns of vegetation in the high Andes </t>
  </si>
  <si>
    <t>By: Donadio, Emiliano; Buskirk, Steven W.</t>
  </si>
  <si>
    <t xml:space="preserve">JOURNAL OF MAMMALOGY  Volume: 97   Issue: 3   Pages: 966-977   Published: JUN 9 2016 </t>
  </si>
  <si>
    <t>D35</t>
  </si>
  <si>
    <t xml:space="preserve">Experimental evidence for within- and cross-seasonal effects of fear on survival and reproduction </t>
  </si>
  <si>
    <t>By: Elliott, Kyle H.; Betini, Gustavo S.; Dworkin, Ian; et al.</t>
  </si>
  <si>
    <t xml:space="preserve">JOURNAL OF ANIMAL ECOLOGY  Volume: 85   Issue: 2   Pages: 507-515   Published: MAR 2016 </t>
  </si>
  <si>
    <t>D40-2nd</t>
  </si>
  <si>
    <t xml:space="preserve">Larval long-toed salamanders incur nonconsumptive effects in the presence of nonnative trout </t>
  </si>
  <si>
    <t>By: Kenison, Erin K.; Litt, Andrea R.; Pilliod, David S.; et al.</t>
  </si>
  <si>
    <t xml:space="preserve">ECOSPHERE  Volume: 7   Issue: 5     Article Number: e01258   Published: MAY 2016 </t>
  </si>
  <si>
    <t>D41-2nd</t>
  </si>
  <si>
    <t xml:space="preserve">Intraguild predation by shore crabs affects mortality, behavior, growth, and densities of California horn snails </t>
  </si>
  <si>
    <t>By: Lorda, J.; Hechinger, R. F.; Cooper, S. D.; et al.</t>
  </si>
  <si>
    <t xml:space="preserve">ECOSPHERE  Volume: 7   Issue: 5     Article Number: e01262   Published: MAY 2016 </t>
  </si>
  <si>
    <t>D4-2nd</t>
  </si>
  <si>
    <t xml:space="preserve">Extending the "Ecology of Fear" Beyond Prey: Reciprocal Nonconsumptive Effects Among Competing Aphid Predators </t>
  </si>
  <si>
    <t>By: Michaud, J. P.; Barbosa, Paulo R. R.; Bain, Clint L.; et al.</t>
  </si>
  <si>
    <t xml:space="preserve">ENVIRONMENTAL ENTOMOLOGY  Volume: 45   Issue: 6   Pages: 1398-1403   Published: DEC 2016 </t>
  </si>
  <si>
    <t>D48-2nd</t>
  </si>
  <si>
    <t xml:space="preserve">Role of habitat complexity in predator-prey dynamics between an introduced fish and larval Long-toed Salamanders (Ambystoma macrodactylum) </t>
  </si>
  <si>
    <t xml:space="preserve">CANADIAN JOURNAL OF ZOOLOGY  Volume: 94   Issue: 4   Pages: 243-249   Published: APR 2016 </t>
  </si>
  <si>
    <t xml:space="preserve">Piscivore addition causes a trophic cascade within and across ecosystem boundaries </t>
  </si>
  <si>
    <t>By: Rudman, Seth M.; Heavyside, Julian; Rennison, Diana J.; et al.</t>
  </si>
  <si>
    <t xml:space="preserve">OIKOS  Volume: 125   Issue: 12   Pages: 1782-1789   Published: DEC 2016 </t>
  </si>
  <si>
    <t xml:space="preserve">Energy storage and fecundity explain deviations from ecological stoichiometry predictions under global warming and size-selective predation </t>
  </si>
  <si>
    <t>By: Zhang, Chao; Jansen, Mieke; De Meester, Luc; et al.</t>
  </si>
  <si>
    <t xml:space="preserve">JOURNAL OF ANIMAL ECOLOGY  Volume: 85   Issue: 6   Pages: 1431-1441   Published: NOV 2016 </t>
  </si>
  <si>
    <t>E20</t>
  </si>
  <si>
    <t xml:space="preserve">Terrestrial Growth in Northern Leopard Frogs Reared in the Presence or Absence of Predators and Exposed to the Amphibian Chytrid Fungus at Metamorphosis </t>
  </si>
  <si>
    <t>By: Caseltine, Jeremy S.; Rumschlag, Samantha L.; Boone, Michelle D.</t>
  </si>
  <si>
    <t xml:space="preserve">JOURNAL OF HERPETOLOGY  Volume: 50   Issue: 3   Pages: 404-408   Published: SEP 2016 </t>
  </si>
  <si>
    <t>E59</t>
  </si>
  <si>
    <t xml:space="preserve">Predators Exacerbate Competitive Interactions and Dominance Hierarchies between Two Coral Reef Fishes </t>
  </si>
  <si>
    <t>By: Hall, April; Kingsford, Michael</t>
  </si>
  <si>
    <t xml:space="preserve">PLOS ONE  Volume: 11   Issue: 3     Article Number: e0151778   Published: MAR 18 2016 </t>
  </si>
  <si>
    <t>E65</t>
  </si>
  <si>
    <t xml:space="preserve">Synthetic predator cues impair immune function and make the biological pesticide Bti more lethal for vector mosquitoes </t>
  </si>
  <si>
    <t>By: Op de Beeck, Lin; Janssens, Lizanne; Stoks, Robby</t>
  </si>
  <si>
    <t xml:space="preserve">ECOLOGICAL APPLICATIONS  Volume: 26   Issue: 2   Pages: 355-366   Published: MAR 2016 </t>
  </si>
  <si>
    <t>E99</t>
  </si>
  <si>
    <t xml:space="preserve">Sex-Specific Parental Care in Response to Predation Risk in the European Roller, Coracias garrulus </t>
  </si>
  <si>
    <t>By: Exposito-Granados, Monica; Parejo, Deseada; Aviles, Jesus M.</t>
  </si>
  <si>
    <t xml:space="preserve">ETHOLOGY  Volume: 122   Issue: 1   Pages: 72-79   Published: JAN 2016 </t>
  </si>
  <si>
    <t xml:space="preserve">Mortality and lamb body mass growth in free-ranging domestic sheep - environmental impacts including lethal and non-lethal impacts of predators </t>
  </si>
  <si>
    <t>By: Mabille, Geraldine; Stien, Audun; Tveraa, Torkild; et al.</t>
  </si>
  <si>
    <t xml:space="preserve">ECOGRAPHY  Volume: 39   Issue: 8   Pages: 763-773   Published: AUG 2016 </t>
  </si>
  <si>
    <t>F30a</t>
  </si>
  <si>
    <t xml:space="preserve">Intraguild predation leads to cascading effects on habitat choice, behaviour and reproductive performance </t>
  </si>
  <si>
    <t>By: Mueller, Anna-Katharina; Chakarov, Nayden; Heseker, Hanna; et al.</t>
  </si>
  <si>
    <t xml:space="preserve">JOURNAL OF ANIMAL ECOLOGY  Volume: 85   Issue: 3   Pages: 774-784   Published: MAY 2016 </t>
  </si>
  <si>
    <t>F8</t>
  </si>
  <si>
    <t xml:space="preserve">Indirect effects of the generalist avian predator, the goshawk, on life history of an uncommon prey species, the stock dove </t>
  </si>
  <si>
    <t>By: Moller, Anders Pape; Flensted-Jensen, Einar; Nielsen, Jan Tottrup</t>
  </si>
  <si>
    <t xml:space="preserve">OECOLOGIA  Volume: 182   Issue: 4   Pages: 1045-1052   Published: DEC 2016 </t>
  </si>
  <si>
    <t xml:space="preserve">Density-mediated indirect effects from active predators and narrow habitat domain prey </t>
  </si>
  <si>
    <t xml:space="preserve"> Rinehart, S. A.; Schroeter, S. C.; Long, J. D.</t>
  </si>
  <si>
    <t xml:space="preserve">ECOLOGY  Volume: 98   Issue: 10   Pages: 2653-2661   Published: OCT 2017 </t>
  </si>
  <si>
    <t>A24</t>
  </si>
  <si>
    <t xml:space="preserve">Time-lagged effect of predators on tadpole behaviour and parasite infection </t>
  </si>
  <si>
    <t xml:space="preserve"> Koprivnikar, Janet; Urichuk, Theresa M. Y.</t>
  </si>
  <si>
    <t xml:space="preserve">BIOLOGY LETTERS  Volume: 13   Issue: 9     Article Number: 20170440   Published: SEP 1 2017 </t>
  </si>
  <si>
    <t xml:space="preserve">Contrasting complexity of adjacent habitats influences the strength of cascading predatory effects </t>
  </si>
  <si>
    <t xml:space="preserve"> Byers, James E.; Holmes, Zachary C.; Malek, Jennafer C.</t>
  </si>
  <si>
    <t xml:space="preserve">OECOLOGIA  Volume: 185   Issue: 1   Pages: 107-117   Published: SEP 2017 </t>
  </si>
  <si>
    <t xml:space="preserve">Keystone nonconsumptive effects within a diverse predator community </t>
  </si>
  <si>
    <t xml:space="preserve"> Meadows, Amanda J.; Owen, Jeb P.; Snyder, William E.</t>
  </si>
  <si>
    <t xml:space="preserve">ECOLOGY AND EVOLUTION  Volume: 7   Issue: 23   Pages: 10315-10325   Published: DEC 2017 </t>
  </si>
  <si>
    <t>A41</t>
  </si>
  <si>
    <t xml:space="preserve">Early exposure to predation risk carries over metamorphosis in two distantly related freshwater insects </t>
  </si>
  <si>
    <t xml:space="preserve"> Fontana-Bria, Laia; Selfa, Jesus; Tur, Carles; et al.</t>
  </si>
  <si>
    <t xml:space="preserve">ECOLOGICAL ENTOMOLOGY  Volume: 42   Issue: 3   Pages: 255-262   Published: JUN 2017 </t>
  </si>
  <si>
    <t>A44</t>
  </si>
  <si>
    <t xml:space="preserve">Fear Mediates Trophic Cascades: Nonconsumptive Effects of Predators Drive Aquatic Ecosystem Function </t>
  </si>
  <si>
    <t xml:space="preserve"> Breviglieri, Crasso Paulo B.; Oliveira, Paulo S.; Romero, Gustavo Q.</t>
  </si>
  <si>
    <t xml:space="preserve">AMERICAN NATURALIST  Volume: 189   Issue: 5   Pages: 490-500   Published: MAY 2017 </t>
  </si>
  <si>
    <t xml:space="preserve">Consumptive and nonconsumptive effect ratios depend on interaction between plant quality and hunting behavior of omnivorous predators </t>
  </si>
  <si>
    <t xml:space="preserve"> Stephan, Jorg G.; Stenberg, Johan A.; Bjorkman, Christer</t>
  </si>
  <si>
    <t xml:space="preserve">ECOLOGY AND EVOLUTION  Volume: 7   Issue: 7   Pages: 2327-2339   Published: APR 2017 </t>
  </si>
  <si>
    <t>A48</t>
  </si>
  <si>
    <t xml:space="preserve">Roles of the seasonal dynamics of ecosystem components in fluctuating indirect interactions on a rocky shore </t>
  </si>
  <si>
    <t xml:space="preserve"> Wada, Yoko; Iwasaki, Keiji; Ida, Takashi Y.; et al.</t>
  </si>
  <si>
    <t xml:space="preserve">ECOLOGY  Volume: 98   Issue: 4   Pages: 1093-1103   Published: APR 2017 </t>
  </si>
  <si>
    <t>A50</t>
  </si>
  <si>
    <t xml:space="preserve">Moving beyond linear food chains: trait-mediated indirect interactions in a rocky intertidal food web </t>
  </si>
  <si>
    <t xml:space="preserve"> Trussell, Geoffrey C.; Matassa, Catherine M.; Ewanchuk, Patrick J.</t>
  </si>
  <si>
    <t xml:space="preserve">PROCEEDINGS OF THE ROYAL SOCIETY B-BIOLOGICAL SCIENCES  Volume: 284   Issue: 1851     Article Number: 20162590   Published: MAR 29 2017 </t>
  </si>
  <si>
    <t xml:space="preserve">Effects of prey density, temperature and predator diversity on nonconsumptive predator-driven mortality in a freshwater food web </t>
  </si>
  <si>
    <t xml:space="preserve"> Vesely, Lukas; Boukal, David S.; Buric, Milos; et al.</t>
  </si>
  <si>
    <t xml:space="preserve">SCIENTIFIC REPORTS  Volume: 7     Article Number: 18075   Published: DEC 22 2017 </t>
  </si>
  <si>
    <t xml:space="preserve">Does fear beget fear? Risk-mediated habitat selection triggers predator avoidance at lower trophic levels </t>
  </si>
  <si>
    <t xml:space="preserve"> Blubaugh, Carmen K.; Widick, Ivy V.; Kaplan, Ian</t>
  </si>
  <si>
    <t xml:space="preserve">OECOLOGIA  Volume: 185   Issue: 1   Pages: 1-11   Published: SEP 2017 </t>
  </si>
  <si>
    <t xml:space="preserve">Fear of predation alters clone-specific performance in phloem-feeding prey </t>
  </si>
  <si>
    <t xml:space="preserve"> Khudr, Mouhammad Shadi; Buzhdygan, Oksana Y.; Petermann, Jana S.; et al.</t>
  </si>
  <si>
    <t xml:space="preserve">SCIENTIFIC REPORTS  Volume: 7     Article Number: 7695   Published: AUG 9 2017 </t>
  </si>
  <si>
    <t xml:space="preserve">Natural enemies partially compensate for warming induced excess herbivory in an organic growth system </t>
  </si>
  <si>
    <t xml:space="preserve"> Beleznai, Orsolya; Dreyer, Jamin; Toth, Zoltan; et al.</t>
  </si>
  <si>
    <t xml:space="preserve">SCIENTIFIC REPORTS  Volume: 7     Article Number: 7266   Published: AUG 4 2017 </t>
  </si>
  <si>
    <t xml:space="preserve">Keep calm and don't stop growing: Non-consumptive effects of a sympatric predator on two invasive Ponto-Caspian gammarids Dikerogammarus villosus and Pontogammarus robustoides </t>
  </si>
  <si>
    <t xml:space="preserve"> Jermacz, Lukasz; Kobak, Jaroslaw</t>
  </si>
  <si>
    <t xml:space="preserve">PLOS ONE  Volume: 12   Issue: 8     Article Number: e0182481   Published: AUG 3 2017 </t>
  </si>
  <si>
    <t>D22</t>
  </si>
  <si>
    <t xml:space="preserve">Trophic cascades and the transient keystone concept </t>
  </si>
  <si>
    <t xml:space="preserve"> Barrios-O'Neill, Daniel; Bertolini, Camilla; Collins, Patrick Colman</t>
  </si>
  <si>
    <t xml:space="preserve">BIOLOGICAL CONSERVATION  Volume: 212   Pages: 191-195   Part: A   Published: AUG 2017 </t>
  </si>
  <si>
    <t>D26</t>
  </si>
  <si>
    <t xml:space="preserve">Nutritional state reveals complex consequences of risk in a wild predator-prey community </t>
  </si>
  <si>
    <t xml:space="preserve"> DeWitt, Philip D.; Schuler, Matthew S.; Visscher, Darcy R.; et al.</t>
  </si>
  <si>
    <t xml:space="preserve">PROCEEDINGS OF THE ROYAL SOCIETY B-BIOLOGICAL SCIENCES  Volume: 284   Issue: 1858     Article Number: 20170757   Published: JUL 12 2017 </t>
  </si>
  <si>
    <t>D34</t>
  </si>
  <si>
    <t xml:space="preserve">Fear creates an Allee effect: experimental evidence from seasonal populations </t>
  </si>
  <si>
    <t xml:space="preserve"> Elliott, Kyle H.; Betini, Gustavo S.; Norris, D. Ryan</t>
  </si>
  <si>
    <t xml:space="preserve">PROCEEDINGS OF THE ROYAL SOCIETY B-BIOLOGICAL SCIENCES  Volume: 284   Issue: 1857     Article Number: 20170878   Published: JUN 28 2017 </t>
  </si>
  <si>
    <t xml:space="preserve">Predator-induced shell plasticity in mussels hinders predation by drilling snails </t>
  </si>
  <si>
    <t xml:space="preserve"> Sherker, Zachary T.; Ellrich, Julius A.; Scrosati, Ricardo A.</t>
  </si>
  <si>
    <t xml:space="preserve">MARINE ECOLOGY PROGRESS SERIES  Volume: 573   Pages: 167-175   Published: JUN 21 2017 </t>
  </si>
  <si>
    <t>D39</t>
  </si>
  <si>
    <t xml:space="preserve">Testing associational resistance against pine weevils mediated by Lasius ants attending conifer seedlings </t>
  </si>
  <si>
    <t xml:space="preserve"> Manak, V.; Bjorklund, N.; Lenoir, L.; et al.</t>
  </si>
  <si>
    <t xml:space="preserve">JOURNAL OF APPLIED ENTOMOLOGY  Volume: 141   Issue: 5   Pages: 411-416   Published: JUN 2017 </t>
  </si>
  <si>
    <t>D43</t>
  </si>
  <si>
    <t xml:space="preserve">Impact of climate change on direct and indirect species interactions </t>
  </si>
  <si>
    <t xml:space="preserve"> Lord, Joshua P.; Barry, James P.; Graves, Dale</t>
  </si>
  <si>
    <t xml:space="preserve">MARINE ECOLOGY PROGRESS SERIES  Volume: 571   Pages: 1-11   Published: MAY 17 2017 </t>
  </si>
  <si>
    <t xml:space="preserve">Competitive and predatory interactions between invasive mosquitofish and native larval newts </t>
  </si>
  <si>
    <t xml:space="preserve"> Cabrera-Guzman, Elisa; Diaz-Paniagua, Carmen; Gomez-Mestre, Ivan</t>
  </si>
  <si>
    <t xml:space="preserve">BIOLOGICAL INVASIONS  Volume: 19   Issue: 5   Pages: 1449-1460   Published: MAY 2017 </t>
  </si>
  <si>
    <t xml:space="preserve">Cascading predator effects in a Fijian coral reef ecosystem </t>
  </si>
  <si>
    <t xml:space="preserve"> Rasher, Douglas B.; Hoey, Andrew S.; Hay, Mark E.</t>
  </si>
  <si>
    <t xml:space="preserve">SCIENTIFIC REPORTS  Volume: 7     Article Number: 15684   Published: NOV 16 2017 </t>
  </si>
  <si>
    <t>D50</t>
  </si>
  <si>
    <t xml:space="preserve">Scared fitless: Context-dependent response of fear to loss of predators over evolutionary time in Drosophila melanogaster </t>
  </si>
  <si>
    <t xml:space="preserve"> Elliott, Kyle H.; Norris, D. Ryan; Betini, Gustavo S.; et al.</t>
  </si>
  <si>
    <t xml:space="preserve">FACETS  Volume: 2   Pages: 342-354   Published: APR 11 2017 </t>
  </si>
  <si>
    <t>D55</t>
  </si>
  <si>
    <t xml:space="preserve">Salinization triggers a trophic cascade in experimental freshwater communities with varying food-chain length </t>
  </si>
  <si>
    <t xml:space="preserve"> Hintz, William D.; Mattes, Brian M.; Schuler, Matthew S.; et al.</t>
  </si>
  <si>
    <t xml:space="preserve">ECOLOGICAL APPLICATIONS  Volume: 27   Issue: 3   Pages: 833-844   Published: APR 2017 </t>
  </si>
  <si>
    <t>D56</t>
  </si>
  <si>
    <t xml:space="preserve">Unpalatable, yet unprotected: trout reduce survival and development rate of rare toad tadpoles despite chemical defense </t>
  </si>
  <si>
    <t xml:space="preserve"> Lanier, Wendy E.; Bestgen, Kevin R.; Funk, W. Chris; et al.</t>
  </si>
  <si>
    <t xml:space="preserve">CANADIAN JOURNAL OF FISHERIES AND AQUATIC SCIENCES  Volume: 74   Issue: 4   Pages: 494-502   Published: APR 2017 </t>
  </si>
  <si>
    <t>D58</t>
  </si>
  <si>
    <t xml:space="preserve">Caged oysters still get scared: Predator presence and density influence growth in oysters, but only at very close ranges </t>
  </si>
  <si>
    <t xml:space="preserve"> Gosnell, J. Stephen; Spurgin, Kali; Levine, Erica A.</t>
  </si>
  <si>
    <t xml:space="preserve">MARINE ECOLOGY PROGRESS SERIES  Volume: 568   Pages: 111-122   Published: MAR 24 2017 </t>
  </si>
  <si>
    <t>D64</t>
  </si>
  <si>
    <t xml:space="preserve">Nonconsumptive effects of a predator weaken then rebound over time </t>
  </si>
  <si>
    <t xml:space="preserve"> Kimbro, David L.; Grabowski, Jonathan H.; Hughes, A. Randall; et al.</t>
  </si>
  <si>
    <t xml:space="preserve">ECOLOGY  Volume: 98   Issue: 3   Pages: 656-667   Published: MAR 2017 </t>
  </si>
  <si>
    <t>D68</t>
  </si>
  <si>
    <t xml:space="preserve">Rainfall and hydrological stability alter the impact of top predators on food web structure and function </t>
  </si>
  <si>
    <t xml:space="preserve"> Marino, Nicholas A. C.; Srivastava, Diane S.; MacDonald, A. Andrew M.; et al.</t>
  </si>
  <si>
    <t xml:space="preserve">GLOBAL CHANGE BIOLOGY  Volume: 23   Issue: 2   Pages: 673-685   Published: FEB 2017 </t>
  </si>
  <si>
    <t>D86</t>
  </si>
  <si>
    <t xml:space="preserve">Bluebirds perceive prey switching by Cooper's hawks across an urban gradient and adjust reproductive effort </t>
  </si>
  <si>
    <t xml:space="preserve"> Malone, Kristen M.; Powell, Amanda C.; Hua, Fangyuan; et al.</t>
  </si>
  <si>
    <t xml:space="preserve">ECOSCIENCE  Volume: 24   Issue: 1-2   Pages: 21-31   Published: 2017 </t>
  </si>
  <si>
    <t>D99</t>
  </si>
  <si>
    <t xml:space="preserve">Effects of predation risk on behavior, hormone levels, and reproductive success of plateau pikas </t>
  </si>
  <si>
    <t xml:space="preserve"> Yin, Baofa; Yang, Shengmei; Shang, Guozhen; et al.</t>
  </si>
  <si>
    <t xml:space="preserve">ECOSPHERE  Volume: 8   Issue: 1     Article Number: e01643   Published: JAN 2017 </t>
  </si>
  <si>
    <t>E24</t>
  </si>
  <si>
    <t xml:space="preserve">A salty landscape of fear: responses of fish and zooplankton to freshwater salinization and predatory stress </t>
  </si>
  <si>
    <t xml:space="preserve"> Hintz, William D.; Relyea, Rick A.</t>
  </si>
  <si>
    <t xml:space="preserve">OECOLOGIA  Volume: 185   Issue: 1   Pages: 147-156   Published: SEP 2017 </t>
  </si>
  <si>
    <t>E27</t>
  </si>
  <si>
    <t xml:space="preserve">Pesticide increases transgenerational cost of inducible defenses in a freshwater rotifer </t>
  </si>
  <si>
    <t xml:space="preserve"> Heine-Fuster, Inger; Aranguiz-Acuna, Adriana; Ramos-Jiliberto, Rodrigo</t>
  </si>
  <si>
    <t xml:space="preserve">HYDROBIOLOGIA  Volume: 799   Issue: 1   Pages: 249-260   Published: SEP 2017 </t>
  </si>
  <si>
    <t>E38</t>
  </si>
  <si>
    <t xml:space="preserve">Resource-allocation tradeoffs in caddisflies facing multiple stressors </t>
  </si>
  <si>
    <t xml:space="preserve"> Correa-Araneda, Francisco; Basaguren, Ana; Abdala-Diaz, Roberto T.; et al.</t>
  </si>
  <si>
    <t xml:space="preserve">ECOLOGY AND EVOLUTION  Volume: 7   Issue: 14   Pages: 5103-5110   Published: JUL 2017 </t>
  </si>
  <si>
    <t>E61</t>
  </si>
  <si>
    <t xml:space="preserve">Effects of invasion at two trophic levels on diet, body condition, and population size structure of Hawaiian red shrimp </t>
  </si>
  <si>
    <t xml:space="preserve"> Dudley, Bruce D.; MacKenzie, Richard A.; Sakihara, Troy S.; et al.</t>
  </si>
  <si>
    <t xml:space="preserve">ECOSPHERE  Volume: 8   Issue: 3     Article Number: e01682   Published: MAR 2017 </t>
  </si>
  <si>
    <t>F10</t>
  </si>
  <si>
    <t xml:space="preserve">Behavioural and life history responses to predation risk by common frog tadpoles exposed to two predators during ontogeny </t>
  </si>
  <si>
    <t xml:space="preserve"> Gazzola, Andrea; Balestrieri, Alessandro; Ghitti, Michele; et al.</t>
  </si>
  <si>
    <t xml:space="preserve">ACTA ETHOLOGICA  Volume: 20   Issue: 3   Pages: 235-241   Published: OCT 2017 </t>
  </si>
  <si>
    <t>F25</t>
  </si>
  <si>
    <t xml:space="preserve">Behavioral Plasticity in Response to Perceived Predation Risk in Breeding House Wrens </t>
  </si>
  <si>
    <t xml:space="preserve"> Dorset, Erin E.; Sakaluk, Scott K.; Thompson, Charles F.</t>
  </si>
  <si>
    <t xml:space="preserve">EVOLUTIONARY BIOLOGY  Volume: 44   Issue: 2   Pages: 227-239   Published: JUN 2017 </t>
  </si>
  <si>
    <t>G1</t>
  </si>
  <si>
    <t xml:space="preserve">Differential effects of predator cues versus activation of fight-or-flight behaviour on reproduction in the cricket Gryllus texensis </t>
  </si>
  <si>
    <t xml:space="preserve"> Adamo, S. A.; McKee, R.</t>
  </si>
  <si>
    <t xml:space="preserve">ANIMAL BEHAVIOUR  Volume: 134   Pages: 1-8   Published: DEC 2017 </t>
  </si>
  <si>
    <t xml:space="preserve">Predators reduce prey population growth by inducing changes in prey behavior </t>
  </si>
  <si>
    <t>By: Nelson, EH; Matthews, CE; Rosenheim, JA</t>
  </si>
  <si>
    <t xml:space="preserve">ECOLOGY  Volume: 85   Issue: 7   Pages: 1853-1858   Published: JUL 2004 </t>
  </si>
  <si>
    <t xml:space="preserve">Trophic cascades in rocky shore tide pools: distinguishing lethal and nonlethal effects </t>
  </si>
  <si>
    <t>By: Trussell, GC; Ewanchuk, PJ; Bertness, MD; et al.</t>
  </si>
  <si>
    <t xml:space="preserve">OECOLOGIA  Volume: 139   Issue: 3   Pages: 427-432   Published: MAY 2004 </t>
  </si>
  <si>
    <t xml:space="preserve">Habitat complexity disrupts predator-prey interactions but not the trophic cascade on oyster reefs </t>
  </si>
  <si>
    <t>By: Grabowski, JH</t>
  </si>
  <si>
    <t xml:space="preserve">ECOLOGY  Volume: 85   Issue: 4   Pages: 995-1004   Published: APR 2004 </t>
  </si>
  <si>
    <t xml:space="preserve">Behavioral indirect interactions: Multiple predator effects and prey switching in the rocky subtidal </t>
  </si>
  <si>
    <t>By: Siddon, CE; Witman, JD</t>
  </si>
  <si>
    <t xml:space="preserve">ECOLOGY  Volume: 85   Issue: 11   Pages: 2938-2945   Published: NOV 2004 </t>
  </si>
  <si>
    <t>A27</t>
  </si>
  <si>
    <t xml:space="preserve">Multi-predator effects across life-history stages: non-additivity of egg- and larval-stage predation in an African treefrog </t>
  </si>
  <si>
    <t>By: Vonesh, JR; Osenberg, CW</t>
  </si>
  <si>
    <t xml:space="preserve">ECOLOGY LETTERS  Volume: 6   Issue: 6   Pages: 503-508   Published: JUN 2003 </t>
  </si>
  <si>
    <t xml:space="preserve">Trait-mediated effects in rocky intertidal food chains: Predator risk cues alter prey feeding rates </t>
  </si>
  <si>
    <t>By: Trussell, GC; Ewanchuk, PJ; Bertness, MD</t>
  </si>
  <si>
    <t xml:space="preserve">ECOLOGY  Volume: 84   Issue: 3   Pages: 629-640   Published: MAR 2003 </t>
  </si>
  <si>
    <t>A36</t>
  </si>
  <si>
    <t xml:space="preserve">Behavioral mechanisms underlie an ant-plant mutualism </t>
  </si>
  <si>
    <t>By: Rudgers, JA; Hodgen, JG; White, JW</t>
  </si>
  <si>
    <t xml:space="preserve">OECOLOGIA  Volume: 135   Issue: 1   Pages: 51-59   Published: MAR 2003 </t>
  </si>
  <si>
    <t>A37</t>
  </si>
  <si>
    <t xml:space="preserve">Top predator control of plant biodiversity and productivity in an old-field ecosystem </t>
  </si>
  <si>
    <t>By: Schmitz, OJ</t>
  </si>
  <si>
    <t xml:space="preserve">ECOLOGY LETTERS  Volume: 6   Issue: 2   Pages: 156-163   Published: FEB 2003 </t>
  </si>
  <si>
    <t>A43</t>
  </si>
  <si>
    <t xml:space="preserve">Plasticity constrained: over-generalized induction cues cause maladaptive phenotypes </t>
  </si>
  <si>
    <t>By: Langerhans, RB; DeWitt, TJ</t>
  </si>
  <si>
    <t xml:space="preserve">EVOLUTIONARY ECOLOGY RESEARCH  Volume: 4   Issue: 6   Pages: 857-870   Published: OCT 2002 </t>
  </si>
  <si>
    <t xml:space="preserve">Linking individuals with ecosystems: Experimentally identifying the relevant organizational scale for predicting trophic abundances </t>
  </si>
  <si>
    <t>By: Ovadia, O; Schmitz, OJ</t>
  </si>
  <si>
    <t xml:space="preserve">PROCEEDINGS OF THE NATIONAL ACADEMY OF SCIENCES OF THE UNITED STATES OF AMERICA  Volume: 99   Issue: 20   Pages: 12927-12931   Published: OCT 1 2002 </t>
  </si>
  <si>
    <t xml:space="preserve">Predation on a common Anolis lizard: Can the food-web effects of a devastating predator be reversed? </t>
  </si>
  <si>
    <t>By: Schoener, TW; Spiller, DA; Losos, JB</t>
  </si>
  <si>
    <t xml:space="preserve">ECOLOGICAL MONOGRAPHS  Volume: 72   Issue: 3   Pages: 383-407   Published: AUG 2002 </t>
  </si>
  <si>
    <t xml:space="preserve">The role of antipredator behavior in an experimental community of jumping spiders with intraguild predation </t>
  </si>
  <si>
    <t>By: Okuyama, T</t>
  </si>
  <si>
    <t xml:space="preserve">POPULATION ECOLOGY  Volume: 44   Issue: 2   Pages: 121-125   Published: AUG 2002 </t>
  </si>
  <si>
    <t>A49</t>
  </si>
  <si>
    <t xml:space="preserve">Trait-mediated indirect effects and complex life-cycles in two European frogs </t>
  </si>
  <si>
    <t>By: Altwegg, R</t>
  </si>
  <si>
    <t xml:space="preserve">EVOLUTIONARY ECOLOGY RESEARCH  Volume: 4   Issue: 4   Pages: 519-536   Published: MAY 2002 </t>
  </si>
  <si>
    <t xml:space="preserve">Predicting community outcomes from pairwise interactions: integrating density- and trait-mediated effects </t>
  </si>
  <si>
    <t>By: Relyea, RA; Yurewicz, KL</t>
  </si>
  <si>
    <t xml:space="preserve">OECOLOGIA  Volume: 131   Issue: 4   Pages: 569-579   Published: MAY 2002 </t>
  </si>
  <si>
    <t xml:space="preserve">Field evidence of trait-mediated indirect interactions in a rocky intertidal food web </t>
  </si>
  <si>
    <t xml:space="preserve">ECOLOGY LETTERS  Volume: 5   Issue: 2   Pages: 241-245   Published: MAR 2002 </t>
  </si>
  <si>
    <t>A52</t>
  </si>
  <si>
    <t xml:space="preserve">Positive effect of predators on prey growth rate through induced modifications of prey behaviour </t>
  </si>
  <si>
    <t>By: Peacor, SD</t>
  </si>
  <si>
    <t xml:space="preserve">ECOLOGY LETTERS  Volume: 5   Issue: 1   Pages: 77-85   Published: JAN 2002 </t>
  </si>
  <si>
    <t xml:space="preserve">Predator identity and trait-mediated indirect effects in a littoral food web </t>
  </si>
  <si>
    <t>By: Bernot, RJ; Turner, AM</t>
  </si>
  <si>
    <t xml:space="preserve">OECOLOGIA  Volume: 129   Issue: 1   Pages: 139-146   Published: SEP 2001 </t>
  </si>
  <si>
    <t>A54</t>
  </si>
  <si>
    <t xml:space="preserve">Effects of top predator species on direct and indirect interactions in a food web </t>
  </si>
  <si>
    <t>By: Schmitz, OJ; Suttle, KB</t>
  </si>
  <si>
    <t xml:space="preserve">ECOLOGY  Volume: 82   Issue: 7   Pages: 2072-2081   Published: JUL 2001 </t>
  </si>
  <si>
    <t>A55</t>
  </si>
  <si>
    <t xml:space="preserve">The influence of multiple introduced predators on a littoral pond community </t>
  </si>
  <si>
    <t>By: Nystrom, P; Svensson, O; Lardner, B; et al.</t>
  </si>
  <si>
    <t xml:space="preserve">ECOLOGY  Volume: 82   Issue: 4   Pages: 1023-1039   Published: APR 2001 </t>
  </si>
  <si>
    <t>A58</t>
  </si>
  <si>
    <t xml:space="preserve">Predator-induced phenotypic plasticity in larval newts: Trade-offs, selection, and variation in nature </t>
  </si>
  <si>
    <t>By: Van Buskirk, J; Schmidt, BR</t>
  </si>
  <si>
    <t xml:space="preserve">ECOLOGY  Volume: 81   Issue: 11   Pages: 3009-3028   Published: NOV 2000 </t>
  </si>
  <si>
    <t xml:space="preserve">Processes structuring communities: evidence for trait-mediated indirect effects through induced polymorphisms </t>
  </si>
  <si>
    <t>By: Raimondi, PT; Forde, SE; Delph, LF; et al.</t>
  </si>
  <si>
    <t xml:space="preserve">OIKOS  Volume: 91   Issue: 2   Pages: 353-361   Published: NOV 2000 </t>
  </si>
  <si>
    <t>A60</t>
  </si>
  <si>
    <t xml:space="preserve">Trait-mediated indirect effects in larval anurans: Reversing competition with the threat of predation </t>
  </si>
  <si>
    <t>By: Relyea, RA</t>
  </si>
  <si>
    <t xml:space="preserve">ECOLOGY  Volume: 81   Issue: 8   Pages: 2278-2289   Published: AUG 2000 </t>
  </si>
  <si>
    <t>A61</t>
  </si>
  <si>
    <t xml:space="preserve">Predator effects on an assemblage of consumers through induced changes in consumer foraging behavior </t>
  </si>
  <si>
    <t>By: Peacor, SD; Werner, EE</t>
  </si>
  <si>
    <t xml:space="preserve">ECOLOGY  Volume: 81   Issue: 7   Pages: 1998-2010   Published: JUL 2000 </t>
  </si>
  <si>
    <t xml:space="preserve">Predator chemicals induce changes in mayfly life history traits: A whole-stream manipulation </t>
  </si>
  <si>
    <t>By: Peckarsky, BL; McIntosh, AR; Taylor, BW; et al.</t>
  </si>
  <si>
    <t xml:space="preserve">ECOLOGY  Volume: 83   Issue: 3   Pages: 612-618   Published: MAR 2002 </t>
  </si>
  <si>
    <t>E103</t>
  </si>
  <si>
    <t xml:space="preserve">Variation in the relative importance of sublethal effects of predators and competitors on growth of a temperate reef fish </t>
  </si>
  <si>
    <t>By: Steele, MA; Forrester, GE</t>
  </si>
  <si>
    <t xml:space="preserve">MARINE ECOLOGY PROGRESS SERIES  Volume: 237   Pages: 233-245   Published: JUL 18 2002 </t>
  </si>
  <si>
    <t>E135</t>
  </si>
  <si>
    <t xml:space="preserve">Effects of avian predation threat, water flow and cover on growth and habitat use by chub, Leuciscus cephalus, in an experimental stream </t>
  </si>
  <si>
    <t>By: Allouche, S; Gaudin, P</t>
  </si>
  <si>
    <t xml:space="preserve">OIKOS  Volume: 94   Issue: 3   Pages: 481-492   Published: SEP 2001 </t>
  </si>
  <si>
    <t xml:space="preserve">Predator cues and pesticides: A double dose of danger for amphibians </t>
  </si>
  <si>
    <t xml:space="preserve">ECOLOGICAL APPLICATIONS  Volume: 13   Issue: 6   Pages: 1515-1521   Published: DEC 2003 </t>
  </si>
  <si>
    <t>F104</t>
  </si>
  <si>
    <t xml:space="preserve">Grazer identity changes the spatial distribution of cascading trophic effects in stream pools </t>
  </si>
  <si>
    <t>By: Gelwick, FP</t>
  </si>
  <si>
    <t xml:space="preserve">OECOLOGIA  Volume: 125   Issue: 4   Pages: 573-583   Published: DEC 2000 </t>
  </si>
  <si>
    <t>F106</t>
  </si>
  <si>
    <t xml:space="preserve">Nonlethal effects of predators on prey populations: predator-mediated change in bivalve growth </t>
  </si>
  <si>
    <t>By: Nakaoka, M</t>
  </si>
  <si>
    <t xml:space="preserve">ECOLOGY  Volume: 81   Issue: 4   Pages: 1031-1045   Published: APR 2000 </t>
  </si>
  <si>
    <t>F108</t>
  </si>
  <si>
    <t xml:space="preserve">Multiple predator effects on size-dependent behavior and mortality of two species of anuran larvae </t>
  </si>
  <si>
    <t>By: Eklov, P; Werner, EE</t>
  </si>
  <si>
    <t xml:space="preserve">OIKOS  Volume: 88   Issue: 2   Pages: 250-258   Published: FEB 2000 </t>
  </si>
  <si>
    <t>F11</t>
  </si>
  <si>
    <t xml:space="preserve">Habitat structure mediates the non-lethal effects of predation on enclosed populations of house mice </t>
  </si>
  <si>
    <t>By: Arthur, AD; Pech, RP; Dickman, CR</t>
  </si>
  <si>
    <t xml:space="preserve">JOURNAL OF ANIMAL ECOLOGY  Volume: 73   Issue: 5   Pages: 867-877   Published: SEP 2004 </t>
  </si>
  <si>
    <t>F110</t>
  </si>
  <si>
    <t xml:space="preserve">Chemical cues modify species interactions: the ecological consequences of predator avoidance by freshwater snails </t>
  </si>
  <si>
    <t>By: Turner, AM; Bernot, RJ; Boes, CM</t>
  </si>
  <si>
    <t xml:space="preserve">Conference: Workshop on Chemical Communication in Aquatic Systems Location: LUND UNIV, LUND, SWEDEN Date: OCT, 1998 </t>
  </si>
  <si>
    <t>F111</t>
  </si>
  <si>
    <t xml:space="preserve">Effects of fish chemical cues on the interactions between tadpoles and crayfish </t>
  </si>
  <si>
    <t>By: Nystrom, P; Abjornsson, K</t>
  </si>
  <si>
    <t xml:space="preserve">Threat of predation negates density effects in larval gray treefrogs </t>
  </si>
  <si>
    <t>By: Resetarits, WJ; Rieger, JF; Binckley, CA</t>
  </si>
  <si>
    <t xml:space="preserve">OECOLOGIA  Volume: 138   Issue: 4   Pages: 532-538   Published: MAR 2004 </t>
  </si>
  <si>
    <t>F20</t>
  </si>
  <si>
    <t xml:space="preserve">Non-lethal effects of predators on prey growth rates depend on prey density and nutrient additions </t>
  </si>
  <si>
    <t>By: Turner, AM</t>
  </si>
  <si>
    <t xml:space="preserve">OIKOS  Volume: 104   Issue: 3   Pages: 561-569   Published: MAR 2004 </t>
  </si>
  <si>
    <t>F22</t>
  </si>
  <si>
    <t xml:space="preserve">Night feeding by guppies under predator release: Effects on growth and daytime courtship </t>
  </si>
  <si>
    <t>By: Fraser, DF; Gilliam, JF; Akkara, JT; et al.</t>
  </si>
  <si>
    <t xml:space="preserve">ECOLOGY  Volume: 85   Issue: 2   Pages: 312-319   Published: FEB 2004 </t>
  </si>
  <si>
    <t>F23</t>
  </si>
  <si>
    <t xml:space="preserve">Predator induced phenotypic plasticity in the pinewoods tree frog, Hyla femoralis: necessary cues and the cost of development </t>
  </si>
  <si>
    <t>By: LaFiandra, EM; Babbitt, KJ</t>
  </si>
  <si>
    <t xml:space="preserve">OECOLOGIA  Volume: 138   Issue: 3   Pages: 350-359   Published: FEB 2004 </t>
  </si>
  <si>
    <t>F29</t>
  </si>
  <si>
    <t xml:space="preserve">Context dependence of nonlethal effects of a predator on prey growth </t>
  </si>
  <si>
    <t xml:space="preserve">ISRAEL JOURNAL OF ZOOLOGY  Volume: 50   Issue: 2-3   Pages: 139-167   Published: 2004 </t>
  </si>
  <si>
    <t>F30</t>
  </si>
  <si>
    <t xml:space="preserve">Nonlethal indirect effects of a native predatory mite, Amblyseius womersleyi Schicha (Acari : Phytoseiidae), on the phytophagous mite Tetranychus kanzawai Kishida (Acari : Tetranychidae) </t>
  </si>
  <si>
    <t>By: Oku, K; Yano, S; Takafuji, A</t>
  </si>
  <si>
    <t xml:space="preserve">JOURNAL OF ETHOLOGY  Volume: 22   Issue: 1   Pages: 109-112   Published: JAN 2004 </t>
  </si>
  <si>
    <t>F32</t>
  </si>
  <si>
    <t xml:space="preserve">A growth/mortality trade-off in larval salamanders and the coexistence of intraguild predators and prey </t>
  </si>
  <si>
    <t>By: Yurewicz, KL</t>
  </si>
  <si>
    <t xml:space="preserve">OECOLOGIA  Volume: 138   Issue: 1   Pages: 102-111   Published: JAN 2004 </t>
  </si>
  <si>
    <t>F41</t>
  </si>
  <si>
    <t xml:space="preserve">Spiders reduce herbivory: Nonlethal effects of spiders on the consumption of soybean leaves by beetle pests </t>
  </si>
  <si>
    <t>By: Hlivko, JT; Rypstra, AL</t>
  </si>
  <si>
    <t xml:space="preserve">ANNALS OF THE ENTOMOLOGICAL SOCIETY OF AMERICA  Volume: 96   Issue: 6   Pages: 914-919   Published: NOV 2003 </t>
  </si>
  <si>
    <t>F42</t>
  </si>
  <si>
    <t xml:space="preserve">Resource-mediated impact of spider predation risk on performance in the grasshopper Ageneotettix deorum (Orthoptera : Acrididae) </t>
  </si>
  <si>
    <t>By: Danner, BJ; Joern, A</t>
  </si>
  <si>
    <t xml:space="preserve">OECOLOGIA  Volume: 137   Issue: 3   Pages: 352-359   Published: NOV 2003 </t>
  </si>
  <si>
    <t>F43</t>
  </si>
  <si>
    <t xml:space="preserve">Accelerated hatching of southern leopard frog (Rana sphenocephala) eggs in response to the presence of a crayfish (Procambarus nigrocinctus) predator </t>
  </si>
  <si>
    <t>By: Saenz, D; Johnson, JB; Adams, CK; et al.</t>
  </si>
  <si>
    <t xml:space="preserve">COPEIA  Issue: 3   Pages: 646-649   Published: SEP 5 2003 </t>
  </si>
  <si>
    <t>F5</t>
  </si>
  <si>
    <t xml:space="preserve">Conflicting selection pressures on the growth/predation risk trade-off in a damselfly </t>
  </si>
  <si>
    <t>By: Brodin, T; Johansson, F</t>
  </si>
  <si>
    <t xml:space="preserve">ECOLOGY  Volume: 85   Issue: 11   Pages: 2927-2932   Published: NOV 2004 </t>
  </si>
  <si>
    <t>F51</t>
  </si>
  <si>
    <t xml:space="preserve">Are impacts of an exotic predator on a stream food web influenced by disturbance history? </t>
  </si>
  <si>
    <t>By: Nystrom, P; McIntosh, AR</t>
  </si>
  <si>
    <t xml:space="preserve">OECOLOGIA  Volume: 136   Issue: 2   Pages: 279-288   Published: JUL 2003 </t>
  </si>
  <si>
    <t>F61</t>
  </si>
  <si>
    <t xml:space="preserve">Are induced defenses costly? Consequences of predator-induced defenses in western toads, Bufo boreas </t>
  </si>
  <si>
    <t>By: Benard, MF; Fordyce, JA</t>
  </si>
  <si>
    <t xml:space="preserve">ECOLOGY  Volume: 84   Issue: 1   Pages: 68-78   Published: JAN 2003 </t>
  </si>
  <si>
    <t>F68</t>
  </si>
  <si>
    <t xml:space="preserve">Predator-induced life-history plasticity under time constraints in pool frogs </t>
  </si>
  <si>
    <t xml:space="preserve">ECOLOGY  Volume: 83   Issue: 9   Pages: 2542-2551   Published: SEP 2002 </t>
  </si>
  <si>
    <t>F69</t>
  </si>
  <si>
    <t xml:space="preserve">The relative importance of lethal and non-lethal effects of fish on insect colonisation of ponds </t>
  </si>
  <si>
    <t>By: Abjornsson, K; Bronmark, C; Hansson, LA</t>
  </si>
  <si>
    <t xml:space="preserve">FRESHWATER BIOLOGY  Volume: 47   Issue: 8   Pages: 1489-1495   Published: AUG 2002 </t>
  </si>
  <si>
    <t>F6a</t>
  </si>
  <si>
    <t xml:space="preserve">Wolves, elk, willows, and trophic cascades in the upper Gallatin Range of Southwestern Montana, USA </t>
  </si>
  <si>
    <t>By: Ripple, WJ; Beschta, RL</t>
  </si>
  <si>
    <t xml:space="preserve">FOREST ECOLOGY AND MANAGEMENT  Volume: 200   Issue: 1-3   Pages: 161-181   Published: OCT 25 2004 </t>
  </si>
  <si>
    <t>F71</t>
  </si>
  <si>
    <t xml:space="preserve">Predation risk and competition effects on the life-history characteristics of larval Oregon spotted frog and larval red-legged frog </t>
  </si>
  <si>
    <t>By: Barnett, HK; Richardson, JS</t>
  </si>
  <si>
    <t xml:space="preserve">OECOLOGIA  Volume: 132   Issue: 3   Pages: 436-444   Published: AUG 2002 </t>
  </si>
  <si>
    <t>F73</t>
  </si>
  <si>
    <t xml:space="preserve">Predation on mayfly nymph, Baetis rhodani, by native and introduced Gammarus: direct effects and the facilitation of predation by salmonids </t>
  </si>
  <si>
    <t>By: Kelly, DW; Dick, JTA; Montgomery, I</t>
  </si>
  <si>
    <t xml:space="preserve">FRESHWATER BIOLOGY  Volume: 47   Issue: 7   Pages: 1257-1268   Published: JUL 2002 </t>
  </si>
  <si>
    <t>F74</t>
  </si>
  <si>
    <t xml:space="preserve">Effects of predator-induced thinning and activity changes on life history in a damselfly </t>
  </si>
  <si>
    <t xml:space="preserve">OECOLOGIA  Volume: 132   Issue: 2   Pages: 316-322   Published: JUL 2002 </t>
  </si>
  <si>
    <t>F81</t>
  </si>
  <si>
    <t xml:space="preserve">Interspecific differences in susceptibility to competition and predation in a species-pair of larval amphibians </t>
  </si>
  <si>
    <t>By: Walls, SC; Taylor, DG; Wilson, CM</t>
  </si>
  <si>
    <t xml:space="preserve">HERPETOLOGICA  Volume: 58   Issue: 1   Pages: 104-118   Published: MAR 2002 </t>
  </si>
  <si>
    <t>F90</t>
  </si>
  <si>
    <t xml:space="preserve">Demographic dynamics of a neotropical small rodent (Phyllotis darwini): feedback structure, predation and climatic factors </t>
  </si>
  <si>
    <t>By: Lima, M; Julliard, R; Stenseth, NC; et al.</t>
  </si>
  <si>
    <t xml:space="preserve">JOURNAL OF ANIMAL ECOLOGY  Volume: 70   Issue: 5   Pages: 761-775   Published: SEP 2001 </t>
  </si>
  <si>
    <t>F93</t>
  </si>
  <si>
    <t xml:space="preserve">Behaviour and growth of southern leopard frog (Rana sphenocephala) tadpoles: effects of food and predation risk </t>
  </si>
  <si>
    <t>By: Babbitt, KJ</t>
  </si>
  <si>
    <t xml:space="preserve">CANADIAN JOURNAL OF ZOOLOGY-REVUE CANADIENNE DE ZOOLOGIE  Volume: 79   Issue: 5   Pages: 809-814   Published: MAY 2001 </t>
  </si>
  <si>
    <t>F94</t>
  </si>
  <si>
    <t xml:space="preserve">Predation-induced effects on hatchling morphology in the common frog (Rana temporaria) </t>
  </si>
  <si>
    <t>By: Laurila, A; Crochet, PA; Merila, J</t>
  </si>
  <si>
    <t xml:space="preserve">CANADIAN JOURNAL OF ZOOLOGY-REVUE CANADIENNE DE ZOOLOGIE  Volume: 79   Issue: 5   Pages: 926-930   Published: MAY 2001 </t>
  </si>
  <si>
    <t>F96</t>
  </si>
  <si>
    <t xml:space="preserve">Food stress and predator-induced stress shape developmental performance in a damselfly </t>
  </si>
  <si>
    <t>By: Stoks, R</t>
  </si>
  <si>
    <t xml:space="preserve">OECOLOGIA  Volume: 127   Issue: 2   Pages: 222-229   Published: 2001 </t>
  </si>
  <si>
    <t>E22</t>
  </si>
  <si>
    <t xml:space="preserve">From process to pattern: how fluctuating predation risk impacts the stress axis of snowshoe hares during the 10-year cycle </t>
  </si>
  <si>
    <t>By: Sheriff, Michael J.; Krebs, Charles J.; Boonstra, Rudy</t>
  </si>
  <si>
    <t xml:space="preserve">OECOLOGIA  Volume: 166   Issue: 3   Pages: 593-605   Published: JUL 2011 </t>
  </si>
  <si>
    <t>Ex1-1844</t>
  </si>
  <si>
    <t>EFFECTS OF STOAT'S PRESENCE AND AUDITORY CUES INDICATING ITS PRESENCE ON TREE SEEDLING PREDATION BY MEADOW VOLES</t>
  </si>
  <si>
    <t>Pusenius, J; Ostfeld, RS</t>
  </si>
  <si>
    <t>Ex1-2440</t>
  </si>
  <si>
    <t>WOLF REINTRODUCTION, PREDATION RISK, AND COTTONWOOD RECOVERY IN YELLOWSTONE NATIONAL PARK</t>
  </si>
  <si>
    <t>Ripple, WJ; Beschta, RL</t>
  </si>
  <si>
    <t>Ex1-1726</t>
  </si>
  <si>
    <t>INTERACTIONS BETWEEN PATCH SIZE AND PREDATION RISK AFFECT COMPETITIVE AGGRESSION AND SIZE VARIATION IN JUVENILE CONVICT CICHLIDS</t>
  </si>
  <si>
    <t>Kim, JW; Brown, GE; Grant, JWA</t>
  </si>
  <si>
    <t>Ex1-18</t>
  </si>
  <si>
    <t>PREDATION COST OF RAPID GROWTH: BEHAVIOURAL COUPLING AND PHYSIOLOGICAL DECOUPLING</t>
  </si>
  <si>
    <t>Stoks, R; De Block, M; Van de Meutter, F; Johansson, F</t>
  </si>
  <si>
    <t>Ex1-2036</t>
  </si>
  <si>
    <t>EGG PREDATION AND PREDATOR-INDUCED HATCHING PLASTICITY IN THE AFRICAN REED FROG, HYPEROLIUS SPINIGULARIS</t>
  </si>
  <si>
    <t>Vonesh, JR</t>
  </si>
  <si>
    <t>Ex1-2465</t>
  </si>
  <si>
    <t>ALTERNATIVE GROWTH AND ENERGY STORAGE RESPONSES TO MORTALITY THREATS IN DAMSELFLIES</t>
  </si>
  <si>
    <t>Stoks, R; De Block, M; McPeek, MA</t>
  </si>
  <si>
    <t>Ex1-1207</t>
  </si>
  <si>
    <t>EVIDENCE FOR A NOVEL MUTUALISM IN THE TROPICAL UNDERSTORY SHRUB PIPER UROSTACHYUM</t>
  </si>
  <si>
    <t>Hodson, AK; Gastreich, KR</t>
  </si>
  <si>
    <t>Ex1-146</t>
  </si>
  <si>
    <t>LINKING WOLVES TO WILLOWS VIA RISK-SENSITIVE FORAGING BY UNGULATES IN THE NORTHERN YELLOWSTONE ECOSYSTEM</t>
  </si>
  <si>
    <t>Ex1-1532</t>
  </si>
  <si>
    <t>PREDATORS HAVE LARGE EFFECTS ON ECOSYSTEM PROPERTIES BY CHANGING PLANT DIVERSITY, NOT PLANT BIOMASS</t>
  </si>
  <si>
    <t>Schmitz, OJ</t>
  </si>
  <si>
    <t>Ex1-1737</t>
  </si>
  <si>
    <t>THE FEAR OF BEING EATEN REDUCES ENERGY TRANSFER IN A SIMPLE FOOD CHAIN</t>
  </si>
  <si>
    <t>Trussell, GC; Ewanchuk, PJ; Matassa, CM</t>
  </si>
  <si>
    <t>Ex1-212</t>
  </si>
  <si>
    <t>FOOD AND PREDATORS AFFECT EGG PRODUCTION IN SONG SPARROWS</t>
  </si>
  <si>
    <t>Zanette, L; Clinchy, M; Smith, JNM</t>
  </si>
  <si>
    <t>Ex1-2246</t>
  </si>
  <si>
    <t>PREDATION RISK INFLUENCES ADAPTIVE MORPHOLOGICAL VARIATION IN FISH POPULATIONS</t>
  </si>
  <si>
    <t>Eklov, P; Svanback, R</t>
  </si>
  <si>
    <t>Ex1-36</t>
  </si>
  <si>
    <t>INTRAGUILD PREDATION REDUCES REDUNDANCY OF PREDATOR SPECIES IN MULTIPLE PREDATOR ASSEMBLAGE</t>
  </si>
  <si>
    <t>Griffen, BD; Byers, JE</t>
  </si>
  <si>
    <t>Ex1-186a</t>
  </si>
  <si>
    <t>FOOD WEB INTERACTIONS ALONG SEAGRASS-CORAL REEF BOUNDARIES: EFFECTS OF PISCIVORE REDUCTIONS ON CROSS-HABITAT ENERGY EXCHANGE</t>
  </si>
  <si>
    <t>Valentine, JF; Heck, KL; Blackmon, D; Goecker, ME; Christian, J; Kroutil, RM; Kirsch, KD; Peterson, BJ; Beck, M; Vanderklift, MA</t>
  </si>
  <si>
    <t>Ex1-2686</t>
  </si>
  <si>
    <t>RESTORING YELLOWSTONE'S ASPEN WITH WOLVES</t>
  </si>
  <si>
    <t>Ex1-1067</t>
  </si>
  <si>
    <t>LIFE HISTORY PLASTICITY TO COMBINED TIME AND BIOTIC CONSTRAINTS IN LESTES DAMSELFLIES FROM VERNAL AND TEMPORARY PONDS</t>
  </si>
  <si>
    <t>De Block, M; McPeek, MA; Stoks, R</t>
  </si>
  <si>
    <t>Ex1-1167</t>
  </si>
  <si>
    <t>EVIDENCE FOR TOP PREDATOR CONTROL OF A GRAZING ECOSYSTEM</t>
  </si>
  <si>
    <t>Frank, DA</t>
  </si>
  <si>
    <t>Ex1-1742</t>
  </si>
  <si>
    <t>PERIPHYTON MAT STRUCTURE MEDIATES TROPHIC INTERACTIONS IN A SUBTROPICAL MARSH</t>
  </si>
  <si>
    <t>Chick, JH; Geddes, P; Trexler, JC</t>
  </si>
  <si>
    <t>Ex1-19</t>
  </si>
  <si>
    <t>PREDATION RISK INDUCES STRESS PROTEINS AND REDUCES ANTIOXIDANT DEFENSE</t>
  </si>
  <si>
    <t>Slos, S; Stoks, R</t>
  </si>
  <si>
    <t>Ex1-2362</t>
  </si>
  <si>
    <t>FACILITATION BETWEEN HERONS AND SMALLMOUTH BASS FORAGING ON COMMON PREY</t>
  </si>
  <si>
    <t>Steinmetz, J; Soluk, DA; Kohler, SL</t>
  </si>
  <si>
    <t>Ex1-393</t>
  </si>
  <si>
    <t>HONEYBEE BUZZ ATTENUATES PLANT DAMAGE BY CATERPILLARS</t>
  </si>
  <si>
    <t>Tautz, J; Rostas, M</t>
  </si>
  <si>
    <t>Ex1-503</t>
  </si>
  <si>
    <t>PREDATOR DIET AND PREY BEHAVIOUR: FRESHWATER SNAILS DISCRIMINATE AMONG CLOSELY RELATED PREY IN A PREDATOR'S DIET</t>
  </si>
  <si>
    <t>Turner, AM</t>
  </si>
  <si>
    <t>Ex1-1740</t>
  </si>
  <si>
    <t>EFFECT OF GUARD DOGS ON THE BEHAVIOR AND REPRODUCTION OF GAZELLES IN CATTLE ENCLOSURES ON THE GOLAN HEIGHTS</t>
  </si>
  <si>
    <t>Gingold, G; Yom-Tov, Y; Kronfeld-Schor, N; Geffen, E</t>
  </si>
  <si>
    <t>Ex1-2082</t>
  </si>
  <si>
    <t>EFFECTS OF PREDATOR FUNCTIONAL DIVERSITY ON GRASSLAND ECOSYSTEM FUNCTION</t>
  </si>
  <si>
    <t>Ex1-2377</t>
  </si>
  <si>
    <t>EXPERIMENTAL WARMING TRANSFORMS MULTIPLE PREDATOR EFFECTS IN A GRASSLAND FOOD WEB</t>
  </si>
  <si>
    <t>Ex1-247</t>
  </si>
  <si>
    <t>CHANGE YOUR DIET OR DIE: PREDATOR-INDUCED SHIFTS IN INSECTIVOROUS LIZARD FEEDING ECOLOGY</t>
  </si>
  <si>
    <t>Hawlena, D; Perez-Mellado, V</t>
  </si>
  <si>
    <t>Ex1-1199</t>
  </si>
  <si>
    <t>THE INVOLVEMENT OF SAND DISTURBANCE, CANNIBALISM AND INTRA-GUILD PREDATION IN COMPETITIVE INTERACTIONS AMONG PIT-BUILDING ANTLION LARVAE</t>
  </si>
  <si>
    <t>Barkae, ED; Scharf, I; Subach, A; Ovadia, O</t>
  </si>
  <si>
    <t>Ex1-2367</t>
  </si>
  <si>
    <t>INTRAGUILD INTERACTIONS BETWEEN EUSEIUS STIPULATUS AND THE CANDIDATE BIOCONTROL AGENTS OF TETRANYCHUS URTICAE IN SPANISH CLEMENTINE ORCHARDS: PHYTOSEIULUS PERSIMILIS AND NEOSEIULUS CALIFORNICUS</t>
  </si>
  <si>
    <t>Abad-Moyano, R; Urbaneja, A; Schausberger, P</t>
  </si>
  <si>
    <t>Ex1-2492</t>
  </si>
  <si>
    <t>HERBIVORE PHYSIOLOGICAL RESPONSE TO PREDATION RISK AND IMPLICATIONS FOR ECOSYSTEM NUTRIENT DYNAMICS</t>
  </si>
  <si>
    <t>Hawlena, D; Schmitz, OJ</t>
  </si>
  <si>
    <t>Ex1-2687</t>
  </si>
  <si>
    <t>BENEFITS, COSTS AND REACTIVITY OF INDUCIBLE DEFENCES: AN EXPERIMENTAL TEST WITH ROTIFERS</t>
  </si>
  <si>
    <t>Aranguiz-Acuna, A; Ramos-Jiliberto, R; Sarma, N; Sarma, SSS; Bustamante, RO; Toledo, V</t>
  </si>
  <si>
    <t>Ex1-516</t>
  </si>
  <si>
    <t>ACUTE EFFECTS OF REMOVING LARGE FISH FROM A NEAR-PRISTINE CORAL REEF</t>
  </si>
  <si>
    <t>McCauley, DJ; Micheli, F; Young, HS; Tittensor, DP; Brumbaugh, DR; Madin, EMP; Holmes, KE; Smith, JE; Lotze, HK; DeSalles, PA; Arnold, SN; Worm, B</t>
  </si>
  <si>
    <t>Ex1-637</t>
  </si>
  <si>
    <t>FEAR FOR THE FAMILY HAS NEGATIVE CONSEQUENCES: INDIRECT EFFECTS OF NEST PREDATORS ON CHICK GROWTH IN A FARMLAND BIRD</t>
  </si>
  <si>
    <t>Dunn, JC; Hamer, KC; Benton, TG</t>
  </si>
  <si>
    <t>Ex1-741</t>
  </si>
  <si>
    <t>FISHING INDIRECTLY STRUCTURES MACROALGAL ASSEMBLAGES BY ALTERING HERBIVORE BEHAVIOR</t>
  </si>
  <si>
    <t>Madin, EMP; Gaines, SD; Madin, JS; Warner, RR</t>
  </si>
  <si>
    <t>Ex1-1404</t>
  </si>
  <si>
    <t>EFFECT OF PREDATORS ON GROWTH AND REPRODUCTIVE INVESTMENT IN BLUEGILLS: COMPARISON OF POPULATIONS WITH DIFFERING SIZE AND AGE OF MATURATION</t>
  </si>
  <si>
    <t>Oplinger, RW; Wahl, DH; Nannini, MA</t>
  </si>
  <si>
    <t>Ex1-1649</t>
  </si>
  <si>
    <t>THREAT-SENSITIVE ANTI-INTRAGUILD PREDATION BEHAVIOUR: MATERNAL STRATEGIES TO REDUCE OFFSPRING PREDATION RISK IN MITES</t>
  </si>
  <si>
    <t>Walzer, A; Schausberger, P</t>
  </si>
  <si>
    <t>Ex1-1753</t>
  </si>
  <si>
    <t>PERCEIVED PREDATION RISK REDUCES THE NUMBER OF OFFSPRING SONGBIRDS PRODUCE PER YEAR</t>
  </si>
  <si>
    <t>Zanette, LY; White, AF; Allen, MC; Clinchy, M</t>
  </si>
  <si>
    <t>Ex1-1755</t>
  </si>
  <si>
    <t>TRADE-OFF BETWEEN INCREASED SURVIVAL AND REDUCED GROWTH FOR BLUE MUSSELS LIVING ON PACIFIC OYSTER REEFS</t>
  </si>
  <si>
    <t>Eschweiler, N; Christensen, HT</t>
  </si>
  <si>
    <t>Ex1-472</t>
  </si>
  <si>
    <t>PREY CHANGE BEHAVIOUR WITH PREDATION THREAT, BUT DEMOGRAPHIC EFFECTS VARY WITH PREY DENSITY: EXPERIMENTS WITH GRASSHOPPERS AND BIRDS</t>
  </si>
  <si>
    <t>Belovsky, GE; Laws, AN; Slade, JB</t>
  </si>
  <si>
    <t>Ex1-980</t>
  </si>
  <si>
    <t>BODY CONDITION AND PREGNANCY IN NORTHERN YELLOWSTONE ELK: EVIDENCE FOR PREDATION RISK EFFECTS?</t>
  </si>
  <si>
    <t>White, PJ; Garrott, RA; Hamlin, KL; Cook, RC; Cook, JG; Cunningham, JA</t>
  </si>
  <si>
    <t>Ex1-1103</t>
  </si>
  <si>
    <t>PREY RESPONSES TO PREDATOR CHEMICAL CUES: DISENTANGLING THE IMPORTANCE OF THE NUMBER AND BIOMASS OF PREY CONSUMED</t>
  </si>
  <si>
    <t>Mccoy, MW; Touchon, JC; Landberg, T; Warkentin, KM; Vonesh, JR</t>
  </si>
  <si>
    <t>Ex1-1151</t>
  </si>
  <si>
    <t>DIRECT AND INDIRECT TOP-DOWN EFFECTS OF PREVIOUS CONTACT WITH AN ENEMY ON THE FEEDING BEHAVIOR OF BLOWFLY LARVAE</t>
  </si>
  <si>
    <t>Reigada, C; Godoy, WAC</t>
  </si>
  <si>
    <t>Ex1-1722</t>
  </si>
  <si>
    <t>GEOGRAPHIC VARIATION IN CORTICOSTERONE RESPONSE TO CHRONIC PREDATOR STRESS IN TADPOLES</t>
  </si>
  <si>
    <t>Dahl, E; Orizaola, G; Winberg, S; Laurila, A</t>
  </si>
  <si>
    <t>Ex1-2334</t>
  </si>
  <si>
    <t>TROPHIC CASCADES IN YELLOWSTONE: THE FIRST 15 YEARS AFTER WOLF REINTRODUCTION</t>
  </si>
  <si>
    <t>Ex1-2566</t>
  </si>
  <si>
    <t>PREDATION RISK AND REPRODUCTION IN THE BANK VOLE</t>
  </si>
  <si>
    <t>Trebaticka, L; Suortti, P; Sundell, J; Ylonen, H</t>
  </si>
  <si>
    <t>Ex1-318</t>
  </si>
  <si>
    <t>PREDATION RISK, ELK, AND ASPEN: TESTS OF A BEHAVIORALLY MEDIATED TROPHIC CASCADE IN THE GREATER YELLOWSTONE ECOSYSTEM</t>
  </si>
  <si>
    <t>Winnie, JA</t>
  </si>
  <si>
    <t>Ex1-34</t>
  </si>
  <si>
    <t>PREDATION RISK AND FOOD: OPPOSITE EFFECTS ON OVERWINTERING SURVIVAL AND ONSET OF BREEDING IN A BOREAL RODENT</t>
  </si>
  <si>
    <t>Haapakoski, M; Sundell, J; Ylonen, H</t>
  </si>
  <si>
    <t>Ex1-69</t>
  </si>
  <si>
    <t>BEHAVIOUR AND PHYSIOLOGY SHAPE THE GROWTH ACCELERATIONS ASSOCIATED WITH PREDATION RISK, HIGH TEMPERATURES AND SOUTHERN LATITUDES IN ISCHNURA DAMSELFLY LARVAE</t>
  </si>
  <si>
    <t>Ex1-856</t>
  </si>
  <si>
    <t>CONSUMPTIVE EFFECTS OF FISH REDUCE WETLAND CRAYFISH RECRUITMENT AND DRIVE SPECIES TURNOVER</t>
  </si>
  <si>
    <t>Kellogg, CM; Dorn, NJ</t>
  </si>
  <si>
    <t>Ex1-1371</t>
  </si>
  <si>
    <t>BIOGEOGRAPHIC VARIATION IN BEHAVIORAL AND MORPHOLOGICAL RESPONSES TO PREDATION RISK</t>
  </si>
  <si>
    <t>Ex1-1623</t>
  </si>
  <si>
    <t>SYNERGISTIC EFFECTS BETWEEN PESTICIDE STRESS AND PREDATOR CUES: CONFLICTING RESULTS FROM LIFE HISTORY AND PHYSIOLOGY IN THE DAMSELFLY ENALLAGMA CYATHIGERUM</t>
  </si>
  <si>
    <t>Janssens, L; Stoks, R</t>
  </si>
  <si>
    <t>Ex1-1647</t>
  </si>
  <si>
    <t>WHELKS INDUCE AN EFFECTIVE DEFENSE AGAINST SEA STARS</t>
  </si>
  <si>
    <t>Miner, BG; Donovan, DA; Portis, LM; Goulding, TC</t>
  </si>
  <si>
    <t>Ex1-2408</t>
  </si>
  <si>
    <t>EFFECTS OF PREDATION RISK ON SURVIVAL, BEHAVIOUR AND MORPHOLOGICAL TRAITS OF SMALL JUVENILES OF CONCHOLEPAS CONCHOLEPAS (LOCO)</t>
  </si>
  <si>
    <t>Manriquez, PH; Jara, ME; Opitz, T; Castilla, JC; Lagos, NA</t>
  </si>
  <si>
    <t>Ex1-2663</t>
  </si>
  <si>
    <t>EFFECTS OF PLASTIC HATCHING TIMING CARRY OVER THROUGH METAMORPHOSIS IN RED-EYED TREEFROGS</t>
  </si>
  <si>
    <t>Touchon, JC; McCoy, MW; Vonesh, JR; Warkentin, KM</t>
  </si>
  <si>
    <t>Ex1-270</t>
  </si>
  <si>
    <t>IMPACTS OF HUMAN DISTURBANCE ON LARGE PREY SPECIES: DO BEHAVIORAL REACTIONS TRANSLATE TO FITNESS CONSEQUENCES?</t>
  </si>
  <si>
    <t>Leblond, M; Dussault, C; Ouellet, JP</t>
  </si>
  <si>
    <t>Ex1-2700</t>
  </si>
  <si>
    <t>NUTRIENT LIMITATION CONTROLS THE STRENGTH OF BEHAVIORAL TROPHIC CASCADES IN HIGH ELEVATION STREAMS</t>
  </si>
  <si>
    <t>Peckarsky, BL; McIntosh, AR; Alvarez, M; Moslemi, JM</t>
  </si>
  <si>
    <t>Ex1-44a</t>
  </si>
  <si>
    <t>THE INFLUENCE OF MOSS ON GRAZERS IN HIGH-ALTITUDE STREAMS: FOOD, REFUGE OR BOTH?</t>
  </si>
  <si>
    <t>Alvarez, M; Peckarsky, BL</t>
  </si>
  <si>
    <t>Ex1-44b</t>
  </si>
  <si>
    <t>Ex1-57</t>
  </si>
  <si>
    <t>THE ECOLOGY OF SEED DISPERSAL BY SMALL RODENTS: A ROLE FOR PREDATOR AND CONSPECIFIC SCENTS</t>
  </si>
  <si>
    <t>Sunyer, P; Munoz, A; Bonal, R; Espelta, JM</t>
  </si>
  <si>
    <t>Ex1-754</t>
  </si>
  <si>
    <t>PREDATORY BEETLES FACILITATE PLANT GROWTH BY DRIVING EARTHWORMS TO LOWER SOIL LAYERS</t>
  </si>
  <si>
    <t>Zhao, C; Griffin, JN; Wu, XW; Sun, SC</t>
  </si>
  <si>
    <t>Ex1-844</t>
  </si>
  <si>
    <t>INFLUENCE OF PREDATION RISK ON RECRUITMENT AND LITTER INTERVALS IN COMMON VOLES (MICROTUS ARVALIS)</t>
  </si>
  <si>
    <t>Jochym, M; Halle, S</t>
  </si>
  <si>
    <t>Ex1-1144</t>
  </si>
  <si>
    <t>INDIRECT INTERACTIONS LIMIT THE EFFICIENCY OF ODONATA AS NATURAL CONTROL AGENTS FOR MOSQUITO LARVAE</t>
  </si>
  <si>
    <t>Barry, MJ; Roberts, DM</t>
  </si>
  <si>
    <t>Ex1-1188</t>
  </si>
  <si>
    <t>CLIMATE CHANGE ENHANCES THE NEGATIVE EFFECTS OF PREDATION RISK ON AN INTERMEDIATE CONSUMER</t>
  </si>
  <si>
    <t>Ex1-2141</t>
  </si>
  <si>
    <t>ECOSYSTEM SCALE DECLINES IN ELK RECRUITMENT AND POPULATION GROWTH WITH WOLF COLONIZATION: A BEFORE-AFTER-CONTROL-IMPACT APPROACH</t>
  </si>
  <si>
    <t>Christianson, D; Creel, S</t>
  </si>
  <si>
    <t>Ex1-289</t>
  </si>
  <si>
    <t>NOT WORTH THE RISK: APEX PREDATORS SUPPRESS HERBIVORY ON CORAL REEFS</t>
  </si>
  <si>
    <t>Rizzari, JR; Frisch, AJ; Hoey, AS; McCormick, MI</t>
  </si>
  <si>
    <t>Ex1-514</t>
  </si>
  <si>
    <t>CONSPECIFIC ALARM CUE SENSITIVITY BY THE ESTUARINE CALANOID COPEPOD, PARACARTIA LONGIPATELLA</t>
  </si>
  <si>
    <t>Wasserman, RJ; Kramer, R; Vink, TJF; Froneman, PW</t>
  </si>
  <si>
    <t>Ex1-647</t>
  </si>
  <si>
    <t>PLANT DEFENSES AND PREDATION RISK DIFFERENTIALLY SHAPE PATTERNS OF CONSUMPTION, GROWTH, AND DIGESTIVE EFFICIENCY IN A GUILD OF LEAF- CHEWING INSECTS</t>
  </si>
  <si>
    <t>Kaplan, I; McArt, SH; Thaler, JS</t>
  </si>
  <si>
    <t>Ex1-70</t>
  </si>
  <si>
    <t>CAN CURRENT VELOCITY MEDIATE TROPHIC CASCADES IN A MOUNTAIN STREAM?</t>
  </si>
  <si>
    <t>Wellnitz, T</t>
  </si>
  <si>
    <t>Ex1-1070</t>
  </si>
  <si>
    <t>CONSUMER TRAIT VARIATION INFLUENCES TRITROPHIC INTERACTIONS IN SALT MARSH COMMUNITIES</t>
  </si>
  <si>
    <t>Hughes, AR; Hanley, TC; Orozco, NP; Zerebecki, RA</t>
  </si>
  <si>
    <t>Ex1-128</t>
  </si>
  <si>
    <t>PREDATORS INDIRECTLY REDUCE THE PREVALENCE OF AN INSECT-VECTORED PLANT PATHOGEN INDEPENDENT OF PREDATOR DIVERSITY</t>
  </si>
  <si>
    <t>Long, EY; Finke, DL</t>
  </si>
  <si>
    <t>Ex1-1585</t>
  </si>
  <si>
    <t>PREDATOR-INDUCED MATERNAL STRESS AND POPULATION DEMOGRAPHY IN SNOWSHOE HARES: THE MORE SEVERE THE RISK, THE LONGER THE GENERATIONAL EFFECT</t>
  </si>
  <si>
    <t>Sheriff, MJ; McMahon, EK; Krebs, CJ; Boonstra, R</t>
  </si>
  <si>
    <t>Ex1-1612</t>
  </si>
  <si>
    <t>DIRECT AND INDIRECT EFFECT OF PREDATORS ON ANOPHELES GAMBIAE SENSU STRICTO</t>
  </si>
  <si>
    <t>Chobu, M; Nkwengulila, G; Mahande, AM; Mwang'onde, BJ; Kweka, EJ</t>
  </si>
  <si>
    <t>Ex1-1628</t>
  </si>
  <si>
    <t>INTERCOHORT SIZE STRUCTURE DYNAMICS OF FIRE SALAMANDER LARVAE IN EPHEMERAL HABITATS: A MESOCOSM EXPERIMENT</t>
  </si>
  <si>
    <t>Sadeh, A; Polevikov, A; Mangel, M; Blaustein, L</t>
  </si>
  <si>
    <t>Ex1-1973</t>
  </si>
  <si>
    <t>IMPACT OF PREDATOR CUES ON RESPONSES TO SILVER NANOPARTICLES IN DAPHNIA CARINATA</t>
  </si>
  <si>
    <t>Qin, GQ; Xiong, YX; Tang, S; Zhao, P; Doering, JA; Beitel, SC; Hecker, M; Wang, M; Liu, HL; Lu, HL; Du, HM</t>
  </si>
  <si>
    <t>Ex1-2326</t>
  </si>
  <si>
    <t>SCALE-DEPENDENT EFFECTS OF COYOTE-PREDATION RISK ON PATTERNS OF WHITE-TAILED DEER BROWSING ALONG LINEAR FOREST EDGES</t>
  </si>
  <si>
    <t>Pierce, JLB; Dalinsky, SA; Chenaille, AA; Lolya, LM; Maguder, JL; Mattilio, C; Mayhew, GV; Regan, E; Patrick, DA</t>
  </si>
  <si>
    <t>Ex1-1163</t>
  </si>
  <si>
    <t>PREDATOR KAIROMONES CHANGE FOOD WEB STRUCTURE AND FUNCTION, REGARDLESS OF CUES FROM CONSUMED PREY</t>
  </si>
  <si>
    <t>Marino, NAC; Srivastava, DS; Farjalla, VF</t>
  </si>
  <si>
    <t>Ex1-1283</t>
  </si>
  <si>
    <t>ASSESSING POPULATION INCREASE AS A POSSIBLE OUTCOME TO MANAGEMENT OF INVASIVE SPECIES</t>
  </si>
  <si>
    <t>Turner, BC; de Rivera, CE; Grosholz, ED; Ruiz, GM</t>
  </si>
  <si>
    <t>Ex1-1486</t>
  </si>
  <si>
    <t>ACUTE EMBRYONIC EXPOSURE TO CORTICOSTERONE ALTERS PHYSIOLOGY, BEHAVIOUR AND GROWTH IN NESTLINGS OF A WILD PASSERINE</t>
  </si>
  <si>
    <t>Tilgar, V; Magi, M; Lind, M; Lodjak, J; Moks, K; Mand, R</t>
  </si>
  <si>
    <t>Ex1-1595</t>
  </si>
  <si>
    <t>VARIATION IN THE POPULATION DEMOGRAPHICS OF SCOLOPSIS BILINEATUS IN RESPONSE TO PREDATORS</t>
  </si>
  <si>
    <t>Hall, AE; Kingsford, MJ</t>
  </si>
  <si>
    <t>Ex1-1748</t>
  </si>
  <si>
    <t>ANIMAL WATER BALANCE DRIVES TOP-DOWN EFFECTS IN A RIPARIAN FOREST-IMPLICATIONS FOR TERRESTRIAL TROPHIC CASCADES</t>
  </si>
  <si>
    <t>McCluney, KE; Sabo, JL</t>
  </si>
  <si>
    <t>Ex1-1974</t>
  </si>
  <si>
    <t>A TERRESTRIAL-AQUATIC FOOD WEB SUBSIDY IS POTENTIALLY MEDIATED BY MULTIPLE PREDATOR EFFECTS ON AN ARBOREAL CRAB</t>
  </si>
  <si>
    <t>Yeager, LA; Stoner, EW; Peters, JR; Layman, CA</t>
  </si>
  <si>
    <t>Ex1-2069</t>
  </si>
  <si>
    <t>NET NEUTRAL EFFECTS OF A GENERALIST VERTEBRATE PREDATOR ON SEED PRODUCTION RESULT FROM SIMULTANEOUS SUPPRESSION OF PLANT ANTAGONISTS AND MUTUALISTS</t>
  </si>
  <si>
    <t>Zhao, JY; He, K; Peng, YH; Wu, XW; Sun, SC</t>
  </si>
  <si>
    <t>Ex1-2214</t>
  </si>
  <si>
    <t>AN EXPERIMENTAL TEST OF ANTAGONISTIC EFFECTS OF COMPETITION AND PARASITISM ON HOST PERFORMANCE IN SEMI-NATURAL MESOCOSMS</t>
  </si>
  <si>
    <t>Perez-Jvostov, F; Hendry, AP; Fussmann, GF; Scott, ME</t>
  </si>
  <si>
    <t>Ex1-240</t>
  </si>
  <si>
    <t>MUTUALISM EXPLOITATION: PREDATORY DROSOPHILID LARVAE SUGAR-TRAP ANTS AND JEOPARDIZE FACULTATIVE ANT-PLANT MUTUALISM</t>
  </si>
  <si>
    <t>Vidal, MC; Sendoya, SF; Oliveira, PS</t>
  </si>
  <si>
    <t>Ex1-2402</t>
  </si>
  <si>
    <t>TEMPERATURE DEPENDENCE OF PREDATION STRESS AND THE NUTRITIONAL ECOLOGY OF A GENERALIST HERBIVORE</t>
  </si>
  <si>
    <t>Ex1-2435</t>
  </si>
  <si>
    <t>FEAR OF LARGE CARNIVORES CAUSES A TROPHIC CASCADE</t>
  </si>
  <si>
    <t>Suraci, JP; Clinchy, M; Dill, LM; Roberts, D; Zanette, LY</t>
  </si>
  <si>
    <t>Ex1-2658</t>
  </si>
  <si>
    <t>COMPETITION AND HOST SIZE MEDIATE LARVAL ANURAN INTERACTIONS WITH TREMATODE PARASITES</t>
  </si>
  <si>
    <t>Marino, JA; Holland, MP; Werner, EE</t>
  </si>
  <si>
    <t>Ex1-290a</t>
  </si>
  <si>
    <t>CASCADING EFFECTS OF PREDATION RISK DETERMINE HOW MARINE PREDATORS BECOME TERRESTRIAL PREY ON AN OCEANIC ISLAND</t>
  </si>
  <si>
    <t>Thomsen, SK; Green, DJ</t>
  </si>
  <si>
    <t>Ex1-387</t>
  </si>
  <si>
    <t>COSTS OF FEAR: BEHAVIOURAL AND LIFE-HISTORY RESPONSES TO RISK AND THEIR DEMOGRAPHIC CONSEQUENCES VARY ACROSS SPECIES</t>
  </si>
  <si>
    <t>LaManna, JA; Martin, TE</t>
  </si>
  <si>
    <t>Ex1-480</t>
  </si>
  <si>
    <t>COMPARING THE INFLUENCE OF NATIVE AND INVASIVE INTRAGUILD PREDATORS ON A RARE NATIVE OYSTER</t>
  </si>
  <si>
    <t>Grason, EW; Buhle, ER</t>
  </si>
  <si>
    <t>Ex1-536</t>
  </si>
  <si>
    <t>PREDATOR EFFECTS ON HOST-PARASITE INTERACTIONS IN THE EASTERN OYSTER CRASSOSTREA VIRGINICA</t>
  </si>
  <si>
    <t>Malek, JC; Byers, JE</t>
  </si>
  <si>
    <t>Ex1-623</t>
  </si>
  <si>
    <t>SHORT-TERM EXPOSURE TO PREDATION AFFECTS BODY ELEMENTAL COMPOSITION, CLIMBING SPEED AND SURVIVAL ABILITY IN DROSOPHILA MELANOGASTER</t>
  </si>
  <si>
    <t>Krams, I; Inwood, SE; Trakimas, G; Krams, R; Burghardt, GM; Bulter, DM; Luoto, S; Krama, T</t>
  </si>
  <si>
    <t>Ex1-1177</t>
  </si>
  <si>
    <t>DIET AND CONDITION OF MESOPREDATORS ON CORAL REEFS IN RELATION TO SHARK ABUNDANCE</t>
  </si>
  <si>
    <t>Barley, SC; Meekan, MG; Meeuwig, JJ</t>
  </si>
  <si>
    <t>Ex1-1249</t>
  </si>
  <si>
    <t>INFLUENCE OF EXTRAGUILD PREY AND INTRAGUILD PREDATORS ON THE PHYTOPHAGY OF THE ZOOPHYTOPHAGOUS BUG CAMPYLOMMA VERBASCI</t>
  </si>
  <si>
    <t>Aubry, O; Cormier, D; Chouinard, G; Lucas, E</t>
  </si>
  <si>
    <t>Ex1-1346</t>
  </si>
  <si>
    <t>EXPERIMENTAL ADDITION OF COVER LOWERS THE PERCEPTION OF DANGER AND INCREASES REPRODUCTION IN MEADOW VOLES (MICROTUS PENNSYLVANICUS)</t>
  </si>
  <si>
    <t>Dehn, MM; Ydenberg, RC; Dill, LM</t>
  </si>
  <si>
    <t>Ex1-1364</t>
  </si>
  <si>
    <t>LIONS INFLUENCE THE DECLINE AND HABITAT SHIFT OF HARTEBEEST IN A SEMIARID SAVANNA</t>
  </si>
  <si>
    <t>Ng'weno, CC; Maiyo, NJ; Ali, AH; Kibungei, AK; Goheen, JR</t>
  </si>
  <si>
    <t>Ex1-1373b</t>
  </si>
  <si>
    <t>PREDATOR COMMUNITY COMPOSITION IS LINKED TO SOIL CARBON RETENTION ACROSS A HUMAN LAND USE GRADIENT</t>
  </si>
  <si>
    <t>Schmitz, OJ; Buchkowski, RW; Smith, JR; Telthorst, M; Rosenblatt, AE</t>
  </si>
  <si>
    <t>Ex1-1468</t>
  </si>
  <si>
    <t>INDUCIBLE DEFENSES IN OLYMPIA OYSTERS IN RESPONSE TO AN INVASIVE PREDATOR</t>
  </si>
  <si>
    <t>Bible, JM; Griffith, KR; Sanford, E</t>
  </si>
  <si>
    <t>Ex1-1558</t>
  </si>
  <si>
    <t>EXPERIMENTAL DEMONSTRATION OF A TROPHIC CASCADE IN THE GALAPAGOS ROCKY SUBTIDAL: EFFECTS OF CONSUMER IDENTITY AND BEHAVIOR</t>
  </si>
  <si>
    <t>Witman, JD; Smith, F; Novak, M</t>
  </si>
  <si>
    <t>Ex1-1665</t>
  </si>
  <si>
    <t>NON-ADDITIVE EFFECTS OF SIMULATED HEAT WAVES AND PREDATORS ON PREY PHENOTYPE AND TRANSGENERATIONAL PHENOTYPIC PLASTICITY</t>
  </si>
  <si>
    <t>Ex1-1918</t>
  </si>
  <si>
    <t>IN SITU WARMING STRENGTHENS TROPHIC CASCADES IN A COASTAL FOOD WEB</t>
  </si>
  <si>
    <t>Ex1-2379</t>
  </si>
  <si>
    <t>AT LUNCH WITH A KILLER: THE EFFECT OF WEAVER ANTS ON HOST-PARASITOID INTERACTIONS ON MANGO</t>
  </si>
  <si>
    <t>Migani, V; Ekesi, S; Merkel, K; Hoffmeister, T</t>
  </si>
  <si>
    <t>Ex1-2514</t>
  </si>
  <si>
    <t>PREDATION RISK AFFECTS GROWTH AND REPRODUCTION OF AN INVASIVE SNAIL AND ITS LETHAL EFFECT DEPENDS ON PREY SIZE</t>
  </si>
  <si>
    <t>Guo, J; Martin, PR; Zhang, CX; Zhang, JE</t>
  </si>
  <si>
    <t>Ex1-941</t>
  </si>
  <si>
    <t>COMPETITORS AND PREDATORS ALTER SETTLEMENT PATTERNS AND REPRODUCTIVE SUCCESS OF AN INTRAGUILD PREY</t>
  </si>
  <si>
    <t>Morosinotto, C; Villers, A; Thomson, RL; Varjonen, R; Korpimaki, E</t>
  </si>
  <si>
    <t>Ex1-1056</t>
  </si>
  <si>
    <t>LARVAL BODY CONDITION REGULATES PREDATOR-INDUCED LIFE-HISTORY VARIATION IN A DRAGONFLY</t>
  </si>
  <si>
    <t>Moore, MP; Lis, C; Martin, RA</t>
  </si>
  <si>
    <t>Ex1-1106</t>
  </si>
  <si>
    <t>PREDATION CUES INFLUENCE METABOLIC RATE AND SENSITIVITY TO OTHER CHEMICAL STRESSORS IN FATHEAD MINNOWS (PIMEPHALES PROMELAS) AND DAPHNIA PULEX</t>
  </si>
  <si>
    <t>Robison, AL; Chapman, T; Bidwell, JR</t>
  </si>
  <si>
    <t>Ex1-1236</t>
  </si>
  <si>
    <t>INTERACTIONS BETWEEN SHIP RATS AND HOUSE MICE AT PUREORA FOREST PARK</t>
  </si>
  <si>
    <t>Bridgman, L; Innes, J; Gillies, C; Fitzgerald, N; Rohan, M; King, C</t>
  </si>
  <si>
    <t>Ex1-1307</t>
  </si>
  <si>
    <t>THE ROLE OF SPIDER HUNTING MODE ON THE STRENGTH OF SPIDER-PLANT MUTUALISMS</t>
  </si>
  <si>
    <t>Kersch-Becker, MF; Grisolia, BB; Campos, MJO; Romero, GQ</t>
  </si>
  <si>
    <t>Ex1-1437</t>
  </si>
  <si>
    <t>PREDATION RISK POTENTIATES TOXICITY OF A COMMON METAL CONTAMINANT IN A COASTAL COPEPOD</t>
  </si>
  <si>
    <t>Lode, T; Heuschele, J; Andersen, T; Titelman, J; Hylland, K; Borga, K</t>
  </si>
  <si>
    <t>Ex1-1533</t>
  </si>
  <si>
    <t>HIGH JUVENILE MORTALITY IN AMPHIBIANS DURING OVERWINTERING RELATED TO FUNGAL PATHOGEN EXPOSURE</t>
  </si>
  <si>
    <t>Rumschlag, SL; Boone, MD</t>
  </si>
  <si>
    <t>Ex1-1581</t>
  </si>
  <si>
    <t>COMBINED EFFECTS OF METAL MIXTURES AND PREDATOR STRESS ON THE FRESHWATER ISOPOD ASELLUS AQUATICUS</t>
  </si>
  <si>
    <t>Van Ginneken, M; Blust, R; Bervoets, L</t>
  </si>
  <si>
    <t>Ex1-1706</t>
  </si>
  <si>
    <t>TROPHIC CASCADES AT MULTIPLE SPATIAL SCALES SHAPE RECOVERY OF YOUNG ASPEN IN YELLOWSTONE</t>
  </si>
  <si>
    <t>Beschta, RL; Painter, LE; Ripple, WJ</t>
  </si>
  <si>
    <t>Ex1-1733</t>
  </si>
  <si>
    <t>FISH INVASION ALTERS ECOSYSTEM FUNCTION IN A SMALL HETEROTROPHIC STREAM</t>
  </si>
  <si>
    <t>Pennuto, CM; Cudney, KA; Janik, CE</t>
  </si>
  <si>
    <t>Ex1-2208</t>
  </si>
  <si>
    <t>FEMALE MOSQUITOES DISPERSE FURTHER WHEN THEY DEVELOP UNDER PREDATION RISK</t>
  </si>
  <si>
    <t>Alcalay, Y; Tsurim, I; Ovadia, O</t>
  </si>
  <si>
    <t>Ex1-2493</t>
  </si>
  <si>
    <t>HUNTING-MEDIATED PREDATOR FACILITATION AND SUPERADDITIVE MORTALITY IN A EUROPEAN UNGULATE</t>
  </si>
  <si>
    <t>Gehr, B; Hofer, EJ; Pewsner, M; Ryser, A; Vimercati, E; Vogt, K; Keller, LF</t>
  </si>
  <si>
    <t>Ex1-2580</t>
  </si>
  <si>
    <t>EXPOSURE TO CHEMICAL CUES FROM PREDATOR-EXPOSED CONSPECIFICS INCREASES REPRODUCTION IN A WILD RODENT</t>
  </si>
  <si>
    <t>Haapakoski, M; Hardenbol, AA; Matson, KD</t>
  </si>
  <si>
    <t>Ex1-2603</t>
  </si>
  <si>
    <t>COMBINED EFFECTS OF INSECTICIDE EXPOSURE AND PREDATION RISK ON FRESHWATER DETRITIVORES</t>
  </si>
  <si>
    <t>Rodrigues, ACM; Bordalo, MD; Golovko, O; Koba, O; Barata, C; Soares, AMVM; Pestana, JLT</t>
  </si>
  <si>
    <t>Ex1-489</t>
  </si>
  <si>
    <t>OPPOSITE EFFECTS OF DAYTIME AND NIGHTTIME WARMING ON TOP-DOWN CONTROL OF PLANT DIVERSITY</t>
  </si>
  <si>
    <t>Ex1-780</t>
  </si>
  <si>
    <t>EUROPEAN STARLING (STURNUS VULGARIS) REPRODUCTION UNDETERRED BY PREDATOR SCENT INSIDE NEST BOXES</t>
  </si>
  <si>
    <t>Blackwell, BF; Seamans, TW; Pfeiffer, MB; Buckingham, BN</t>
  </si>
  <si>
    <t>Ex1-1011</t>
  </si>
  <si>
    <t>FEAR AND FOOD: EFFECTS OF PREDATOR-DERIVED CHEMICAL CUES AND STOICHIOMETRIC FOOD QUALITY ON DAPHNIA</t>
  </si>
  <si>
    <t>Bell, ATC; Murray, DL; Prater, C; Frost, PC</t>
  </si>
  <si>
    <t>Ex1-1123</t>
  </si>
  <si>
    <t>SYNERGISTIC EFFECTS OF PREDATION AND PARASITES ON THE OVERWINTER SURVIVAL OF ROOT VOLES</t>
  </si>
  <si>
    <t>Shang, GZ; Zhu, YH; Wu, Y; Cao, YF; Bian, JH</t>
  </si>
  <si>
    <t>Ex1-1414</t>
  </si>
  <si>
    <t>ASSESSING EFFECTS OF NON-NATIVE CRAYFISH ON MOSQUITO SURVIVAL</t>
  </si>
  <si>
    <t>Bucciarelli, GM; Suh, D; Lamb, AD; Roberts, D; Sharpton, D; Shaffer, HB; Fisher, RN; Kats, LB</t>
  </si>
  <si>
    <t>Ex1-1597</t>
  </si>
  <si>
    <t>ADDITIVE BIOENERGETIC RESPONSES TO A PESTICIDE AND PREDATION RISK IN AN AQUATIC INSECT</t>
  </si>
  <si>
    <t>Van Dievel, M; Janssens, L; Stoks, R</t>
  </si>
  <si>
    <t>Ex1-1800</t>
  </si>
  <si>
    <t>PHENOTYPICALLY PLASTIC RESPONSES TO PREDATION RISK ARE TEMPERATURE DEPENDENT</t>
  </si>
  <si>
    <t>Ex1-1942</t>
  </si>
  <si>
    <t>TRI-TROPHIC INTERACTIONS MEDIATE THE SPREAD OF A VECTOR-BORNE PLANT PATHOGEN</t>
  </si>
  <si>
    <t>Clark, RE; Basu, S; Lee, BW; Crowder, DW</t>
  </si>
  <si>
    <t>Ex1-1963</t>
  </si>
  <si>
    <t>THE EFFECTS OF EMBRYONIC EXPERIENCE WITH PREDATION RISK VARY ACROSS A WAVE EXPOSURE GRADIENT</t>
  </si>
  <si>
    <t>Donelan, SC; Trussell, GC</t>
  </si>
  <si>
    <t>Ex1-2042</t>
  </si>
  <si>
    <t>DEVELOPMENT, LIFESPAN AND REPRODUCTION OF SPIDER MITES EXPOSED TO PREDATOR-INDUCED STRESS ACROSS GENERATIONS</t>
  </si>
  <si>
    <t>Li, GY; Zhang, ZQ</t>
  </si>
  <si>
    <t>Ex1-599</t>
  </si>
  <si>
    <t>WOLVES AND TREE LOGS: LANDSCAPE-SCALE AND FINE-SCALE RISK FACTORS INTERACTIVELY INFLUENCE TREE REGENERATION</t>
  </si>
  <si>
    <t>van Ginkel, HAL; Kuijper, DPJ; Schotanus, J; Smit, C</t>
  </si>
  <si>
    <t>Ex1-686</t>
  </si>
  <si>
    <t>EXPERIMENTAL INCREASE IN PREDATION RISK CAUSES A CASCADING STRESS RESPONSE IN FREE-RANGING SNOWSHOE HARES</t>
  </si>
  <si>
    <t>Boudreau, MR; Seguin, JL; Boonstra, R; Palme, R; Boutin, S; Krebs, CJ; Murray, DL</t>
  </si>
  <si>
    <t>Ex1-833</t>
  </si>
  <si>
    <t>ANT ASSOCIATIONS IN THE NEOTROPICAL SHRUB TURNERA SUBULATA (TURNERACEAE): COSTS OR BENEFITS TO THE HOST PLANT?</t>
  </si>
  <si>
    <t>Cruz, NG; Almeida, CS; Bacci, L; Cristaldo, PF; Santana, AS; Oliveira, AP; Ribeiro, EJM; Araujo, APA</t>
  </si>
  <si>
    <t>Ex1-1807</t>
  </si>
  <si>
    <t>EFFECTS OF PESTICIDE EXPOSURE AND PREDATION RISK ON NUTRIENT CYCLING AND PRIMARY PRODUCTION</t>
  </si>
  <si>
    <t>Ex1-260</t>
  </si>
  <si>
    <t>EFFECTS OF PREDATOR-INDUCED STRESS DURING PREGNANCY ON REPRODUCTIVE OUTPUT AND OFFSPRING QUALITY IN BRANDT'S VOLES (LASIOPODOMYS BRANDTII)</t>
  </si>
  <si>
    <t>Gu, C; Liu, Y; Huang, YF; Yang, SM; Wang, AQ; Yin, BF; Wei, WH</t>
  </si>
  <si>
    <t xml:space="preserve">Compensatory larval responses shift trade-offs associated with predator-induced hatching plasticity </t>
  </si>
  <si>
    <t>Vonesh, JR; Bolker, BM</t>
  </si>
  <si>
    <t xml:space="preserve">ECOLOGY  Volume: 86   Issue: 6   Pages: 1580-1591   Published: JUN 2005 </t>
  </si>
  <si>
    <t xml:space="preserve">Predator-avoidance behavior extends trophic cascades to refuge habitats </t>
  </si>
  <si>
    <t>Grabowski, JH; Kimbro, DL</t>
  </si>
  <si>
    <t xml:space="preserve">ECOLOGY  Volume: 86   Issue: 5   Pages: 1312-1319   Published: MAY 2005 </t>
  </si>
  <si>
    <t xml:space="preserve">Ecosystem consequences of diversity depend on food chain length in estuarine vegetation </t>
  </si>
  <si>
    <t>Duffy, JE; Richardson, JP; France, KE</t>
  </si>
  <si>
    <t xml:space="preserve">ECOLOGY LETTERS  Volume: 8   Issue: 3   Pages: 301-309   Published: MAR 2005 </t>
  </si>
  <si>
    <t xml:space="preserve">Relative strengths of trait-mediated and density-mediated indirect effects of a predator vary with resource levels in a freshwater food chain </t>
  </si>
  <si>
    <t>Wojdak, JM; Luttbeg, B</t>
  </si>
  <si>
    <t xml:space="preserve">OIKOS  Volume: 111   Issue: 3   Pages: 592-598   Published: DEC 2005 </t>
  </si>
  <si>
    <t xml:space="preserve">The impact of diel vertical migration of Daphnia on phytoplankton dynamics </t>
  </si>
  <si>
    <t>Reichwaldt, ES; Stibor, H</t>
  </si>
  <si>
    <t xml:space="preserve">OECOLOGIA  Volume: 146   Issue: 1   Pages: 50-56   Published: NOV 2005 </t>
  </si>
  <si>
    <t>D3</t>
  </si>
  <si>
    <t xml:space="preserve">Consumptive and non-consumptive effects of turbellarian (Mesostoma sp.) predation on anostracans </t>
  </si>
  <si>
    <t>By: De Roeck, ERM; Artois, T; Brendonck, L</t>
  </si>
  <si>
    <t xml:space="preserve">HYDROBIOLOGIA  Volume: 542   Pages: 103-111   Published: JUL 1 2005 </t>
  </si>
  <si>
    <t>F15</t>
  </si>
  <si>
    <t xml:space="preserve">Do instream habitat variables and the abundance of brown trout Salmo trutta (L.) affect the distribution and growth of stone loach, Barbatula barbatula (L.)? </t>
  </si>
  <si>
    <t>By: Nilsson, E; Persson, A</t>
  </si>
  <si>
    <t xml:space="preserve">ECOLOGY OF FRESHWATER FISH  Volume: 14   Issue: 1   Pages: 40-49   Published: MAR 2005 </t>
  </si>
  <si>
    <t xml:space="preserve">Non-lethal predator effects on the performance of a native and an exotic crayfish species </t>
  </si>
  <si>
    <t>By: Nystrom, P</t>
  </si>
  <si>
    <t xml:space="preserve">FRESHWATER BIOLOGY  Volume: 50   Issue: 12   Pages: 1938-1949   Published: DEC 2005 </t>
  </si>
  <si>
    <t xml:space="preserve">A trophic cascade in a macrophyte-based food web at the land-water ecotone </t>
  </si>
  <si>
    <t>By: Schlacher, Thomas A.; Cronin, Greg</t>
  </si>
  <si>
    <t xml:space="preserve">ECOLOGICAL RESEARCH  Volume: 22   Issue: 5   Pages: 749-755   Published: SEP 2007 </t>
  </si>
  <si>
    <t xml:space="preserve">Predation risk perception and food scarcity induce alterations of life-cycle traits of the mosquito Culex pipens </t>
  </si>
  <si>
    <t>By: Beketov, Mikhail A.; Liess, Matthias</t>
  </si>
  <si>
    <t xml:space="preserve">ECOLOGICAL ENTOMOLOGY  Volume: 32   Issue: 4   Pages: 405-410   Published: AUG 2007 </t>
  </si>
  <si>
    <t xml:space="preserve">Large nonlethal effects of an invasive invertebrate predator on zooplankton population growth rate </t>
  </si>
  <si>
    <t>By: Pangle, Kevin L.; Peacor, Scott D.; Johannsson, Ora E.</t>
  </si>
  <si>
    <t xml:space="preserve">ECOLOGY  Volume: 88   Issue: 2   Pages: 402-412   Published: FEB 2007 </t>
  </si>
  <si>
    <t xml:space="preserve">Predator avoidance behavior in the pea aphid: costs, frequency, and population consequences </t>
  </si>
  <si>
    <t>By: Nelson, Erik H.</t>
  </si>
  <si>
    <t xml:space="preserve">OECOLOGIA  Volume: 151   Issue: 1   Pages: 22-32   Published: FEB 2007 </t>
  </si>
  <si>
    <t xml:space="preserve">Intermediate predator impact on consumers weakens with increasing predator diversity in the presence of a top-predator </t>
  </si>
  <si>
    <t>By: Jonsson, Micael; Johansson, Frank; Karlsson, Cecilia; et al.</t>
  </si>
  <si>
    <t xml:space="preserve">ACTA OECOLOGICA-INTERNATIONAL JOURNAL OF ECOLOGY  Volume: 31   Issue: 1   Pages: 79-85   Published: JAN-FEB 2007 </t>
  </si>
  <si>
    <t xml:space="preserve">The effect of predation risk on an acarine system </t>
  </si>
  <si>
    <t>By: Skaloudova, Barbora; Zemek, Rostislav; Krivan, Vlastimil</t>
  </si>
  <si>
    <t xml:space="preserve">ANIMAL BEHAVIOUR  Volume: 74   Pages: 813-821   Part: 4   Published: OCT 2007 </t>
  </si>
  <si>
    <t xml:space="preserve">Induced defenses in herbivores and plants differentially modulate a trophic cascade </t>
  </si>
  <si>
    <t>By: van der Stap, Irene; Vos, Matthijs; Verschoor, Antonie M.; et al.</t>
  </si>
  <si>
    <t xml:space="preserve">ECOLOGY  Volume: 88   Issue: 10   Pages: 2474-2481   Published: OCT 2007 </t>
  </si>
  <si>
    <t xml:space="preserve">Mechanisms of nonlethal predator effect on cohort size variation: Ecological and evolutionary implications </t>
  </si>
  <si>
    <t>By: Peacor, Scott D.; Schiesari, Luis; Werner, Earl E.</t>
  </si>
  <si>
    <t xml:space="preserve">ECOLOGY  Volume: 88   Issue: 6   Pages: 1536-1547   Published: JUN 2007 </t>
  </si>
  <si>
    <t xml:space="preserve">Direct and indirect effects of dragonfly (Anax imperator) nymphs on green toad (Bufo viridis) tadpoles </t>
  </si>
  <si>
    <t>By: Stav, Gil; Kotler, Burt P.; Blaustein, Leon</t>
  </si>
  <si>
    <t xml:space="preserve">HYDROBIOLOGIA  Volume: 579   Pages: 85-93   Published: MAR 2007 </t>
  </si>
  <si>
    <t>E15</t>
  </si>
  <si>
    <t xml:space="preserve">Amphibian survival, growth and development in response to mineral nitrogen exposure and predator cues in the field: an experimental approach </t>
  </si>
  <si>
    <t>By: Griffis-Kyle, Kerry L.; Ritchie, Mark E.</t>
  </si>
  <si>
    <t xml:space="preserve">OECOLOGIA  Volume: 152   Issue: 4   Pages: 633-642   Published: JUL 2007 </t>
  </si>
  <si>
    <t xml:space="preserve">Predation effects of benthivorous fish on grazing and shredding macroinvertebrates in a detritus-based stream food web </t>
  </si>
  <si>
    <t>By: Winkelmann, Carola; Worischka, Susanne; Koop, Jochen H. E.; et al.</t>
  </si>
  <si>
    <t xml:space="preserve">LIMNOLOGICA  Volume: 37   Issue: 2   Pages: 121-128   Published: MAY 2007 </t>
  </si>
  <si>
    <t>E3</t>
  </si>
  <si>
    <t xml:space="preserve">Sublethal pesticide concentrations and predation jointly shape life history: Behavioral and physiological mechanisms </t>
  </si>
  <si>
    <t>By: Campero, Melina; Slos, Stefanie; Ollevier, Frans; et al.</t>
  </si>
  <si>
    <t xml:space="preserve">ECOLOGICAL APPLICATIONS  Volume: 17   Issue: 7   Pages: 2111-2122   Published: OCT 2007 </t>
  </si>
  <si>
    <t xml:space="preserve">F1 </t>
  </si>
  <si>
    <t xml:space="preserve">The importance of intraguild interactions to the combined effect of a parasitoid and a predator on aphid population suppression </t>
  </si>
  <si>
    <t>By: Bilu, Einat; Coll, Moshe</t>
  </si>
  <si>
    <t xml:space="preserve">BIOCONTROL  Volume: 52   Issue: 6   Pages: 753-763   Published: DEC 2007 </t>
  </si>
  <si>
    <t xml:space="preserve">Non-lethal predator effects on the feeding rate and prey selection of the exotic zebra mussel Dreissena polymorpha </t>
  </si>
  <si>
    <t>By: Naddafi, Rahmat; Eklov, Peter; Pettersson, Kurt</t>
  </si>
  <si>
    <t xml:space="preserve">OIKOS  Volume: 116   Issue: 8   Pages: 1289-1298   Published: AUG 2007 </t>
  </si>
  <si>
    <t xml:space="preserve">Risk-disturbance overrides density dependence in a hunted colonial rodent, the black-tailed prairie dog Cynomys ludovicianus </t>
  </si>
  <si>
    <t>By: Pauli, Jonathan N.; Buskirk, Steven W.</t>
  </si>
  <si>
    <t xml:space="preserve">JOURNAL OF APPLIED ECOLOGY  Volume: 44   Issue: 6   Pages: 1219-1230   Published: DEC 2007 </t>
  </si>
  <si>
    <t>A12a</t>
  </si>
  <si>
    <t xml:space="preserve">RESOURCE IDENTITY MODIFIES THE INFLUENCE OF PREDATION RISK ON ECOSYSTEM FUNCTION </t>
  </si>
  <si>
    <t>By: Trussell, Geoffrey C.; Ewanchuk, Patrick J.; Matassa, Catherine M.</t>
  </si>
  <si>
    <t xml:space="preserve">ECOLOGY  Volume: 89   Issue: 10   Pages: 2798-2807   Published: OCT 2008 </t>
  </si>
  <si>
    <t xml:space="preserve">Trait-mediated effects on flowers: Artificial spiders deceive pollinators and decrease plant fitness </t>
  </si>
  <si>
    <t>By: Goncalves-Souza, Thiago; Omena, Paula M.; Souza, Jose Cesar; et al.</t>
  </si>
  <si>
    <t xml:space="preserve">ECOLOGY  Volume: 89   Issue: 9   Pages: 2407-2413   Published: SEP 2008 </t>
  </si>
  <si>
    <t xml:space="preserve">Non-lethal effects of invertebrate predators on Daphnia: morphological and life-history consequences of water mite kairomone </t>
  </si>
  <si>
    <t>By: Carter, Mauricio J.; Vega-Retter, Caren; Ramos-Jiliberto, Rodrigo</t>
  </si>
  <si>
    <t xml:space="preserve">FRESHWATER BIOLOGY  Volume: 53   Issue: 9   Pages: 1857-1867   Published: SEP 2008 </t>
  </si>
  <si>
    <t>A19a</t>
  </si>
  <si>
    <t xml:space="preserve">Indirect effects of an exploited predator on recruitment of coral-reef fishes </t>
  </si>
  <si>
    <t>By: Stallings, Christopher D.</t>
  </si>
  <si>
    <t xml:space="preserve">ECOLOGY  Volume: 89   Issue: 8   Pages: 2090-2095   Published: AUG 2008 </t>
  </si>
  <si>
    <t>A22a</t>
  </si>
  <si>
    <t xml:space="preserve">Competition, predation and flow rate as mediators of direct and indirect effects in a stream food chain </t>
  </si>
  <si>
    <t>By: Blanchet, S.; Loot, G.; Dodson, J. J.</t>
  </si>
  <si>
    <t xml:space="preserve">OECOLOGIA  Volume: 157   Issue: 1   Pages: 93-104   Published: AUG 2008 </t>
  </si>
  <si>
    <t xml:space="preserve">Effects of a predatory fish on a tropical detritus-based food web </t>
  </si>
  <si>
    <t>By: Boyero, Luz; Rincon, Pedro A.; Pearson, Richard G.</t>
  </si>
  <si>
    <t xml:space="preserve">ECOLOGICAL RESEARCH  Volume: 23   Issue: 4   Pages: 649-655   Published: JUL 2008 </t>
  </si>
  <si>
    <t>A25a</t>
  </si>
  <si>
    <t xml:space="preserve">Relative importance of consumptive and non-consumptive effects of predators on prey and plant damage: the influence of herbivore ontogeny </t>
  </si>
  <si>
    <t>By: Thaler, Jennifer S.; Griffin, Celine A. M.</t>
  </si>
  <si>
    <t xml:space="preserve">Conference: 13th International Symposium on Insect-Plant Interactions Location: Uppsala, SWEDEN Date: 2007 </t>
  </si>
  <si>
    <t xml:space="preserve">Predator diversity enhances secondary production and decreases the likelihood of trophic cascades </t>
  </si>
  <si>
    <t>By: O'Gorman, Eoin J.; Enright, Ruth A.; Emmerson, Mark C.</t>
  </si>
  <si>
    <t xml:space="preserve">OECOLOGIA  Volume: 158   Issue: 3   Pages: 557-567   Published: DEC 2008 </t>
  </si>
  <si>
    <t xml:space="preserve">Impact of cannibalism on predator-prey dynamics: Size-structured interactions and apparent mutualism </t>
  </si>
  <si>
    <t>By: Rudolf, Volker H. W.</t>
  </si>
  <si>
    <t xml:space="preserve">ECOLOGY  Volume: 89   Issue: 6   Pages: 1650-1660   Published: JUN 2008 </t>
  </si>
  <si>
    <t>A31a</t>
  </si>
  <si>
    <t xml:space="preserve">Trait-mediated interactions: influence of prey size, density and experience </t>
  </si>
  <si>
    <t>By: McCoy, Michael W.; Bolker, Benjamin M.</t>
  </si>
  <si>
    <t xml:space="preserve">JOURNAL OF ANIMAL ECOLOGY  Volume: 77   Issue: 3   Pages: 478-486   Published: MAY 2008 </t>
  </si>
  <si>
    <t>A4</t>
  </si>
  <si>
    <t xml:space="preserve">HABITAT COMPLEXITY INFLUENCES CASCADING EFFECTS OF MULTIPLE PREDATORS </t>
  </si>
  <si>
    <t>By: Grabowski, Jonathan H.; Hughes, A. Randall; Kimbro, David L.</t>
  </si>
  <si>
    <t xml:space="preserve">ECOLOGY  Volume: 89   Issue: 12   Pages: 3413-3422   Published: DEC 2008 </t>
  </si>
  <si>
    <t xml:space="preserve">Presence of the Jonah crab Cancer borealis significantly reduces kelp consumption by the green sea urchin Strongylocentrotus droebachiensis </t>
  </si>
  <si>
    <t>By: McKay, Kelly M.; Heck, Kenneth L., Jr.</t>
  </si>
  <si>
    <t xml:space="preserve">MARINE ECOLOGY PROGRESS SERIES  Volume: 356   Pages: 295-298   Published: 2008 </t>
  </si>
  <si>
    <t xml:space="preserve">Detecting small environmental differences: risk-response curves for predator-induced behavior and morphology </t>
  </si>
  <si>
    <t>By: Schoeppner, Nancy M.; Relyea, Rick A.</t>
  </si>
  <si>
    <t xml:space="preserve">OECOLOGIA  Volume: 154   Issue: 4   Pages: 743-754   Published: JAN 2008 </t>
  </si>
  <si>
    <t>A48a</t>
  </si>
  <si>
    <t xml:space="preserve">Temporal environmental variation and phenotypic plasticity: a mechanism underlying priority effects </t>
  </si>
  <si>
    <t>By: Hoverman, Jason T.; Relyea, Rick A.</t>
  </si>
  <si>
    <t xml:space="preserve">OIKOS  Volume: 117   Issue: 1   Pages: 23-32   Published: JAN 2008 </t>
  </si>
  <si>
    <t xml:space="preserve">THE IMPACT OF CANNIBALISM IN THE PREY ON PREDATOR-PREY SYSTEMS </t>
  </si>
  <si>
    <t xml:space="preserve">ECOLOGY  Volume: 89   Issue: 11   Pages: 3116-3127   Published: NOV 2008 </t>
  </si>
  <si>
    <t xml:space="preserve">Predation risk cues associated with killed conspecifics affect the behavior and reproduction of prey animals </t>
  </si>
  <si>
    <t>By: Fievet, Virgil; Lhomme, Patrick; Outreman, Yannick</t>
  </si>
  <si>
    <t xml:space="preserve">OIKOS  Volume: 117   Issue: 9   Pages: 1380-1385   Published: SEP 2008 </t>
  </si>
  <si>
    <t xml:space="preserve">Synergistic, antagonistic and additive effects of multiple stressors: predation threat, parasitism and pesticide exposure in Daphnia magna </t>
  </si>
  <si>
    <t>By: Coors, Anja; De Meester, Luc</t>
  </si>
  <si>
    <t xml:space="preserve">JOURNAL OF APPLIED ECOLOGY  Volume: 45   Issue: 6   Pages: 1820-1828   Published: DEC 2008 </t>
  </si>
  <si>
    <t>F13</t>
  </si>
  <si>
    <t xml:space="preserve">The influence of the circadian rhythm of green frog (Rana clamitans) tadpoles on their antipredator behavior and the strength of the nonlethal effects of predators </t>
  </si>
  <si>
    <t>By: Fraker, Michael E.</t>
  </si>
  <si>
    <t xml:space="preserve">AMERICAN NATURALIST  Volume: 171   Issue: 4   Pages: 545-552   Published: APR 2008 </t>
  </si>
  <si>
    <t>F21</t>
  </si>
  <si>
    <t xml:space="preserve">Indirect predator effects on age-0 northern rock sole Lepidopsetta polyxystra: growth suppression and temporal reallocation of feeding </t>
  </si>
  <si>
    <t>By: Ryer, Clifford H.; Hurst, Thomas P.</t>
  </si>
  <si>
    <t xml:space="preserve">MARINE ECOLOGY PROGRESS SERIES  Volume: 357   Pages: 207-212   Published: 2008 </t>
  </si>
  <si>
    <t xml:space="preserve">Effects of atrazine on anuran development are altered by the presence of a nonlethal predator </t>
  </si>
  <si>
    <t>By: LaFiandra, Emily May; Babbitt, Kimberly J.; Sower, Stacia A.</t>
  </si>
  <si>
    <t xml:space="preserve">JOURNAL OF TOXICOLOGY AND ENVIRONMENTAL HEALTH-PART A-CURRENT ISSUES  Volume: 71   Issue: 8   Pages: 505-511   Published: 2008 </t>
  </si>
  <si>
    <t xml:space="preserve">Density reductions by predatory trout increase adult size and fecundity of surviving caddisfly larvae in a detritus-based stream food web </t>
  </si>
  <si>
    <t>By: Greig, Hamish S.; McIntosh, Angus R.</t>
  </si>
  <si>
    <t xml:space="preserve">FRESHWATER BIOLOGY  Volume: 53   Issue: 8   Pages: 1579-1591   Published: AUG 2008 </t>
  </si>
  <si>
    <t xml:space="preserve">Conservation and the scarecrow effect: Can human activity benefit threatened species by displacing predators? </t>
  </si>
  <si>
    <t>By: Leighton, Patrick A.; Horrocks, Julia A.; Kramer, Donald L.</t>
  </si>
  <si>
    <t xml:space="preserve">BIOLOGICAL CONSERVATION  Volume: 143   Issue: 9   Pages: 2156-2163   Published: SEP 2010 </t>
  </si>
  <si>
    <t xml:space="preserve">Are wolves saving Yellowstone's aspen? A landscape-level test of a behaviorally mediated trophic cascade </t>
  </si>
  <si>
    <t>By: Kauffman, Matthew J.; Brodie, Jedediah F.; Jules, Erik S.</t>
  </si>
  <si>
    <t xml:space="preserve">ECOLOGY  Volume: 91   Issue: 9   Pages: 2742-2755   Published: SEP 2010 </t>
  </si>
  <si>
    <t xml:space="preserve">Cascading trait-mediation: disruption of a trait-mediated mutualism by parasite-induced behavioral modification </t>
  </si>
  <si>
    <t>By: Liere, Heidi; Larsen, Ashley</t>
  </si>
  <si>
    <t xml:space="preserve">OIKOS  Volume: 119   Issue: 9   Pages: 1394-1400   Published: SEP 2010 </t>
  </si>
  <si>
    <t xml:space="preserve">Cascading diversity effects transmitted exclusively by behavioral interactions </t>
  </si>
  <si>
    <t>By: Steffan, Shawn A.; Snyder, William E.</t>
  </si>
  <si>
    <t xml:space="preserve">ECOLOGY  Volume: 91   Issue: 8   Pages: 2242-2252   Published: AUG 2010 </t>
  </si>
  <si>
    <t xml:space="preserve">Inducible defences are a stabilizing factor for predator and prey populations: a field experiment </t>
  </si>
  <si>
    <t>By: Boeing, Wiebke J.; Ramcharan, Charles W.</t>
  </si>
  <si>
    <t xml:space="preserve">FRESHWATER BIOLOGY  Volume: 55   Issue: 11   Pages: 2332-2338   Published: NOV 2010 </t>
  </si>
  <si>
    <t xml:space="preserve">Parasitism in a community context: trait-mediated interactions with competition and predation </t>
  </si>
  <si>
    <t>By: Raffel, Thomas R.; Hoverman, Jason T.; Halstead, Neal T.; et al.</t>
  </si>
  <si>
    <t xml:space="preserve">ECOLOGY  Volume: 91   Issue: 7   Pages: 1900-1907   Published: JUL 2010 </t>
  </si>
  <si>
    <t>A31</t>
  </si>
  <si>
    <t xml:space="preserve">Effects of Euseius stipulatus on establishment and efficacy in spider mite suppression of Neoseiulus californicus and Phytoseiulus persimilis in clementine </t>
  </si>
  <si>
    <t>By: Abad-Moyano, Raquel; Urbaneja, Alberto; Hoffmann, Daniela; et al.</t>
  </si>
  <si>
    <t xml:space="preserve">EXPERIMENTAL AND APPLIED ACAROLOGY  Volume: 50   Issue: 4   Pages: 329-341   Published: APR 2010 </t>
  </si>
  <si>
    <t xml:space="preserve">The influence of temporally variable predation risk on indirect interactions in an aquatic food chain </t>
  </si>
  <si>
    <t>By: Wojdak, Jeremy M.; Trexler, D. Coleman</t>
  </si>
  <si>
    <t xml:space="preserve">ECOLOGICAL RESEARCH  Volume: 25   Issue: 2   Pages: 327-335   Published: MAR 2010 </t>
  </si>
  <si>
    <t xml:space="preserve">Predator identity and the nature and strength of food web interactions </t>
  </si>
  <si>
    <t>By: Henry, Lee M.; Bannerman, Jordan A.; Gillespie, David R.; et al.</t>
  </si>
  <si>
    <t xml:space="preserve">JOURNAL OF ANIMAL ECOLOGY  Volume: 79   Issue: 6   Pages: 1164-1171   Published: NOV 2010 </t>
  </si>
  <si>
    <t xml:space="preserve">Decadal trends in marine reserves reveal differential rates of change in direct and indirect effects </t>
  </si>
  <si>
    <t>By: Babcock, R. C.; Shears, N. T.; Alcala, A. C.; et al.</t>
  </si>
  <si>
    <t xml:space="preserve">PROCEEDINGS OF THE NATIONAL ACADEMY OF SCIENCES OF THE UNITED STATES OF AMERICA  Volume: 107   Issue: 43   Pages: 18256-18261   Published: OCT 26 2010 </t>
  </si>
  <si>
    <t>A40</t>
  </si>
  <si>
    <t xml:space="preserve">Pesticide exposure and inducible antipredator responses in the zooplankton grazer, Daphnia magna Straus </t>
  </si>
  <si>
    <t>By: Pestana, Joao L. T.; Loureiro, Susana; Baird, Donald J.; et al.</t>
  </si>
  <si>
    <t xml:space="preserve">CHEMOSPHERE  Volume: 78   Issue: 3   Pages: 241-248   Published: JAN 2010 </t>
  </si>
  <si>
    <t xml:space="preserve">Density- and trait-mediated effects of fish predators on amphipod grazers: potential indirect benefits for the giant kelp Macrocystis pyrifera </t>
  </si>
  <si>
    <t>By: Perez-Matus, Alejandro; Shima, Jeffrey S.</t>
  </si>
  <si>
    <t xml:space="preserve">MARINE ECOLOGY PROGRESS SERIES  Volume: 417   Pages: 151-U168   Published: 2010 </t>
  </si>
  <si>
    <t xml:space="preserve">Purple sea urchins Strongylocentrotus purpuratus reduce grazing rates in response to risk cues from the spiny lobster Panulirus interruptus </t>
  </si>
  <si>
    <t>By: Matassa, Catherine M.</t>
  </si>
  <si>
    <t xml:space="preserve">MARINE ECOLOGY PROGRESS SERIES  Volume: 400   Pages: 283-288   Published: 2010 </t>
  </si>
  <si>
    <t xml:space="preserve">Prey life-history and bioenergetic responses across a predation gradient </t>
  </si>
  <si>
    <t>By: Rennie, M. D.; Purchase, C. F.; Shuter, B. J.; et al.</t>
  </si>
  <si>
    <t xml:space="preserve">JOURNAL OF FISH BIOLOGY  Volume: 77   Issue: 6   Pages: 1230-1251   Published: OCT 2010 </t>
  </si>
  <si>
    <t>C3</t>
  </si>
  <si>
    <t xml:space="preserve">A non-trophic interaction chain links predators in different spatial niches </t>
  </si>
  <si>
    <t>By: Prasad, Renee P.; Snyder, William E.</t>
  </si>
  <si>
    <t xml:space="preserve">OECOLOGIA  Volume: 162   Issue: 3   Pages: 747-753   Published: MAR 2010 </t>
  </si>
  <si>
    <t xml:space="preserve">Indirect predator effects on clutch size and the cost of egg production </t>
  </si>
  <si>
    <t>By: Travers, Marc; Clinchy, Michael; Zanette, Liana; et al.</t>
  </si>
  <si>
    <t xml:space="preserve">ECOLOGY LETTERS  Volume: 13   Issue: 8   Pages: 980-988   Published: AUG 2010 </t>
  </si>
  <si>
    <t xml:space="preserve">Plant resistance attenuates the consumptive and non-consumptive impacts of predators on prey </t>
  </si>
  <si>
    <t>By: Kaplan, Ian; Thaler, Jennifer S.</t>
  </si>
  <si>
    <t xml:space="preserve">OIKOS  Volume: 119   Issue: 7   Pages: 1105-1113   Published: JUL 2010 </t>
  </si>
  <si>
    <t xml:space="preserve">Consumptive and nonconsumptive effects of cannibalism in fluctuating age-structured populations </t>
  </si>
  <si>
    <t>By: Wissinger, Scott A.; Whiteman, Howard H.; Denoel, Mathieu; et al.</t>
  </si>
  <si>
    <t xml:space="preserve">ECOLOGY  Volume: 91   Issue: 2   Pages: 549-559   Published: FEB 2010 </t>
  </si>
  <si>
    <t xml:space="preserve">Non-consumptive effects of predatory three-spined sticklebacks (Gasterosteus aculeatus) on great crested newt (Triturus cristatus) embryos </t>
  </si>
  <si>
    <t>By: Jarvis, Laurence E.</t>
  </si>
  <si>
    <t xml:space="preserve">HERPETOLOGICAL JOURNAL  Volume: 20   Issue: 4   Pages: 271-275   Published: OCT 2010 </t>
  </si>
  <si>
    <t xml:space="preserve">Food-web composition affects cross-ecosystem interactions and subsidies </t>
  </si>
  <si>
    <t>By: Romero, Gustavo Q.; Srivastava, Diane S.</t>
  </si>
  <si>
    <t xml:space="preserve">JOURNAL OF ANIMAL ECOLOGY  Volume: 79   Issue: 5   Pages: 1122-1131   Published: SEP 2010 </t>
  </si>
  <si>
    <t xml:space="preserve">Non-lethal effects of predators on body growth and health state of juvenile lizards, Psammdromus algirus </t>
  </si>
  <si>
    <t>By: Civantos, Emilio; Lopez, Pilar; Martin, Jose</t>
  </si>
  <si>
    <t xml:space="preserve">PHYSIOLOGY &amp; BEHAVIOR  Volume: 100   Issue: 4   Pages: 332-339   Published: JUN 16 2010 </t>
  </si>
  <si>
    <t xml:space="preserve">Habituation to low-risk predators improves body condition in lizards </t>
  </si>
  <si>
    <t>By: Rodriguez-Prieto, Inaki; Martin, Jose; Fernandez-Juricic, Esteban</t>
  </si>
  <si>
    <t xml:space="preserve">BEHAVIORAL ECOLOGY AND SOCIOBIOLOGY  Volume: 64   Issue: 12   Pages: 1937-1945   Published: DEC 2010 </t>
  </si>
  <si>
    <t xml:space="preserve">Reciprocity in predator-prey interactions: exposure to defended prey and predation risk affects intermediate predator life history and morphology </t>
  </si>
  <si>
    <t>By: Hammill, Edd; Beckerman, Andrew P.</t>
  </si>
  <si>
    <t xml:space="preserve">OECOLOGIA  Volume: 163   Issue: 1   Pages: 193-202   Published: MAY 2010 </t>
  </si>
  <si>
    <t>F31</t>
  </si>
  <si>
    <t xml:space="preserve">Are high-latitude individuals superior competitors? A test with Rana temporaria tadpoles </t>
  </si>
  <si>
    <t>By: Lindgren, Beatrice; Laurila, Anssi</t>
  </si>
  <si>
    <t xml:space="preserve">EVOLUTIONARY ECOLOGY  Volume: 24   Issue: 1   Pages: 115-131   Published: JAN 2010 </t>
  </si>
  <si>
    <t xml:space="preserve">Prey Responses to Predator Chemical Cues: Disentangling the Importance of the Number and Biomass of Prey Consumed </t>
  </si>
  <si>
    <t>By: McCoy, Michael W.; Touchon, Justin C.; Landberg, Tobias; et al.</t>
  </si>
  <si>
    <t xml:space="preserve">PLOS ONE  Volume: 7   Issue: 10     Article Number: e47495   Published: OCT 17 2012 </t>
  </si>
  <si>
    <t xml:space="preserve">Cascading trait-mediated interactions induced by ant pheromones </t>
  </si>
  <si>
    <t>By: Hsieh, Hsun-Yi; Liere, Heidi; Soto, Esteli J.; et al.</t>
  </si>
  <si>
    <t xml:space="preserve">ECOLOGY AND EVOLUTION  Volume: 2   Issue: 9   Pages: 2181-2191   Published: SEP 2012 </t>
  </si>
  <si>
    <t xml:space="preserve">The role of individual behavior type in mediating indirect interactions </t>
  </si>
  <si>
    <t>By: Griffen, Blaine D.; Toscano, Benjamin J.; Gatto, John</t>
  </si>
  <si>
    <t xml:space="preserve">ECOLOGY  Volume: 93   Issue: 8   Pages: 1935-1943   Published: AUG 2012 </t>
  </si>
  <si>
    <t xml:space="preserve">The long-term impacts of predators on prey: inducible defenses, population dynamics, and indirect effects </t>
  </si>
  <si>
    <t xml:space="preserve">OIKOS  Volume: 121   Issue: 8   Pages: 1219-1230   Published: AUG 2012 </t>
  </si>
  <si>
    <t xml:space="preserve">Cryptic biodiversity effects: importance of functional redundancy revealed through addition of food web complexity </t>
  </si>
  <si>
    <t>By: Philpott, Stacy M.; Pardee, Gabriella L.; Gonthier, David J.</t>
  </si>
  <si>
    <t xml:space="preserve">ECOLOGY  Volume: 93   Issue: 5   Pages: 992-1001   Published: MAY 2012 </t>
  </si>
  <si>
    <t xml:space="preserve">Tidal regime dictates the cascading consumptive and nonconsumptive effects of multiple predators on a marsh plant </t>
  </si>
  <si>
    <t>By: Kimbro, David L.</t>
  </si>
  <si>
    <t xml:space="preserve">ECOLOGY  Volume: 93   Issue: 2   Pages: 334-344   Published: FEB 2012 </t>
  </si>
  <si>
    <t xml:space="preserve">Scaling-up anti-predator phenotypic responses of prey: impacts over multiple generations in a complex aquatic community </t>
  </si>
  <si>
    <t>By: Peacor, Scott D.; Pangle, Kevin L.; Schiesari, Luis; et al.</t>
  </si>
  <si>
    <t xml:space="preserve">PROCEEDINGS OF THE ROYAL SOCIETY B-BIOLOGICAL SCIENCES  Volume: 279   Issue: 1726   Pages: 122-128   Published: JAN 7 2012 </t>
  </si>
  <si>
    <t xml:space="preserve">Refuge availability increases kelp consumption by purple sea urchins exposed to predation risk cue </t>
  </si>
  <si>
    <t>By: Green, Lindsay A.</t>
  </si>
  <si>
    <t xml:space="preserve">AQUATIC BIOLOGY  Volume: 17   Issue: 2   Pages: 141-144   Published: 2012 </t>
  </si>
  <si>
    <t xml:space="preserve">Preference for feeding at habitat edges declines among juvenile blue crabs as oyster reef patchiness increases and predation risk grows </t>
  </si>
  <si>
    <t>By: Macreadie, Peter I.; Geraldi, Nathan R.; Peterson, Charles H.</t>
  </si>
  <si>
    <t xml:space="preserve">MARINE ECOLOGY PROGRESS SERIES  Volume: 466   Pages: 145-153   Published: 2012 </t>
  </si>
  <si>
    <t xml:space="preserve">Context-dependent planktivory: interacting effects of turbidity and predation risk on adaptive foraging </t>
  </si>
  <si>
    <t>By: Pangle, Kevin L.; Malinich, Timothy D.; Bunnell, David B.; et al.</t>
  </si>
  <si>
    <t xml:space="preserve">ECOSPHERE  Volume: 3   Issue: 12     Article Number: UNSP 114   Published: DEC 2012 </t>
  </si>
  <si>
    <t xml:space="preserve">Demographic Consequences of Predators on Prey: Trait and Density Mediated Effects on Mosquito Larvae in Containers </t>
  </si>
  <si>
    <t>By: Alto, Barry W.; Malicoate, Jolene; Elliott, Scott M.; et al.</t>
  </si>
  <si>
    <t xml:space="preserve">PLOS ONE  Volume: 7   Issue: 11     Article Number: e45785   Published: NOV 12 2012 </t>
  </si>
  <si>
    <t xml:space="preserve">Compensatory mechanisms for ameliorating the fundamental trade-off between predator avoidance and foraging </t>
  </si>
  <si>
    <t>By: Thaler, Jennifer S.; McArt, Scott H.; Kaplan, Ian</t>
  </si>
  <si>
    <t xml:space="preserve">PROCEEDINGS OF THE NATIONAL ACADEMY OF SCIENCES OF THE UNITED STATES OF AMERICA  Volume: 109   Issue: 30   Pages: 12075-12080   Published: JUL 24 2012 </t>
  </si>
  <si>
    <t>D13</t>
  </si>
  <si>
    <t xml:space="preserve">Predation ability and non-consumptive effects of Notonecta sellata (Heteroptera: Notonectidae) on immature stages of Culex pipiens (Diptera: Culicidae) </t>
  </si>
  <si>
    <t>By: Fischer, Sylvia; Pereyra, Daniela; Fernandez, Liliana</t>
  </si>
  <si>
    <t xml:space="preserve">JOURNAL OF VECTOR ECOLOGY  Volume: 37   Issue: 1   Pages: 245-251   Published: JUN 2012 </t>
  </si>
  <si>
    <t>D17</t>
  </si>
  <si>
    <t xml:space="preserve">Predation risk suppresses mating success and offspring production in the coastal marine copepod, Eurytemora herdmani </t>
  </si>
  <si>
    <t>By: Lasley-Rasher, Rachel S.; Yen, Jeannette</t>
  </si>
  <si>
    <t xml:space="preserve">LIMNOLOGY AND OCEANOGRAPHY  Volume: 57   Issue: 2   Pages: 433-440   Published: MAR 2012 </t>
  </si>
  <si>
    <t xml:space="preserve">Habitat complexity impacts persistence and species interactions in an intertidal whelk </t>
  </si>
  <si>
    <t>By: Gosnell, J. Stephen; DiPrima, Jamie B.; Gaines, Steven D.</t>
  </si>
  <si>
    <t xml:space="preserve">MARINE BIOLOGY  Volume: 159   Issue: 12   Pages: 2867-2874   Published: DEC 2012 </t>
  </si>
  <si>
    <t xml:space="preserve">Effects of size and size structure on predation and inter-cohort competition in red-eyed treefrog tadpoles </t>
  </si>
  <si>
    <t>By: Asquith, Christopher M.; Vonesh, James R.</t>
  </si>
  <si>
    <t xml:space="preserve">OECOLOGIA  Volume: 170   Issue: 3   Pages: 629-639   Published: NOV 2012 </t>
  </si>
  <si>
    <t>D33</t>
  </si>
  <si>
    <t xml:space="preserve">Keystone intimidators in the intertidal: non-consumptive effects of a keystone sea star regulate feeding and growth in whelks </t>
  </si>
  <si>
    <t>By: Gosnell, J. Stephen; Gaines, Steven D.</t>
  </si>
  <si>
    <t xml:space="preserve">MARINE ECOLOGY PROGRESS SERIES  Volume: 450   Pages: 107-114   Published: 2012 </t>
  </si>
  <si>
    <t>F1</t>
  </si>
  <si>
    <t xml:space="preserve">Manipulating Individual Decisions and Environmental Conditions Reveal Individual Quality in Decision-Making and Non-Lethal Costs of Predation Risk </t>
  </si>
  <si>
    <t>By: Thomson, Robert L.; Tomas, Gustavo; Forsman, Jukka T.; et al.</t>
  </si>
  <si>
    <t xml:space="preserve">PLOS ONE  Volume: 7   Issue: 12     Article Number: e52226   Published: DEC 13 2012 </t>
  </si>
  <si>
    <t xml:space="preserve">Effects of an Invasive Fish (Gambusia affinis) and Anthropogenic Nutrient Enrichment on American Toad (Anaxyrus americanus) Tadpoles </t>
  </si>
  <si>
    <t>By: Smith, Geoffrey R.; Dibble, Christopher J.</t>
  </si>
  <si>
    <t xml:space="preserve">JOURNAL OF HERPETOLOGY  Volume: 46   Issue: 2   Pages: 198-202   Published: JUN 2012 </t>
  </si>
  <si>
    <t xml:space="preserve">Phytohormone-mediated plant resistance and predation risk act independently on the population growth and wing formation of potato aphids, Macrosiphum euphorbiae </t>
  </si>
  <si>
    <t xml:space="preserve">ARTHROPOD-PLANT INTERACTIONS  Volume: 6   Issue: 2   Pages: 181-186   Published: JUN 2012 </t>
  </si>
  <si>
    <t xml:space="preserve">A laboratory study of the effects of shelter availability and invasive crayfish on the growth of native stream fish </t>
  </si>
  <si>
    <t>By: Matsuzaki, Shin-ichiro S.; Sakamoto, Masaki; Kawabe, Kiyoshi; et al.</t>
  </si>
  <si>
    <t xml:space="preserve">FRESHWATER BIOLOGY  Volume: 57   Issue: 4   Pages: 874-882   Published: APR 2012 </t>
  </si>
  <si>
    <t xml:space="preserve">Individual and combined effects of fish predation and bed disturbance on stream benthic communities: a streamside channel experiment </t>
  </si>
  <si>
    <t>By: Herrmann, Peter B.; Townsend, Colin R.; Matthaei, Christoph D.</t>
  </si>
  <si>
    <t xml:space="preserve">FRESHWATER BIOLOGY  Volume: 57   Issue: 12   Pages: 2487-2503   Published: DEC 2012 </t>
  </si>
  <si>
    <t>F27</t>
  </si>
  <si>
    <t xml:space="preserve">Behavior and morphology of Nucella lapillus influenced by predator type and predator diet </t>
  </si>
  <si>
    <t>By: Large, Scott I.; Torres, Philip; Smee, Delbert L.</t>
  </si>
  <si>
    <t xml:space="preserve">AQUATIC BIOLOGY  Volume: 16   Issue: 2   Pages: 189-196   Published: 2012 </t>
  </si>
  <si>
    <t xml:space="preserve">Size matters for risk assessment and resource allocation in bivalves </t>
  </si>
  <si>
    <t>By: Johnson, Keith D.; Smee, Delbert L.</t>
  </si>
  <si>
    <t xml:space="preserve">MARINE ECOLOGY PROGRESS SERIES  Volume: 462   Pages: 103-110   Published: 2012 </t>
  </si>
  <si>
    <t xml:space="preserve">Prey state shapes the effects of temporal variation in predation risk </t>
  </si>
  <si>
    <t>By: Matassa, Catherine M.; Trussell, Geoffrey C.</t>
  </si>
  <si>
    <t>A26</t>
  </si>
  <si>
    <t xml:space="preserve">Behavioural and physiological responses of limpet prey to a seastar predator and their transmission to basal trophic levels </t>
  </si>
  <si>
    <t>By: Manzur, Tatiana; Vidal, Francisco; Pantoja, Jose F.; et al.</t>
  </si>
  <si>
    <t xml:space="preserve">JOURNAL OF ANIMAL ECOLOGY  Volume: 83   Issue: 4   Pages: 923-933   Published: JUL 2014 </t>
  </si>
  <si>
    <t xml:space="preserve">Predator effects on a detritus-based food web are primarily mediated by non-trophic interactions </t>
  </si>
  <si>
    <t>By: Majdi, Nabil; Boiche, Anatole; Traunspurger, Walter; et al.</t>
  </si>
  <si>
    <t xml:space="preserve">JOURNAL OF ANIMAL ECOLOGY  Volume: 83   Issue: 4   Pages: 953-962   Published: JUL 2014 </t>
  </si>
  <si>
    <t xml:space="preserve">The biogeography of trophic cascades on US oyster reefs </t>
  </si>
  <si>
    <t>By: Kimbro, David L.; Byers, James E.; Grabowski, Jonathan H.; et al.</t>
  </si>
  <si>
    <t xml:space="preserve">ECOLOGY LETTERS  Volume: 17   Issue: 7   Pages: 845-854   Published: JUL 2014 </t>
  </si>
  <si>
    <t xml:space="preserve">Spider cues stimulate feeding, weight gain and survival of crickets </t>
  </si>
  <si>
    <t>By: Bucher, Roman; Binz, Hellena; Menzel, Florian; et al.</t>
  </si>
  <si>
    <t xml:space="preserve">ECOLOGICAL ENTOMOLOGY  Volume: 39   Issue: 6   Pages: 667-673   Published: DEC 2014 </t>
  </si>
  <si>
    <t xml:space="preserve">Crabs interpret the threat of predator body size and biomass via cue concentration and diet </t>
  </si>
  <si>
    <t>By: Hill, Jennifer M.; Weissburg, Marc J.</t>
  </si>
  <si>
    <t xml:space="preserve">ANIMAL BEHAVIOUR  Volume: 92   Pages: 117-123   Published: JUN 2014 </t>
  </si>
  <si>
    <t xml:space="preserve">Predation risk in tadpole populations shapes behavioural responses of prey but not strength of trait-mediated indirect interactions </t>
  </si>
  <si>
    <t>By: Carlson, Bradley E.; Langkilde, Tracy</t>
  </si>
  <si>
    <t xml:space="preserve">OIKOS  Volume: 123   Issue: 12   Pages: 1519-1527   Published: DEC 2014 </t>
  </si>
  <si>
    <t xml:space="preserve">Predation and disease: understanding the effects of predators at several trophic levels on pathogen transmission </t>
  </si>
  <si>
    <t>By: Orlofske, Sarah A.; Jadin, Robert C.; Hoverman, Jason T.; et al.</t>
  </si>
  <si>
    <t xml:space="preserve">FRESHWATER BIOLOGY  Volume: 59   Issue: 5   Pages: 1064-1075   Published: MAY 2014 </t>
  </si>
  <si>
    <t xml:space="preserve">Cascading effects of predator-detritivore interactions depend on environmental context in a Tibetan alpine meadow </t>
  </si>
  <si>
    <t>By: Wu, Xinwei; Griffin, John N.; Sun, Shucun</t>
  </si>
  <si>
    <t xml:space="preserve">JOURNAL OF ANIMAL ECOLOGY  Volume: 83   Issue: 3   Pages: 546-556   Published: MAY 2014 </t>
  </si>
  <si>
    <t xml:space="preserve">Fortune favours the bold: a higher predator reduces the impact of a native but not an invasive intermediate predator </t>
  </si>
  <si>
    <t>By: Barrios-O'Neill, Daniel; Dick, Jaimie T. A.; Emmerson, Mark C.; et al.</t>
  </si>
  <si>
    <t xml:space="preserve">JOURNAL OF ANIMAL ECOLOGY  Volume: 83   Issue: 3   Pages: 693-701   Published: MAY 2014 </t>
  </si>
  <si>
    <t xml:space="preserve">A Non-Native Prey Mediates the Effects of a Shared Predator on an Ecosystem Service </t>
  </si>
  <si>
    <t>Associated Data</t>
  </si>
  <si>
    <t>By: Byers, James E.; Smith, Rachel S.; Weiskel, Heidi W.; et al.</t>
  </si>
  <si>
    <t xml:space="preserve">Dealing with your past: experience of failed predation suppresses caterpillar feeding behaviour </t>
  </si>
  <si>
    <t>By: Low, Petah A.; McArthur, Clare; Hochuli, Dieter F.</t>
  </si>
  <si>
    <t xml:space="preserve">ANIMAL BEHAVIOUR  Volume: 90   Pages: 337-343   Published: APR 2014 </t>
  </si>
  <si>
    <t xml:space="preserve">Avoidance of intraguild predation leads to a long-term positive trait-mediated indirect effect in an insect community </t>
  </si>
  <si>
    <t>By: Frago, Enric; Godfray, H. Charles J.</t>
  </si>
  <si>
    <t xml:space="preserve">OECOLOGIA  Volume: 174   Issue: 3   Pages: 943-952   Published: MAR 2014 </t>
  </si>
  <si>
    <t>A81</t>
  </si>
  <si>
    <t xml:space="preserve">Effects of predation upon the long-spined sea urchin Diadema antillarum by the spotted spiny lobster Panulirus guttatus </t>
  </si>
  <si>
    <t>By: Kintzing, Meredith D.; Butler, Mark J.</t>
  </si>
  <si>
    <t xml:space="preserve">MARINE ECOLOGY PROGRESS SERIES  Volume: 495   Pages: 185-191   Published: 2014 </t>
  </si>
  <si>
    <t>A82</t>
  </si>
  <si>
    <t xml:space="preserve">The omnivorous collared peccary negates an insectivore-generated trophic cascade in Costa Rican wet tropical forest understorey </t>
  </si>
  <si>
    <t>By: Michel, Nicole L.; Sherry, Thomas W.; Carson, Walter P.</t>
  </si>
  <si>
    <t xml:space="preserve">JOURNAL OF TROPICAL ECOLOGY  Volume: 30   Pages: 1-11   Part: 1   Published: JAN 2014 </t>
  </si>
  <si>
    <t xml:space="preserve">Metabolic stoichiometry and the ecology of fear in Trinidadian guppies: consequences for life histories and stream ecosystems </t>
  </si>
  <si>
    <t>By: Dalton, Christopher M.; Flecker, Alexander S.</t>
  </si>
  <si>
    <t xml:space="preserve">OECOLOGIA  Volume: 176   Issue: 3   Pages: 691-701   Published: NOV 2014 </t>
  </si>
  <si>
    <t xml:space="preserve">Short-term effects of hunting on naive black-tailed deer (Odocoileus hemionus sitkensis): behavioural response and consequences on vegetation growth </t>
  </si>
  <si>
    <t>By: Le Saout, Soizic; Padie, Sophie; Chamaille-Jammes, Simon; et al.</t>
  </si>
  <si>
    <t xml:space="preserve">CANADIAN JOURNAL OF ZOOLOGY  Volume: 92   Issue: 11   Pages: 915-925   Published: NOV 2014 </t>
  </si>
  <si>
    <t xml:space="preserve">Reinforcing effects of non-pathogenic bacteria and predation risk: from physiology to life history </t>
  </si>
  <si>
    <t>By: Janssens, Lizanne; Stoks, Robby</t>
  </si>
  <si>
    <t xml:space="preserve">OECOLOGIA  Volume: 176   Issue: 2   Pages: 323-332   Published: OCT 2014 </t>
  </si>
  <si>
    <t xml:space="preserve">Litter identity mediates predator impacts on the functioning of an aquatic detritus-based food web </t>
  </si>
  <si>
    <t>By: Jabiol, Jeremy; Cornut, Julien; Danger, Michael; et al.</t>
  </si>
  <si>
    <t xml:space="preserve">OECOLOGIA  Volume: 176   Issue: 1   Pages: 225-235   Published: SEP 2014 </t>
  </si>
  <si>
    <t xml:space="preserve">Ecological consequences of amphibian larvae and their native and alien predators on the community structure of temporary ponds </t>
  </si>
  <si>
    <t>By: Arribas, Rosa; Diaz-Paniagua, Carmen; Gomez-Mestre, Ivan</t>
  </si>
  <si>
    <t xml:space="preserve">FRESHWATER BIOLOGY  Volume: 59   Issue: 9   Pages: 1996-2008   Published: SEP 2014 </t>
  </si>
  <si>
    <t>D29</t>
  </si>
  <si>
    <t xml:space="preserve">Predicting population-level risk effects of predation from the responses of individuals </t>
  </si>
  <si>
    <t>By: MacLeod, Colin D.; MacLeod, Ross; Learmonth, Jennifer A.; et al.</t>
  </si>
  <si>
    <t xml:space="preserve">ECOLOGY  Volume: 95   Issue: 7   Pages: 2006-2015   Published: JUL 2014 </t>
  </si>
  <si>
    <t xml:space="preserve">Non-consumptive effects of predator presence on copepod reproduction: insights from a mesocosm experiment </t>
  </si>
  <si>
    <t>By: Heuschele, Jan; Ceballos, Sara; Borg, Christian Marc Andersen; et al.</t>
  </si>
  <si>
    <t xml:space="preserve">MARINE BIOLOGY  Volume: 161   Issue: 7   Pages: 1653-1666   Published: JUL 2014 </t>
  </si>
  <si>
    <t xml:space="preserve">Fear of predation alters soil carbon dioxide flux and nitrogen content </t>
  </si>
  <si>
    <t>By: Sitvarin, Michael I.; Rypstra, Ann L.</t>
  </si>
  <si>
    <t xml:space="preserve">BIOLOGY LETTERS  Volume: 10   Issue: 6     Article Number: 20140366   Published: JUN 2014 </t>
  </si>
  <si>
    <t xml:space="preserve">Increased perception of predation risk to adults and offspring alters avian reproductive strategy and performance </t>
  </si>
  <si>
    <t>By: Hua, Fangyuan; Sieving, Kathryn E.; Fletcher, Robert J., Jr.; et al.</t>
  </si>
  <si>
    <t xml:space="preserve">BEHAVIORAL ECOLOGY  Volume: 25   Issue: 3   Pages: 509-519   Published: MAY-JUN 2014 </t>
  </si>
  <si>
    <t>D38</t>
  </si>
  <si>
    <t xml:space="preserve">Predators and trematode parasites jointly affect larval anuran functional traits and corticosterone levels </t>
  </si>
  <si>
    <t>By: Marino, John A., Jr.; Holland, Manja P.; Maher, Jessica Middlemis</t>
  </si>
  <si>
    <t xml:space="preserve">OIKOS  Volume: 123   Issue: 4   Pages: 451-460   Published: APR 2014 </t>
  </si>
  <si>
    <t xml:space="preserve">Resident spiders as predators of the recently introduced light brown apple moth, Epiphyas postvittana </t>
  </si>
  <si>
    <t>By: Hogg, Brian N.; Wang, Xin-Geng; Mills, Nicholas J.; et al.</t>
  </si>
  <si>
    <t xml:space="preserve">ENTOMOLOGIA EXPERIMENTALIS ET APPLICATA  Volume: 151   Issue: 1   Pages: 65-74   Published: APR 2014 </t>
  </si>
  <si>
    <t>D42</t>
  </si>
  <si>
    <t xml:space="preserve">Do stream mayflies exhibit trade-offs between food acquisition and predator avoidance behaviors? </t>
  </si>
  <si>
    <t>By: Hernandez, Stephanie A.; Peckarsky, Barbara L.</t>
  </si>
  <si>
    <t xml:space="preserve">FRESHWATER SCIENCE  Volume: 33   Issue: 1   Pages: 124-133   Published: MAR 2014 </t>
  </si>
  <si>
    <t xml:space="preserve">NONCONSUMPTIVE PREDATOR-DRIVEN MORTALITY CAUSES NATURAL SELECTION ON PREY </t>
  </si>
  <si>
    <t>By: Siepielski, Adam M.; Wang, Jason; Prince, Garrett</t>
  </si>
  <si>
    <t xml:space="preserve">EVOLUTION  Volume: 68   Issue: 3   Pages: 696-704   Published: MAR 2014 </t>
  </si>
  <si>
    <t>D48</t>
  </si>
  <si>
    <t xml:space="preserve">Perceived Risk of Predation Affects Reproductive Life-History Traits in Gambusia holbrooki, but Not in Heterandria formosa </t>
  </si>
  <si>
    <t>By: Mukherjee, Shomen; Heithaus, Michael R.; Trexler, Joel C.; et al.</t>
  </si>
  <si>
    <t>D77</t>
  </si>
  <si>
    <t xml:space="preserve">Cascading effects of predatory fish on the composition of benthic algae in high-altitude streams </t>
  </si>
  <si>
    <t>By: Alvarez, Maruxa; Peckarsky, Barbara L.</t>
  </si>
  <si>
    <t xml:space="preserve">OIKOS  Volume: 123   Issue: 1   Pages: 120-128   Published: JAN 2014 </t>
  </si>
  <si>
    <t>D9</t>
  </si>
  <si>
    <t xml:space="preserve">Predation risk shapes thermal physiology of a predaceous damselfly </t>
  </si>
  <si>
    <t>By: Culler, Lauren E.; McPeek, Mark A.; Ayres, Matthew P.</t>
  </si>
  <si>
    <t xml:space="preserve">OECOLOGIA  Volume: 176   Issue: 3   Pages: 653-660   Published: NOV 2014 </t>
  </si>
  <si>
    <t>E12</t>
  </si>
  <si>
    <t xml:space="preserve">Additive effects of predator cues and dimethoate on different levels of biological organisation in the non-biting midge Chironomus riparius </t>
  </si>
  <si>
    <t>By: Van Praet, Nander; De Jonge, Maarten; Stoks, Robby; et al.</t>
  </si>
  <si>
    <t xml:space="preserve">AQUATIC TOXICOLOGY  Volume: 155   Pages: 236-243   Published: OCT 2014 </t>
  </si>
  <si>
    <t xml:space="preserve">Carryover effects of predation risk on postembryonic life-history stages in a freshwater shrimp </t>
  </si>
  <si>
    <t>By: Belen Ituarte, Romina; Guadalupe Vazquez, Maria; de los Angeles Gonzalez-Sagrario, Maria; et al.</t>
  </si>
  <si>
    <t xml:space="preserve">ZOOLOGY  Volume: 117   Issue: 2   Pages: 139-145   Published: APR 2014 </t>
  </si>
  <si>
    <t>G5</t>
  </si>
  <si>
    <t xml:space="preserve">Context-dependent stress responses and their connections to fitness in a landscape of fear </t>
  </si>
  <si>
    <t>By: Jaatinen, K.; Seltmann, M. W.; Ost, M.</t>
  </si>
  <si>
    <t xml:space="preserve">JOURNAL OF ZOOLOGY  Volume: 294   Issue: 3   Pages: 147-153   Published: NOV 2014 </t>
  </si>
  <si>
    <t xml:space="preserve">Effects of the presence of a predatory fish and the phenotype of its prey (a shredding shrimp) on leaf litter decomposition </t>
  </si>
  <si>
    <t>By: Ocasio-Torres, Maria E.; Crowl, Todd A.; Sabat, Alberto M.</t>
  </si>
  <si>
    <t xml:space="preserve">FRESHWATER BIOLOGY  Volume: 60   Issue: 11   Pages: 2286-2296   Published: NOV 2015 </t>
  </si>
  <si>
    <t xml:space="preserve">Non-consumptive predator effects intensify grazer-plant interactions by driving vertical habitat shifts </t>
  </si>
  <si>
    <t>By: Davidson, Andrew; Griffin, John N.; Angelini, Christine; et al.</t>
  </si>
  <si>
    <t xml:space="preserve">MARINE ECOLOGY PROGRESS SERIES  Volume: 537   Pages: 49-58   Published: OCT 14 2015 </t>
  </si>
  <si>
    <t xml:space="preserve">Trait-mediated trophic cascade creates enemy-free space for nesting hummingbirds </t>
  </si>
  <si>
    <t>By: Greeney, Harold F.; Meneses, M. Rocio; Hamilton, Chris E.; et al.</t>
  </si>
  <si>
    <t xml:space="preserve">SCIENCE ADVANCES  Volume: 1   Issue: 8     Article Number: e1500310   Published: SEP 2015 </t>
  </si>
  <si>
    <t xml:space="preserve">Predators reduce Batrachochytrium dendrobatidis infection loads in their prey </t>
  </si>
  <si>
    <t>By: Groner, Maya L.; Relyea, Rick A.</t>
  </si>
  <si>
    <t xml:space="preserve">FRESHWATER BIOLOGY  Volume: 60   Issue: 8   Pages: 1699-1704   Published: AUG 2015 </t>
  </si>
  <si>
    <t>A38</t>
  </si>
  <si>
    <t xml:space="preserve">Prey density affects strengths of density- and trait-mediated indirect interactions of predators on an algal community </t>
  </si>
  <si>
    <t>By: Wada, Yoko; Iwasaki, Keiji; Yusa, Yoichi</t>
  </si>
  <si>
    <t xml:space="preserve">JOURNAL OF EXPERIMENTAL MARINE BIOLOGY AND ECOLOGY  Volume: 468   Pages: 67-73   Published: JUL 2015 </t>
  </si>
  <si>
    <t xml:space="preserve">Risk of spider predation alters food web structure and reduces local herbivory in the field </t>
  </si>
  <si>
    <t>By: Bucher, Roman; Menzel, Florian; Entling, Martin H.</t>
  </si>
  <si>
    <t xml:space="preserve">OECOLOGIA  Volume: 178   Issue: 2   Pages: 571-577   Published: JUN 2015 </t>
  </si>
  <si>
    <t xml:space="preserve">Feed or flee: Effect of a predation-risk cue on sea urchin foraging activity </t>
  </si>
  <si>
    <t>By: Harding, Adam P. C.; Scheibling, Robert E.</t>
  </si>
  <si>
    <t xml:space="preserve">JOURNAL OF EXPERIMENTAL MARINE BIOLOGY AND ECOLOGY  Volume: 466   Pages: 59-69   Published: MAY 2015 </t>
  </si>
  <si>
    <t xml:space="preserve">Non-consumptive effects of a top-predator decrease the strength of the trophic cascade in a four-level terrestrial food web </t>
  </si>
  <si>
    <t>By: Bestion, Elvire; Cucherousset, Julien; Teyssier, Aimeric; et al.</t>
  </si>
  <si>
    <t xml:space="preserve">OIKOS  Volume: 124   Issue: 12   Pages: 1597-1602   Published: DEC 2015 </t>
  </si>
  <si>
    <t xml:space="preserve">Plant choice, herbivory and weight gain of wood crickets under the risk of predation </t>
  </si>
  <si>
    <t>By: Bucher, Roman; Heinrich, Hannah; Entling, Martin H.</t>
  </si>
  <si>
    <t xml:space="preserve">ENTOMOLOGIA EXPERIMENTALIS ET APPLICATA  Volume: 155   Issue: 2   Pages: 148-153   Published: MAY 2015 </t>
  </si>
  <si>
    <t>A56</t>
  </si>
  <si>
    <t xml:space="preserve">Predator diversity, intraguild predation, and indirect effects drive parasite transmission </t>
  </si>
  <si>
    <t>By: Rohr, Jason R.; Civitello, David J.; Crumrine, Patrick W.; et al.</t>
  </si>
  <si>
    <t xml:space="preserve">PROCEEDINGS OF THE NATIONAL ACADEMY OF SCIENCES OF THE UNITED STATES OF AMERICA  Volume: 112   Issue: 10   Pages: 3008-3013   Published: MAR 10 2015 </t>
  </si>
  <si>
    <t xml:space="preserve">A multifaceted trophic cascade in a detritus-based system: density-, trait-, or processing-chain-mediated effects? </t>
  </si>
  <si>
    <t>By: Albeny-Simoes, Daniel; Murrell, Ebony G.; Vilela, Evaldo F.; et al.</t>
  </si>
  <si>
    <t xml:space="preserve">ECOSPHERE  Volume: 6   Issue: 3     Article Number: 32   Published: MAR 2015 </t>
  </si>
  <si>
    <t xml:space="preserve">Effects of predation risk across a latitudinal temperature gradient </t>
  </si>
  <si>
    <t xml:space="preserve">OECOLOGIA  Volume: 177   Issue: 3   Pages: 775-784   Published: MAR 2015 </t>
  </si>
  <si>
    <t xml:space="preserve">Control mechanisms of photosynthetic epibionts on zooplankton: an experimental approach </t>
  </si>
  <si>
    <t>By: Bertolo, Andrea; Rodriguez, Marco A.; Lacroix, Gerard</t>
  </si>
  <si>
    <t xml:space="preserve">ECOSPHERE  Volume: 6   Issue: 11     Article Number: 219   Published: NOV 2015 </t>
  </si>
  <si>
    <t xml:space="preserve">Evidence for carry-over effects of predator exposure on pathogen transmission potential </t>
  </si>
  <si>
    <t>By: Roux, Olivier; Vantaux, Amelie; Roche, Benjamin; et al.</t>
  </si>
  <si>
    <t xml:space="preserve">PROCEEDINGS OF THE ROYAL SOCIETY B-BIOLOGICAL SCIENCES  Volume: 282   Issue: 1821     Article Number: 20152430   Published: DEC 22 2015 </t>
  </si>
  <si>
    <t xml:space="preserve">Prey size structure diminishes cascading effects by increasing interference competition and predation among prey </t>
  </si>
  <si>
    <t>By: Geraldi, Nathan R.</t>
  </si>
  <si>
    <t xml:space="preserve">ECOLOGY  Volume: 96   Issue: 9   Pages: 2533-2543   Published: SEP 2015 </t>
  </si>
  <si>
    <t xml:space="preserve">Predation Threat Alters Composition and Functioning of Bromeliad Ecosystems </t>
  </si>
  <si>
    <t>By: Hammill, Edd; Atwood, Trisha B.; Srivastava, Diane S.</t>
  </si>
  <si>
    <t xml:space="preserve">ECOSYSTEMS  Volume: 18   Issue: 5   Pages: 857-866   Published: AUG 2015 </t>
  </si>
  <si>
    <t xml:space="preserve">Parental effects enhance risk tolerance and performance in offspring </t>
  </si>
  <si>
    <t>By: Donelan, Sarah C.; Trussell, Geoffrey C.</t>
  </si>
  <si>
    <t xml:space="preserve">ECOLOGY  Volume: 96   Issue: 8   Pages: 2049-2055   Published: AUG 2015 </t>
  </si>
  <si>
    <t>D32</t>
  </si>
  <si>
    <t xml:space="preserve">Adaptive Advantage of Myrmecochory in the Ant-Dispersed Herb Lamium amplexicaule (Lamiaceae): Predation Avoidance through the Deterrence of Post-Dispersal Seed Predators </t>
  </si>
  <si>
    <t>By: Tanaka, Koki; Ogata, Kanako; Mukai, Hiromi; et al.</t>
  </si>
  <si>
    <t xml:space="preserve">PLOS ONE  Volume: 10   Issue: 7     Article Number: e0133677   Published: JUL 21 2015 </t>
  </si>
  <si>
    <t xml:space="preserve">Individual differences in predators but not producers mediate the magnitude of a trophic cascade </t>
  </si>
  <si>
    <t>By: Keiser, Carl N.; Slyder, Jacob B.; Carson, Walter P.; et al.</t>
  </si>
  <si>
    <t xml:space="preserve">ARTHROPOD-PLANT INTERACTIONS  Volume: 9   Issue: 3   Pages: 225-232   Published: JUN 2015 </t>
  </si>
  <si>
    <t xml:space="preserve">Non-consumptive effects of avian predators on fish behavior and cascading indirect interactions in seagrasses </t>
  </si>
  <si>
    <t>By: Hill, Jennifer M.; Heck, Kenneth L., Jr.</t>
  </si>
  <si>
    <t xml:space="preserve">OIKOS  Volume: 124   Issue: 6   Pages: 750-761   Published: JUN 2015 </t>
  </si>
  <si>
    <t xml:space="preserve">Warming reinforces nonconsumptive predator effects on prey growth, physiology, and body stoichiometry </t>
  </si>
  <si>
    <t>By: Janssens, Lizanne; Van Dievel, Marie; Stoks, Robby</t>
  </si>
  <si>
    <t xml:space="preserve">ECOLOGY  Volume: 96   Issue: 12   Pages: 3270-3280   Published: DEC 2015 </t>
  </si>
  <si>
    <t xml:space="preserve">The effect of red wood ant abundance on feeding damage by the pine weevil Hylobius abietis </t>
  </si>
  <si>
    <t>By: Manak, Vitezslav; Bjorklund, Niklas; Lenoir, Lisette; et al.</t>
  </si>
  <si>
    <t xml:space="preserve">AGRICULTURAL AND FOREST ENTOMOLOGY  Volume: 17   Issue: 1   Pages: 57-63   Published: FEB 2015 </t>
  </si>
  <si>
    <t xml:space="preserve">Chronic, predator-induced stress alters development and reproductive performance of the cotton bollworm, Helicoverpa armigera </t>
  </si>
  <si>
    <t>By: Xiong, Xiaofei; Michaud, J. P.; Li, Zhen; et al.</t>
  </si>
  <si>
    <t xml:space="preserve">BIOCONTROL  Volume: 60   Issue: 6   Pages: 827-837   Published: DEC 2015 </t>
  </si>
  <si>
    <t>D76</t>
  </si>
  <si>
    <t xml:space="preserve">Nonconsumptive Effects of Predation and Impaired Chemosensory Risk Assessment on an Aquatic Prey Species. </t>
  </si>
  <si>
    <t>By: Elvidge, Chris K.; Brown, Grant E.</t>
  </si>
  <si>
    <t xml:space="preserve">International Journal of Ecology  Pages: 894579   Published: 2015 </t>
  </si>
  <si>
    <t xml:space="preserve">Interspecific differences in antipredator strategies determine the strength of non-consumptive predator effects on stream detritivores </t>
  </si>
  <si>
    <t>By: Lagrue, Clement; Besson, Anne A.; Lecerf, Antoine</t>
  </si>
  <si>
    <t xml:space="preserve">OIKOS  Volume: 124   Issue: 12   Pages: 1589-1596   Published: DEC 2015 </t>
  </si>
  <si>
    <t>D80</t>
  </si>
  <si>
    <t xml:space="preserve">Non-consumptive interactions between grasshoppers (Orthoptera: Acrididae) and wolf spiders (Lycosidae) produce trophic cascades in an old-field ecosystem </t>
  </si>
  <si>
    <t>By: Wineland, Sean M.; Kistner, Erica J.; Joern, Anthony</t>
  </si>
  <si>
    <t xml:space="preserve">Journal of Orthoptera Research  Volume: 24   Issue: 1   Pages: 41-46   Published: 2015 </t>
  </si>
  <si>
    <t>D82</t>
  </si>
  <si>
    <t xml:space="preserve">Predator cues have contrasting effects on lifespan of Pardosa milvina (Araneae: Lycosidae) </t>
  </si>
  <si>
    <t>By: Sitvarin, Michael I.; Breen, Kelsey; Rypstra, Ann L.</t>
  </si>
  <si>
    <t xml:space="preserve">JOURNAL OF ARACHNOLOGY  Volume: 43   Issue: 1   Pages: 107-110   Published: 2015 </t>
  </si>
  <si>
    <t xml:space="preserve">The smell of success: the amount of prey consumed by predators determines the strength and range of cascading non-consumptive effects </t>
  </si>
  <si>
    <t>By: Weissburg, Marc; Beauvais, Jeffrey</t>
  </si>
  <si>
    <t xml:space="preserve">PEERJ  Volume: 3     Article Number: e1426   Published: NOV 19 2015 </t>
  </si>
  <si>
    <t>E48</t>
  </si>
  <si>
    <t xml:space="preserve">Risk-taking behaviours in zebra finches affected by mercury exposure </t>
  </si>
  <si>
    <t>By: Kobiela, Megan E.; Cristol, Daniel A.; Swaddle, John P.</t>
  </si>
  <si>
    <t xml:space="preserve">ANIMAL BEHAVIOUR  Volume: 103   Pages: 153-160   Published: MAY 2015 </t>
  </si>
  <si>
    <t>E51</t>
  </si>
  <si>
    <t xml:space="preserve">Conspecific alarm cues induce an alternative reproductive strategy in aquatic oligochaetes </t>
  </si>
  <si>
    <t>By: Kaliszewicz, Anita</t>
  </si>
  <si>
    <t xml:space="preserve">LIMNOLOGY  Volume: 16   Issue: 2   Pages: 85-90   Published: APR 2015 </t>
  </si>
  <si>
    <t xml:space="preserve">Reciprocal transplant reveals trade-off of resource quality and predation risk in the field </t>
  </si>
  <si>
    <t>By: Ruehl, Clifton B.; Trexler, Joel C.</t>
  </si>
  <si>
    <t xml:space="preserve">OECOLOGIA  Volume: 179   Issue: 1   Pages: 117-127   Published: SEP 2015 </t>
  </si>
  <si>
    <t xml:space="preserve">Effects of density and predation risk on leaf litter processing by Phylloicus sp. </t>
  </si>
  <si>
    <t>By: Rezende, R. de S.; Leite, G. F. M.; De-Lima, A. K. S.; et al.</t>
  </si>
  <si>
    <t xml:space="preserve">Austral Ecology  Volume: 40   Issue: 6   Pages: 693-700   Published: 2015 </t>
  </si>
  <si>
    <t xml:space="preserve">Contrasting indirect effects of an ant host on prey-predator interactions of symbiotic arthropods </t>
  </si>
  <si>
    <t>By: Parmentier, T.; De Laender, F.; Wenseleers, T.; et al.</t>
  </si>
  <si>
    <t xml:space="preserve">OECOLOGIA  Volume: 188   Issue: 4   Pages: 1145-1153   Published: DEC 2018 </t>
  </si>
  <si>
    <t xml:space="preserve">Plant genotypic diversity interacts with predation risk to influence an insect herbivore across its ontogeny </t>
  </si>
  <si>
    <t>By: Wetzel, William C.; Aflitto, Nicholas C.; Thaler, Jennifer S.</t>
  </si>
  <si>
    <t xml:space="preserve">ECOLOGY  Volume: 99   Issue: 10   Pages: 2338-2347   Published: OCT 2018 </t>
  </si>
  <si>
    <t xml:space="preserve">The susceptibility of intestinal parasites induced by predation risk to over-wintering root voles (Microtus oeconomus) </t>
  </si>
  <si>
    <t>By: Zhu Yahui; Shang Guozhen; Yang Yanbin; et al.</t>
  </si>
  <si>
    <t xml:space="preserve">Acta Theriologica Sinica  Volume: 38   Issue: 5   Pages: 467-476   Article Number: 1000-1050(2018)38:5&lt;467:BSFXDY&gt;2.0.TX;2-T   Published: SEP 30 2018 </t>
  </si>
  <si>
    <t>A26a</t>
  </si>
  <si>
    <t xml:space="preserve">Cascading effects of a top predator on intraspecific competition at intermediate and basal trophic levels </t>
  </si>
  <si>
    <t>By: Matassa, Catherine M.; Ewanchuk, Patrick J.; Trussell, Geoffrey C.</t>
  </si>
  <si>
    <t xml:space="preserve">FUNCTIONAL ECOLOGY  Volume: 32   Issue: 9   Pages: 2241-2252   Published: SEP 2018 </t>
  </si>
  <si>
    <t>A26b</t>
  </si>
  <si>
    <t xml:space="preserve">Predators Shape Sedimentary Organic Carbon Storage in a Coral Reef Ecosystem </t>
  </si>
  <si>
    <t>By: Atwood, Trisha B.; Madin, Elizabeth M. P.; Harborne, Alastair R.; et al.</t>
  </si>
  <si>
    <t xml:space="preserve">FRONTIERS IN ECOLOGY AND EVOLUTION  Volume: 6     Article Number: 110   Published: AUG 3 2018 </t>
  </si>
  <si>
    <t>A32a</t>
  </si>
  <si>
    <t xml:space="preserve">Assessing the risk effects of native predators on the exotic American bullfrog (Lithobates catesbeianus) and their indirect consequences to ecosystem function </t>
  </si>
  <si>
    <t>By: Guariento, Rafael D.; Carneiro, Luciana S.; Jorge, Jaqueiuto S.; et al.</t>
  </si>
  <si>
    <t xml:space="preserve">ACTA OECOLOGICA-INTERNATIONAL JOURNAL OF ECOLOGY  Volume: 91   Pages: 50-56   Published: AUG 2018 </t>
  </si>
  <si>
    <t>A32b</t>
  </si>
  <si>
    <t xml:space="preserve">Fish predators reduce kelp frond loss via a trait-mediated trophic cascade </t>
  </si>
  <si>
    <t>By: Haggerty, Miranda B.; Anderson, Todd W.; Long, Jeremy D.</t>
  </si>
  <si>
    <t xml:space="preserve">ECOLOGY  Volume: 99   Issue: 7   Pages: 1574-1583   Published: JUL 2018 </t>
  </si>
  <si>
    <t xml:space="preserve">Parasite susceptibility in an amphibian host is modified by salinization and predators </t>
  </si>
  <si>
    <t>By: Buss, Nicholas; Hua, Jessica</t>
  </si>
  <si>
    <t xml:space="preserve">ENVIRONMENTAL POLLUTION  Volume: 236   Pages: 754-763   Published: MAY 2018 </t>
  </si>
  <si>
    <t xml:space="preserve">Mosquito responses to trait- and density-mediated interactions of predation </t>
  </si>
  <si>
    <t>By: Bellamy, Shawna K.; Alto, Barry W.</t>
  </si>
  <si>
    <t xml:space="preserve">OECOLOGIA  Volume: 187   Issue: 1   Pages: 233-243   Published: MAY 2018 </t>
  </si>
  <si>
    <t>A6a</t>
  </si>
  <si>
    <t xml:space="preserve">The effect of predator presence on the behavioral sequence from host selection to reproduction in an invulnerable stage of insect prey </t>
  </si>
  <si>
    <t>By: Hermann, Sara L.; Thaler, Jennifer S.</t>
  </si>
  <si>
    <t xml:space="preserve">OECOLOGIA  Volume: 188   Issue: 4   Pages: 945-952   Published: DEC 2018 </t>
  </si>
  <si>
    <t>A6b</t>
  </si>
  <si>
    <t>A6c</t>
  </si>
  <si>
    <t>B8</t>
  </si>
  <si>
    <t xml:space="preserve">Predictive power of food web models based on body size decreases with trophic complexity </t>
  </si>
  <si>
    <t>By: Jonsson, Tomas; Kaartinen, Riikka; Jonsson, Mattias; et al.</t>
  </si>
  <si>
    <t xml:space="preserve">Total Non-Consumptive Effects of Fish on Pelobates fuscus and Hyla orientalis Tadpoles in Pond Enclosure Experiments </t>
  </si>
  <si>
    <t>By: Kloskowski, Janusz</t>
  </si>
  <si>
    <t xml:space="preserve">ZOOLOGICAL SCIENCE  Volume: 35   Issue: 6   Pages: 528-534   Published: DEC 2018 </t>
  </si>
  <si>
    <t xml:space="preserve">Proximity to parasites reduces host fitness independent of infection in a Drosophila-Macrocheles system </t>
  </si>
  <si>
    <t>By: Horn, Collin J.; Luong, Lien T.</t>
  </si>
  <si>
    <t xml:space="preserve">PARASITOLOGY  Volume: 145   Issue: 12   Pages: 1564-1569   Published: OCT 2018 </t>
  </si>
  <si>
    <t xml:space="preserve">Differential effects of native vs. invasive predators on a common Caribbean reef fish </t>
  </si>
  <si>
    <t>By: Davis, Alexandra C. D.</t>
  </si>
  <si>
    <t xml:space="preserve">ENVIRONMENTAL BIOLOGY OF FISHES  Volume: 101   Issue: 10   Pages: 1537-1548   Published: OCT 2018 </t>
  </si>
  <si>
    <t>D13a</t>
  </si>
  <si>
    <t xml:space="preserve">Cross-ecosystem effects of terrestrial predators link treefrogs, zooplankton, and aquatic primary production </t>
  </si>
  <si>
    <t>By: Hite, Jessica L.; Hughey, Myra C.; Warkentin, Karen M.; et al.</t>
  </si>
  <si>
    <t xml:space="preserve">ECOSPHERE  Volume: 9   Issue: 9     Article Number: e02377   Published: SEP 2018 </t>
  </si>
  <si>
    <t>D13b</t>
  </si>
  <si>
    <t>D16a</t>
  </si>
  <si>
    <t xml:space="preserve">Cooccurrence of prey species alters the impact of predators on prey performance through multiple mechanisms </t>
  </si>
  <si>
    <t>By: Ruehl, Clifton B.; Vance-Chalcraft, Heather; Chalcraft, David R.</t>
  </si>
  <si>
    <t xml:space="preserve">ECOLOGY AND EVOLUTION  Volume: 8   Issue: 17   Pages: 8894-8907   Published: SEP 2018 </t>
  </si>
  <si>
    <t>D16b</t>
  </si>
  <si>
    <t xml:space="preserve">Feeding in fear: Indirect effects of predatory fish on macrophyte communities mediated by altered crayfish foraging behaviour </t>
  </si>
  <si>
    <t>By: Wood, Tyler C.; Kelley, Rosemary E.; Moore, Paul A.</t>
  </si>
  <si>
    <t xml:space="preserve">FRESHWATER BIOLOGY  Volume: 63   Issue: 12   Pages: 1523-1533   Published: DEC 2018 </t>
  </si>
  <si>
    <t xml:space="preserve">High Arctic lemmings remain reproductively active under predator-induced elevated stress </t>
  </si>
  <si>
    <t>By: Fauteux, Dominique; Gauthier, Gilles; Berteaux, Dominique; et al.</t>
  </si>
  <si>
    <t xml:space="preserve">OECOLOGIA  Volume: 187   Issue: 3   Pages: 657-666   Published: JUL 2018 </t>
  </si>
  <si>
    <t xml:space="preserve">Beyond killing: intra- and interspecific nonconsumptive effects among aphidophagous competitors </t>
  </si>
  <si>
    <t>By: Bayoumy, Mohamed H.; Awadalla, Hagar S.; Fathy, Dina M.; et al.</t>
  </si>
  <si>
    <t xml:space="preserve">ECOLOGICAL ENTOMOLOGY  Volume: 43   Issue: 6   Pages: 794-803   Published: DEC 2018 </t>
  </si>
  <si>
    <t xml:space="preserve">Multi-species suppression of herbivores through consumptive and non-consumptive effects </t>
  </si>
  <si>
    <t>By: Ingerslew, Kathryn S.; Finke, Deborah L.</t>
  </si>
  <si>
    <t xml:space="preserve">PLOS ONE  Volume: 13   Issue: 5     Article Number: e0197230   Published: MAY 23 2018 </t>
  </si>
  <si>
    <t>D40</t>
  </si>
  <si>
    <t xml:space="preserve">Evidence for nonconsumptive effects from a large predator in an ungulate prey? </t>
  </si>
  <si>
    <t>By: Gehr, Benedikt; Hofer, Elizabeth J.; Ryser, Andreas; et al.</t>
  </si>
  <si>
    <t>D44</t>
  </si>
  <si>
    <t xml:space="preserve">Hydrodynamics affect predator controls through physical and sensory stressors </t>
  </si>
  <si>
    <t>By: Pruett, Jessica L.; Weissburg, Marc J.</t>
  </si>
  <si>
    <t>D47</t>
  </si>
  <si>
    <t xml:space="preserve">Predation and Competition Differentially Affect the Interactions and Trophic Niches of a Neotropical Amphibian Guild </t>
  </si>
  <si>
    <t>By: Arribas, Rosa; Touchon, Justin C.; Gomez-Mestre, Ivan</t>
  </si>
  <si>
    <t xml:space="preserve">FRONTIERS IN ECOLOGY AND EVOLUTION  Volume: 6     Article Number: 28   Published: MAR 23 2018 </t>
  </si>
  <si>
    <t>D49</t>
  </si>
  <si>
    <t xml:space="preserve">Threat of predation alters aggressive interactions among spotted salamander (Ambystoma maculatum) larvae </t>
  </si>
  <si>
    <t>By: Hossie, Thomas J.; MacFarlane, Shawn; Clement, Amy; et al.</t>
  </si>
  <si>
    <t xml:space="preserve">ECOLOGY AND EVOLUTION  Volume: 8   Issue: 6   Pages: 3131-3138   Published: MAR 2018 </t>
  </si>
  <si>
    <t xml:space="preserve">Fear and lethality in snowshoe hares: the deadly effects of non-consumptive predation risk </t>
  </si>
  <si>
    <t>By: MacLeod, Kirsty J.; Krebs, Charles J.; Boonstra, Rudy; et al.</t>
  </si>
  <si>
    <t xml:space="preserve">Predators mediate above- vs. belowground herbivory in a salt marsh crab </t>
  </si>
  <si>
    <t>By: Vu, Huy D.; Pennings, Steven C.</t>
  </si>
  <si>
    <t xml:space="preserve">ECOSPHERE  Volume: 9   Issue: 2     Article Number: e02107   Published: FEB 2018 </t>
  </si>
  <si>
    <t>D84</t>
  </si>
  <si>
    <t xml:space="preserve">Threat of Predation Does Not Affect Crassostrea virginica Filtration </t>
  </si>
  <si>
    <t>By: Dodd, Luke F.; Caracappa, Joseph C.; Fegley, Stephen R.; et al.</t>
  </si>
  <si>
    <t xml:space="preserve">ESTUARIES AND COASTS  Volume: 41   Issue: 1   Pages: 293-298   Published: JAN 2018 </t>
  </si>
  <si>
    <t>E122a</t>
  </si>
  <si>
    <t xml:space="preserve">Combined effects of predation risk and food quality on freshwater detritivore insects </t>
  </si>
  <si>
    <t>By: Bordalo, Maria D.; Vieira, Hugo C.; Rodrigues, Andreia C. M.; et al.</t>
  </si>
  <si>
    <t xml:space="preserve">MARINE AND FRESHWATER RESEARCH  Volume: 69   Issue: 1   Pages: 74-81   Published: 2018 </t>
  </si>
  <si>
    <t>E122b</t>
  </si>
  <si>
    <t>E92</t>
  </si>
  <si>
    <t xml:space="preserve">Trans-generational but not early life exposure to stressors influences offspring morphology and survival </t>
  </si>
  <si>
    <t>By: Owen, Dustin A. S.; Robbins, Travis R.; Langkilde, Tracy</t>
  </si>
  <si>
    <t xml:space="preserve">OECOLOGIA  Volume: 186   Issue: 2   Pages: 347-355   Published: FEB 2018 </t>
  </si>
  <si>
    <t xml:space="preserve">Eucalypt leaf litter impairs growth and development of amphibian larvae, inhibits their antipredator responses and alters their physiology </t>
  </si>
  <si>
    <t>By: Burraco, Pablo; Iglesias-Carrasco, Maider; Cabido, Carlos; et al.</t>
  </si>
  <si>
    <t xml:space="preserve">CONSERVATION PHYSIOLOGY  Volume: 6     Article Number: coy066   Published: DEC 10 2018 </t>
  </si>
  <si>
    <t xml:space="preserve">Consequences of dam-altered thermal regimes for a riverine herbivore's digestive efficiency, growth and vulnerability to predation </t>
  </si>
  <si>
    <t>By: Catenazzi, Alessandro; Kupferberg, Sarah J.</t>
  </si>
  <si>
    <t xml:space="preserve">FRESHWATER BIOLOGY  Volume: 63   Issue: 9   Pages: 1037-1048   Published: SEP 2018 </t>
  </si>
  <si>
    <t xml:space="preserve">Lethal and non-lethal effects of an invasive naticid gastropod on the production of a native clam </t>
  </si>
  <si>
    <t>By: Tomiyama, Takeshi</t>
  </si>
  <si>
    <t xml:space="preserve">BIOLOGICAL INVASIONS  Volume: 20   Issue: 8   Pages: 2005-2014   Published: AUG 2018 </t>
  </si>
  <si>
    <t>F3</t>
  </si>
  <si>
    <t xml:space="preserve">Non-lethal effects of a native and a non-native piscivorous fish on the interaction between a mesopredator and benthic and pelagic invertebrates </t>
  </si>
  <si>
    <t>By: Figueiredo, Bruno R. S.; Fiori, Leandro F.; Keppeler, Friedrich W.; et al.</t>
  </si>
  <si>
    <t xml:space="preserve">Conference: 20th International Conference on Aquatic Invasive Species (ICAIS) Location: Univ Florida, Inst Food &amp; Agr Sci, Invas Species Ctr, Fort Lauderdale, FL Date: OCT 22-26, 2017 </t>
  </si>
  <si>
    <t>F34a</t>
  </si>
  <si>
    <t xml:space="preserve">Simulated owl predation risk to voles modifies browsing effects on tree seedling growth </t>
  </si>
  <si>
    <t>By: Lyly, Mari S.; Koivisto, Elina; Huitu, Otso; et al.</t>
  </si>
  <si>
    <t xml:space="preserve">ANNALES ZOOLOGICI FENNICI  Volume: 55   Issue: 1-3   Pages: 93-101   Published: APR 2018 </t>
  </si>
  <si>
    <t>F34b</t>
  </si>
  <si>
    <t xml:space="preserve">Maternal stress alters the phenotype of the mother, her eggs and her offspring in a wild-caught lizard </t>
  </si>
  <si>
    <t>By: Ensminger, David C.; Langkilde, Tracy; Owen, Dustin A. S.; et al.</t>
  </si>
  <si>
    <t xml:space="preserve">JOURNAL OF ANIMAL ECOLOGY  Volume: 87   Issue: 6   Pages: 1685-1697   Published: NOV 2018 </t>
  </si>
  <si>
    <t>F52</t>
  </si>
  <si>
    <t xml:space="preserve">Predatory Cues Influence the Behavioral Responses and Metamorphic Traits of Polypedates maculatus (Anura: Rhacophoridae) </t>
  </si>
  <si>
    <t>By: Mogali, Santosh</t>
  </si>
  <si>
    <t xml:space="preserve">ASIAN HERPETOLOGICAL RESEARCH  Volume: 9   Issue: 3   Pages: 188-194   Article Number: 2095-0357(2018)9:3&lt;188:PCITBR&gt;2.0.TX;2-M   Published: 2018 </t>
  </si>
  <si>
    <t>G47</t>
  </si>
  <si>
    <t xml:space="preserve">Fear affects parental care, which predicts juvenile survival and exacerbates the total cost of fear on demography </t>
  </si>
  <si>
    <t>By: Dudeck, Blair P.; Clinchy, Michael; Allen, Marek C.; et al.</t>
  </si>
  <si>
    <t xml:space="preserve">ECOLOGY  Volume: 99   Issue: 1   Pages: 127-135   Published: JAN 2018 </t>
  </si>
  <si>
    <t xml:space="preserve">Trait-mediated indirect effects of predatory fish on microbial mineralization in aquatic sediments </t>
  </si>
  <si>
    <t>By: Stief, Peter; Hoelker, Franz</t>
  </si>
  <si>
    <t xml:space="preserve">ECOLOGY  Volume: 87   Issue: 12   Pages: 3152-3159   Published: DEC 2006 </t>
  </si>
  <si>
    <t>A8a</t>
  </si>
  <si>
    <t xml:space="preserve">Response of the residential piscivorous fish community to introduction of a new predator type in a mesotrophic lake </t>
  </si>
  <si>
    <t>By: Schulze, Torsten; Baade, Ulrich; Doerner, Hendrik; et al.</t>
  </si>
  <si>
    <t xml:space="preserve">CANADIAN JOURNAL OF FISHERIES AND AQUATIC SCIENCES  Volume: 63   Issue: 10   Pages: 2202-2212   Published: OCT 2006 </t>
  </si>
  <si>
    <t xml:space="preserve">Diverse trait-mediated interactions in a multi-predator, multi-prey community </t>
  </si>
  <si>
    <t>By: Prasad, Renee P.; Snyder, Willam E.</t>
  </si>
  <si>
    <t xml:space="preserve">ECOLOGY  Volume: 87   Issue: 5   Pages: 1131-1137   Published: MAY 2006 </t>
  </si>
  <si>
    <t xml:space="preserve">Indirect effects of predatory trout on organic matter processing in detritus-based stream food webs </t>
  </si>
  <si>
    <t>By: Greig, HS; McIntosh, AR</t>
  </si>
  <si>
    <t xml:space="preserve">OIKOS  Volume: 112   Issue: 1   Pages: 31-40   Published: JAN 2006 </t>
  </si>
  <si>
    <t>F18a</t>
  </si>
  <si>
    <t xml:space="preserve">Non-additivity among multiple cues of predation risk: a behaviorally-driven trophic cascade between owls and songbirds </t>
  </si>
  <si>
    <t>By: Schmidt, KA (SDP -- predation risk simulated by moon)</t>
  </si>
  <si>
    <t xml:space="preserve">OIKOS  Volume: 113   Issue: 1   Pages: 82-90   Published: APR 2006 </t>
  </si>
  <si>
    <t>2011G3</t>
  </si>
  <si>
    <t>G3</t>
  </si>
  <si>
    <t xml:space="preserve">Landscape of fear visible from space </t>
  </si>
  <si>
    <t>By: Madin, Elizabeth M. P.; Madin, Joshua S.; Booth, David J.</t>
  </si>
  <si>
    <t xml:space="preserve">SCIENTIFIC REPORTS  Volume: 1     Article Number: 14   Published: JUN 14 2011 </t>
  </si>
  <si>
    <t>2013G3</t>
  </si>
  <si>
    <t xml:space="preserve">Landscape of fear in Europe: wolves affect spatial patterns of ungulate browsing in Bialowieza Primeval Forest, Poland </t>
  </si>
  <si>
    <t>By: Kuijper, D. P. J.; de Kleine, C.; Churski, M.; et al.</t>
  </si>
  <si>
    <t xml:space="preserve">ECOGRAPHY  Volume: 36   Issue: 12   Pages: 1263-1275   Published: DEC 2013 </t>
  </si>
  <si>
    <t>Tab names and description</t>
  </si>
  <si>
    <t>METADATA</t>
  </si>
  <si>
    <t>edited version of "master_rows". tab used to calculate isolated ambient and warm treatments (so averaging across multiple warming temperature treatments). filter for 'isolated' in column G (initials) to find these values. Additional search NOT added here</t>
  </si>
  <si>
    <t>ID number assigned out of all years (different than A# assigned per year)</t>
  </si>
  <si>
    <t>year paper was published</t>
  </si>
  <si>
    <t>Authors of the paper</t>
  </si>
  <si>
    <t>Date that information was extracted for meta analysis</t>
  </si>
  <si>
    <t>master_rows</t>
  </si>
  <si>
    <t>this is an edited version of raw_rows. duplicate entires havebeen checked and filtered out. *USE THIS FOR CALCS* changed ambient to 0 and added general response category. Additional search added here</t>
  </si>
  <si>
    <t>is this row complete? (Y/N)</t>
  </si>
  <si>
    <t>initials of the person who extracted the information from the paper</t>
  </si>
  <si>
    <t xml:space="preserve">0 (easiest)-3 (very ambiguous) scale (given by person scoring row) </t>
  </si>
  <si>
    <t>notes on status of paper (what is unclear? Needs to come back to?)</t>
  </si>
  <si>
    <t>raw_rows</t>
  </si>
  <si>
    <t>this is all of the individual scoring documents combined together. there are some duplicate scores and some that need to be filtered out. Additional search added here</t>
  </si>
  <si>
    <t>description of the main findings of the paper, anything interesting, things necessary to note</t>
  </si>
  <si>
    <t>did the paper look at pred/prey dynamics for more than one generation? (N/M)</t>
  </si>
  <si>
    <t>did the paper compare NCE to CE or NCE to total predator effect? (N/Y)</t>
  </si>
  <si>
    <t>is this an NCE or a TMIE?</t>
  </si>
  <si>
    <t>describe the pathway, recording all response variables and units. Should be "predator (treatments) changed x (units) which led to y response (units)"</t>
  </si>
  <si>
    <t>was there a field component? (Y/N)</t>
  </si>
  <si>
    <t>is this an FPE study? (Y/N)</t>
  </si>
  <si>
    <t>explain field element if not an FPE study (blank if no field component)</t>
  </si>
  <si>
    <t>score from previous matrix (1 or 2 etc) (blank if no fpe component)</t>
  </si>
  <si>
    <t>is this study an example of context dependencies? (Y or N; if N, then stop and paper is not scored)</t>
  </si>
  <si>
    <t>marine, terrestrial, or freshwater</t>
  </si>
  <si>
    <t>are there multiple rows for this study? Why? (presence of multiple NCE/TMIE from same species (ie different phenotypic response), or multiple species pairs) (if not multiple rows, say "no")</t>
  </si>
  <si>
    <t>how many separate experiments are there in the study (that look at context)?</t>
  </si>
  <si>
    <t>what is the predator species? Common name ok</t>
  </si>
  <si>
    <t>what is the prey species? Common name ok</t>
  </si>
  <si>
    <t>what is the prey taxa? Options: insect, fish, amphibian, reptile, bird, mammal to match with main review</t>
  </si>
  <si>
    <t>what is the resource species? Common name ok</t>
  </si>
  <si>
    <t>what was the phenotypic response that caused NCE or TMIE? (e.g. reduced feeding)</t>
  </si>
  <si>
    <t>lab, field, or FPE? (if multiple in a study, then separate rows for each)</t>
  </si>
  <si>
    <t>what is the size of the experimental unit?</t>
  </si>
  <si>
    <t>what is the size of the organisms?</t>
  </si>
  <si>
    <t>what trophic level is the final link in the chain (resource in TMIE, prey in NCE)</t>
  </si>
  <si>
    <t>how many different contexts are being looked at?</t>
  </si>
  <si>
    <t>are these contexts interactive? (IE interactive effects of contexts looked at?)</t>
  </si>
  <si>
    <t>what are the contexts? (list) (refuge, CE)</t>
  </si>
  <si>
    <t>what is the risk treatment? (nonlethal, lethal, cue)</t>
  </si>
  <si>
    <t>number of the levels of risk? (ex 3)</t>
  </si>
  <si>
    <t>how is the total predator effect reached in this study? (natural, artificial, none)</t>
  </si>
  <si>
    <t>did the authors make the comparison between NCE and CE? (did they do this directly, not is the comparison able to be made?) (stopped scoring this, this column is not accurate)</t>
  </si>
  <si>
    <t>is there a culling treatment? (was the CE calculated directly?)</t>
  </si>
  <si>
    <t xml:space="preserve">what are the levels of CE? </t>
  </si>
  <si>
    <t>how many levels of CE are there?</t>
  </si>
  <si>
    <t>pick one context to be context 1 (if one context is CE, CE is never context 1)</t>
  </si>
  <si>
    <t>is context 1 top-down, bottom-up, supply side, or environmental</t>
  </si>
  <si>
    <t>are we sure about the groupings?</t>
  </si>
  <si>
    <t>what levels is context 1 acting on? KEY: pred = pr ; prey = py ; resource = r</t>
  </si>
  <si>
    <t>is the context level discrete or continuous?</t>
  </si>
  <si>
    <t>what are the levels of context 1? (list) (ex refuge, no refuge) (if continuous, put the range here)</t>
  </si>
  <si>
    <t>number of levels of context 1 (ex 2) (leave blank if continous)</t>
  </si>
  <si>
    <t>pick one context to be context 2</t>
  </si>
  <si>
    <t>is context 2 top-down, bottom-up, supply side, or environmental</t>
  </si>
  <si>
    <t>what levels are context 2 acting on? KEY: pred = pr ; prey = py ; resource = r</t>
  </si>
  <si>
    <t>what are the levels of context 2? (list) (absent, low, high)</t>
  </si>
  <si>
    <t>number of levels of context 2 (ex 3)</t>
  </si>
  <si>
    <t>pick another to be context 3</t>
  </si>
  <si>
    <t>is context 3 top-down, bottom-up, supply side, or environmental</t>
  </si>
  <si>
    <t>what levels are context 3 acting on? KEY: pred = pr ; prey = py ; resource = r</t>
  </si>
  <si>
    <t>what are the levels of context 3? (list) (absent, low, high)</t>
  </si>
  <si>
    <t>number of levels of context 3 (ex 3)</t>
  </si>
  <si>
    <t>pick another to be context 4</t>
  </si>
  <si>
    <t>is context 4 top-down, bottom-up, supply side, or environmental</t>
  </si>
  <si>
    <t>what levels are context 4 acting on? KEY: pred = pr ; prey = py ; resource = r</t>
  </si>
  <si>
    <t>what are the levels of context 4? (list) (absent, low, high)</t>
  </si>
  <si>
    <t>number of levels of context 4 (ex 3)</t>
  </si>
  <si>
    <t>what temperature treatment is this? ambient, 2 (+2), 4 (+4) etc</t>
  </si>
  <si>
    <t>what is the interacting context with this? (if there is one, NA)</t>
  </si>
  <si>
    <t>what is the response being measured?</t>
  </si>
  <si>
    <t xml:space="preserve">what is the value of the negative error bar for the risk treatment? </t>
  </si>
  <si>
    <t>what is the value for the risk treatment?</t>
  </si>
  <si>
    <t>what is the value of the positive error bar for the risk treatment?</t>
  </si>
  <si>
    <t>what type of error is displayed for the risk treatment? (sd, se)</t>
  </si>
  <si>
    <t>how may replicates are there for the risk treatment?</t>
  </si>
  <si>
    <t xml:space="preserve">what is the value of the negative error bar for the no risk treatment? </t>
  </si>
  <si>
    <t>what is the value for the no risk treatment?</t>
  </si>
  <si>
    <t>what is the vaue of the positive error bar for the no risk treatment?</t>
  </si>
  <si>
    <t>what type of error is displayed for the no risk treatment? (sd, se)</t>
  </si>
  <si>
    <t>how many replicates are there for the no risk treatment?</t>
  </si>
  <si>
    <t>what are the units the previous two column groups are measured in?</t>
  </si>
  <si>
    <t>figure number that these data were extracted from</t>
  </si>
  <si>
    <t>notes about the recorded values, including figure that data was drawn from, why this was the approprate response to measure, etc</t>
  </si>
  <si>
    <t>first round of scoring (assigned 5/23)</t>
  </si>
  <si>
    <t>problem</t>
  </si>
  <si>
    <t>solution</t>
  </si>
  <si>
    <t>reasoning</t>
  </si>
  <si>
    <t>range</t>
  </si>
  <si>
    <t>scoring</t>
  </si>
  <si>
    <t>number</t>
  </si>
  <si>
    <t>interactive contexts?</t>
  </si>
  <si>
    <t>collapse other contexts down to just have average of all other contexts as temp context</t>
  </si>
  <si>
    <t>for this initial effort, just focused on impact of elevated temperature</t>
  </si>
  <si>
    <t>2 to 5</t>
  </si>
  <si>
    <t>sample size when collapsing multiple treatments together?</t>
  </si>
  <si>
    <t>adding replicates together</t>
  </si>
  <si>
    <t xml:space="preserve">this will allow us to have sample size reflective of the values being </t>
  </si>
  <si>
    <t>6 to 11</t>
  </si>
  <si>
    <t>multiple temperature treatments?</t>
  </si>
  <si>
    <t>average impact of warming across all temperature treatments</t>
  </si>
  <si>
    <t>this will allow us to have one value for each study</t>
  </si>
  <si>
    <t>12 to 16</t>
  </si>
  <si>
    <t>multiple different fitness responses?</t>
  </si>
  <si>
    <t>classify both on "broad" and "specific" categories. But, average these all together for one study</t>
  </si>
  <si>
    <t>17 to 19</t>
  </si>
  <si>
    <t>also measure trait response?</t>
  </si>
  <si>
    <t>no</t>
  </si>
  <si>
    <t>not all studies quantified trait responses</t>
  </si>
  <si>
    <t>study varies both magnitude of warming and timing of warming (so, spikes of temperatures for different durations)</t>
  </si>
  <si>
    <t>average the differing durations together to just get the ambient and warmed temperature</t>
  </si>
  <si>
    <t>this will allow us to get general information with ambient and warming treatment</t>
  </si>
  <si>
    <t>papers sent to david to double check</t>
  </si>
  <si>
    <t>4, 10, 14</t>
  </si>
  <si>
    <t>papers sent to aunjoli: 6 and 7</t>
  </si>
  <si>
    <t xml:space="preserve">Notes: </t>
  </si>
  <si>
    <t>NEP: combined all scores from individual scorers. Making sure we have agreement between scorers, as well as all papers have been done</t>
  </si>
  <si>
    <t>TMIE-nds skipped (1)</t>
  </si>
  <si>
    <t>mising 2, 15, 16, 17</t>
  </si>
  <si>
    <t>2: waiting on risk data from author</t>
  </si>
  <si>
    <t>15, 16: somehow deleted from Joe? Fixed</t>
  </si>
  <si>
    <t>17: note from DK: I think this paper is going to be better processed with means (se) for all possible combinations of temperature, resource identity, and predator cue. Request from authoer. You'll then have 4 rows for no risk as well as four different rows for risk treatment. This will be a 2-context study. But with data processng, you can also average it down to just predator cue as function of single context. Right? I think you want growth and growth efficiency data. Do you want stoichiometric data? Lavval size data?</t>
  </si>
  <si>
    <t>update: trying to simplify process due to some errors during data collection. Focusing just on papers that have only one context (temperature), which is 7 of the temperature papers</t>
  </si>
  <si>
    <t>NH took first pass at multiple context pubs. Flagged a few difficult ones. Unfinished pubs are listed below:</t>
  </si>
  <si>
    <t>1 - removed because it is TMIe-nd</t>
  </si>
  <si>
    <t>2 - waiting on risk data from author, followed up with DK - proceeding w/o</t>
  </si>
  <si>
    <t>5 - not in master rows. Check original scores - found and copied over</t>
  </si>
  <si>
    <t>11 - how to score this paper? To CO2 - paper excluded because we are not including microbes. This might not be risk either and maybe not beyond phenotype</t>
  </si>
  <si>
    <t>12 - not in master sheet. Check original scores - found in raw_rows. Formatting is messed up. Fixed</t>
  </si>
  <si>
    <t>14 - why are there no risk vals? - I think data is here, just needs to be reorganized - asked NH</t>
  </si>
  <si>
    <t xml:space="preserve">17 - not in master rows, check original scores - found in DK scores. Not finished </t>
  </si>
  <si>
    <t>6 - noah flagged - context is source temperature, not experimental temp. include? Paper excluded. Not temperature context, source population context</t>
  </si>
  <si>
    <t>do we think that new growth allocated to shell mass and increase in total mass are both responses? No- shell growth would be trait response, mass response would be the actual NCE response… This paper is NOT INCLUDED because this is source temperature, not experimental temp</t>
  </si>
  <si>
    <t>interactive</t>
  </si>
  <si>
    <t>north, exposed, rock crab</t>
  </si>
  <si>
    <t>number of replicates: 15 dogwhelks in each container, and each replicated 4 times for 60 "replicates", so true replication is 4</t>
  </si>
  <si>
    <t>north, exposed, green crab</t>
  </si>
  <si>
    <t>north, protected, rock crab</t>
  </si>
  <si>
    <t>north, protected, green crab</t>
  </si>
  <si>
    <t>south, exposed, rock crab</t>
  </si>
  <si>
    <t>south, exposed, green crab</t>
  </si>
  <si>
    <t>south, protected, rock crab</t>
  </si>
  <si>
    <t>south, protected, green crab</t>
  </si>
  <si>
    <t xml:space="preserve">TMIE to microbes (not presented). But, presented results to CO2 efflux (which is a function of microbial processes). Check w/ DK on this one. NOT included because we are not including micrboes </t>
  </si>
  <si>
    <t>getting risk data from author - followed up w/ DK 9feb23, still wiating on risk data from authors. 4/17/23: files are marked as corrupted and I cannot open them on my computer. skipping this paper</t>
  </si>
  <si>
    <t>survival</t>
  </si>
  <si>
    <t>se.val.risk</t>
  </si>
  <si>
    <t>se.val.no.risk</t>
  </si>
  <si>
    <t>check1</t>
  </si>
  <si>
    <t>check2</t>
  </si>
  <si>
    <t>2017E38</t>
  </si>
  <si>
    <t>2018 search</t>
  </si>
  <si>
    <t>2018Ex1-489</t>
  </si>
  <si>
    <t>2018F1</t>
  </si>
  <si>
    <t>2018F16</t>
  </si>
  <si>
    <t>search</t>
  </si>
  <si>
    <t>Authors</t>
  </si>
  <si>
    <t>Article Title</t>
  </si>
  <si>
    <t>Publication Year</t>
  </si>
  <si>
    <t>A</t>
  </si>
  <si>
    <t>Sun, Syuan-Jyun; Dziuba, Marcin K; Jaye, Riley N; Duffy, Meghan A</t>
  </si>
  <si>
    <t>Supplementary data from Temperature modifies trait-mediated infection outcomes in a Daphnia-fungal parasite system</t>
  </si>
  <si>
    <t>Thorne, L. H.; Nye, J. A.</t>
  </si>
  <si>
    <t>Trait-mediated shifts and climate velocity decouple an endothermic marine predator and its ectothermic prey</t>
  </si>
  <si>
    <t>Wong, Mark K. L.; Lee, Roger H.; Leong, Chi-Man; Lewis, Owen T.; Guenard, Benoit</t>
  </si>
  <si>
    <t>Trait-mediated competition drives an ant invasion and alters functional diversity</t>
  </si>
  <si>
    <t>Hofer, Rebecca J; Ayasse, Manfred; Kuppler, Jonas</t>
  </si>
  <si>
    <t>Data_Sheet_1_Bumblebee Behavior on Flowers, but Not Initial Attraction, Is Altered by Short-Term Drought Stress.docx</t>
  </si>
  <si>
    <t>Raffard, Allan; Cucherousset, Julien; Santoul, Frederic; Di Gesu, Lucie; Simon, Blanchet</t>
  </si>
  <si>
    <t>Intraspecific variation alters ecosystem and next-generation performance as much as temperature</t>
  </si>
  <si>
    <t>Guo, Zhengfei; Yan, Zhengbing; Majcher, Bartosz Marek; Lee, Calvin K. F.; Zhao, Yingyi; Song, Guangqin; Wang, Bin; Wang, Xin; Deng, Yun; Michaletz, Sean T.; Ryu, Youngryel; Ashton, Louise Amy; Lam, Hon-Ming; Wong, Man Sing; Liu, Lingli; Wu, Jin</t>
  </si>
  <si>
    <t>Dynamic biotic controls of leaf thermoregulation across the diel timescale</t>
  </si>
  <si>
    <t>Bishop, Tom R.; Parr, Catherine L.; Gibb, Heloise; van Rensbure, Berndt J.; Braschler, Brigitte; Chown, Steven L.; Foord, Stefan H.; Lamy, Kevin; Munyai, Thinandavha C.; Okey, Iona; Tshivhandekano, Pfarelo G.; Werenkraut, Victoria; Robertson, Mark P.</t>
  </si>
  <si>
    <t>Thermoregulatory traits combine with range shifts to alter the future of montane ant assemblages</t>
  </si>
  <si>
    <t>Mugabo, Marianne; Gilljam, David; Petteway, Laura; Yuan, Chenggui; Fowler, Mike S.; Sait, Steven M.</t>
  </si>
  <si>
    <t>Environmental degradation amplifies species' responses to temperature variation in a trophic interaction</t>
  </si>
  <si>
    <t>Chandrasegaran, Karthikeyan; Lahondere, Chloe; Escobar, Luis E.; Vinaugert, Clement</t>
  </si>
  <si>
    <t>Linking Mosquito Ecology, Traits, Behavior, and Disease Transmission</t>
  </si>
  <si>
    <t>Leighton, Lindsey R.; Tyler, Carrie L.</t>
  </si>
  <si>
    <t>Emergent effects of two rocky intertidal predators on prey: Interaction of crabs and sea-stars may reduce mussel mortality</t>
  </si>
  <si>
    <t>Goedknegt, M. Anouk; Buschbaum, Christian; van der Meer, Jaap; Wegner, K. Mathias; Thieltges, David W.</t>
  </si>
  <si>
    <t>Introduced marine ecosystem engineer indirectly affects parasitism in native mussel hosts</t>
  </si>
  <si>
    <t>Korolyova, Nataliya; Buechling, Arne; Lieutier, Francois; Yart, Annie; Cudlin, Pavel; Turcani, Marek; Jakus, Rastislav</t>
  </si>
  <si>
    <t>Primary and secondary host selection by Ips typographus depends on Norway spruce crown characteristics and phenolic-based defenses</t>
  </si>
  <si>
    <t>deCastro-Arrazola, Indradatta; Andrew, Nigel R.; Berg, Matty P.; Curtsdotter, Alva; Lumaret, Jean-Pierre; Menendez, Rosa; Moretti, Marco; Nervo, Beatrice; Nichols, Elizabeth S.; Sanchez-Pinero, Francisco; Santos, Ana M. C.; Sheldon, Kimberly S.; Slade, Eleanor M.; Hortal, Joaquin</t>
  </si>
  <si>
    <t>A trait-based framework for dung beetle functional ecology</t>
  </si>
  <si>
    <t>Bosch, Nestor E.; McLean, Matthew; Zarco-Perello, Salvador; Bennett, Scott; Stuart-Smith, Rick D.; Verges, Adriana; Pessarrodona, Albert; Tuya, Fernando; Langlois, Tim; Spencer, Claude; Bell, Sahira; Saunders, Benjamin J.; Harvey, Euan S.; Wernberg, Thomas</t>
  </si>
  <si>
    <t>Persistent thermally driven shift in the functional trait structure of herbivorous fishes: Evidence of top-down control on the rebound potential of temperate seaweed forests?</t>
  </si>
  <si>
    <t>Woodlice change the habitat use of spiders in a different food chain</t>
  </si>
  <si>
    <t>Predation risk and habitat complexity modify intermediate predator feeding rates and energetic efficiencies in a tri-trophic system</t>
  </si>
  <si>
    <t>Aflitto, Nicholas C.; Thaler, Jennifer S.</t>
  </si>
  <si>
    <t>Predator pheromone elicits a temporally dependentnon-consumptiveeffect in prey</t>
  </si>
  <si>
    <t>C</t>
  </si>
  <si>
    <t>Dai, Yanran; Hein, Thomas; Preiner, Stefan; Reitsema, Rosanne E.; Schoelynck, Jonas</t>
  </si>
  <si>
    <t>Influence of water temperature and water depth on macrophyte-bacterioplankton interaction in a groundwater-fed river</t>
  </si>
  <si>
    <t>Cuthbert, Ross N.; Wasserman, Ryan J.; Dalu, Tatenda; Briski, Elizabeta</t>
  </si>
  <si>
    <t>Warming mediates intraspecific multiple predator effects from an invasive crustacean</t>
  </si>
  <si>
    <t>D</t>
  </si>
  <si>
    <t>Lack of evidence for indirect effects from stonefly predators on primary production under future climate warming scenarios</t>
  </si>
  <si>
    <t>Benson, C. W.; Shea, B. D.; de Silva, C.; Donovan, D.; Holder, P. E.; Cooke, S. J.; Gallagher, A. J.</t>
  </si>
  <si>
    <t>Physiological consequences of varying large shark exposure on striped bass (Morone saxatilis)</t>
  </si>
  <si>
    <t>Selbach, Christian; Mouritsen, Kim N.</t>
  </si>
  <si>
    <t>Mussel Shutdown: Does the Fear of Trematodes Regulate the Functioning of Filter Feeders in Coastal Ecosystems?</t>
  </si>
  <si>
    <t>Multiple-stressor effects of ocean acidification, warming and predation risk cues on the early ontogeny of a rocky-shore keystone gastropod*</t>
  </si>
  <si>
    <t>Wu, Xinwei; Niklas, Karl J.; Sun, Shucun</t>
  </si>
  <si>
    <t>Climate change affects detritus decomposition rates by modifying arthropod performance and species interactions</t>
  </si>
  <si>
    <t>Draper, Alex M.; Weissburg, Marc J.</t>
  </si>
  <si>
    <t>Differential effects of warming and acidification on chemosensory transmission and detection may strengthen non-consumptive effects of blue crab predators (Callinectes sapidus) on mud crab prey (Panopeus herbstii)</t>
  </si>
  <si>
    <t>The combined effects of climate change stressors and predatory cues on a mussel species</t>
  </si>
  <si>
    <t>Jellison, Brittany M.; Gaylord, Brian</t>
  </si>
  <si>
    <t>Shifts in seawater chemistry disrupt trophic links within a simple shoreline food web</t>
  </si>
  <si>
    <t>Amundrud, Sarah L.; Clay-Smith, Sarina A.; Flynn, Bret L.; Higgins, Kathleen E.; Reich, Megan S.; Wiens, Derek R. H.; Srivastava, Diane S.</t>
  </si>
  <si>
    <t>Drought alters the trophic role of an opportunistic generalist in an aquatic ecosystem</t>
  </si>
  <si>
    <t>Jermacz, Lukasz; Kletkiewicz, Hanna; Krzyzynska, Katarzyna; Klimiuk, Maciej; Kobak, Jaroslaw</t>
  </si>
  <si>
    <t>Does global warming intensify cost of antipredator reaction? A case study of freshwater amphipods</t>
  </si>
  <si>
    <t>Antol, Andrzej; Labecka, Anna Maria; Larsson, J. I. Ronny; Sniegula, Szymon</t>
  </si>
  <si>
    <t>First Record of Microsporidia Infection in the Damselfly Ischnura elegans Larvae: Temperature and Predator Cue Effects on the Host's Life History</t>
  </si>
  <si>
    <t>Heleno, Ruben H.; Ripple, William J.; Traveset, Anna</t>
  </si>
  <si>
    <t>Scientists' warning on endangered food webs.</t>
  </si>
  <si>
    <t>Bereiter, Bernhard; Tuzson, Bela; Scheidegger, Philipp; Kupferschmid, Andre; Looser, Herbert; Maechler, Lars; Baggenstos, Daniel; Schmitt, Jochen; Fischer, Hubertus; Emmenegger, Lukas</t>
  </si>
  <si>
    <t>High-precision laser spectrometer for multiple greenhouse gas analysis in 1mL air from ice core samples</t>
  </si>
  <si>
    <t>Warming erodes individual-level variability in life history responses to predation risk in larvae of the mayflyCloeon dipterum</t>
  </si>
  <si>
    <t>Bahamondes, Daniela; Moraga, Paola; Belmonte, Eliana</t>
  </si>
  <si>
    <t>Ecosystem regulatory services provided by the Guacano (Morella pavonis) in Chapisca, Lluta Valley, Arica and Parinacota region, Chile</t>
  </si>
  <si>
    <t>Koltz, Amanda M.; Gough, Laura; McLaren, Jennie R.</t>
  </si>
  <si>
    <t>Herbivores in Arctic ecosystems: Effects of climate change and implications for carbon and nutrient cycling</t>
  </si>
  <si>
    <t>Shea, Brendan D.; Benson, Connor W.; de Silva, Christine; Donovan, Don; Romeiro, Joe; Bond, Mark E.; Creel, Scott; Gallagher, Austin J.</t>
  </si>
  <si>
    <t>Effects of exposure to large sharks on the abundance and behavior of mobile prey fishes along a temperate coastal gradient</t>
  </si>
  <si>
    <t>Lavergne, Sophia G.; Krebs, Charles J.; Kenney, Alice J.; Boutin, Stan; Murray, Dennis; Palme, Rupert; Boonstra, Rudy</t>
  </si>
  <si>
    <t>The impact of variable predation risk on stress in snowshoe hares over the cycle in North America's boreal forest: adjusting to change</t>
  </si>
  <si>
    <t>Torossian, Jessica L.; Hosek, Kristen E.; Donelan, Sarah C.; Trussell, Geoffrey C.; Helmuth, Brian S.; Zippay, Mackenzie L.</t>
  </si>
  <si>
    <t>Physiological and biochemical responses to acute environmental stress and predation risk in the blue mussel, Mytilus edulis</t>
  </si>
  <si>
    <t>McMahan, Marissa D.; Grabowski, Jonathan H.</t>
  </si>
  <si>
    <t>Nonconsumptive effects of a range-expanding predator on juvenile lobster (Homarus americanus) population dynamics</t>
  </si>
  <si>
    <t>E</t>
  </si>
  <si>
    <t>Yokoyama, Leonardo Querobim; Turra, Alexander; Suckling, Coleen; Torres, Gabriela; Davies, Andrew; McCarthy, Ian</t>
  </si>
  <si>
    <t>Sub-lethal predatory shell damage does not affect physiology under high CO2 in the intertidal gastropod Tritia reticulata</t>
  </si>
  <si>
    <t>Michie, Laura E.; Thiem, Jason D.; Facey, Jordan A.; Boys, Craig A.; Crook, David A.; Mitrovic, Simon M.</t>
  </si>
  <si>
    <t>Effects of suboptimal temperatures on larval and juvenile development and otolith morphology in three freshwater fishes: implications for cold water pollution in rivers</t>
  </si>
  <si>
    <t>Atrchian, Haniieh; Mahdian, Kamran; Izadi, Hamzeh</t>
  </si>
  <si>
    <t>Sub-lethal effects of Metarhizium anisopliae on the life table parameters of the predatory coccinellid Menochilus sexmaculatus Fabricius</t>
  </si>
  <si>
    <t>Afza, Rahat; Afzal, Muhammad; Majeed, Muhammad Zeeshan; Riaz, Muhammad Asam</t>
  </si>
  <si>
    <t>Effect of Intra-Guild Predation and Sub Lethal Concentrations of Insecticides on the Predation of Coccinellids</t>
  </si>
  <si>
    <t>Railsback, Steven F.; Ayllon, Daniel; Harvey, Bret C.</t>
  </si>
  <si>
    <t>InSTREAM 7: Instream flow assessment and management model for stream trout</t>
  </si>
  <si>
    <t>Anders, Neil; Howarth, Kirsten; Totland, Bjorn; Handegard, Nils Olav; Tenningen, Maria; Breen, Michael</t>
  </si>
  <si>
    <t>Effects on individual level behaviour in mackerel (Scomber scombrus) of sub-lethal capture related stressors: Crowding and hypoxia</t>
  </si>
  <si>
    <t>Robinson, Elizabeth M.; Rabalais, Nancy N.</t>
  </si>
  <si>
    <t>The effects of oil on blue crab and periwinkle snail interactions: A mesocosm study</t>
  </si>
  <si>
    <t>Rae, Jason; Murray, Dennis</t>
  </si>
  <si>
    <t>Pathogen vs. predator: ranavirus exposure dampens tadpole responses to perceived predation risk</t>
  </si>
  <si>
    <t>Madeira, Diana; Andrade, Joana; Leal, Miguel C; Ferreira, Violeta; Rocha, Rui JM; Rosa, Rui; Calado, Ricardo</t>
  </si>
  <si>
    <t>Table_1_Synergistic Effects of Ocean Warming and Cyanide Poisoning in an Ornamental Tropical Reef Fish.docx</t>
  </si>
  <si>
    <t>Court, Melanie; Paula, Jose Ricardo; Macau, Marta; Otjacques, Eve; Repolho, Tiago; Rosa, Rui; Lopes, Vanessa Madeira</t>
  </si>
  <si>
    <t>Camouflage and Exploratory Avoidance of Newborn Cuttlefish under Warming and Acidification</t>
  </si>
  <si>
    <t>Salas-Yanquin, L. P.; Pinilla, N. P.; Matos, A. S.; Buchner-Miranda, J. A.; Navarro, J. M.; Cubillos, V. M.; Pechenik, J. A.; Chaparro, O. R.</t>
  </si>
  <si>
    <t>Latent effects of intertidal encapsulated development on juvenile fitness of the marine snail Acanthina monodon</t>
  </si>
  <si>
    <t>Delnat, Vienna; Janssens, Lizanne; Stoks, Robby</t>
  </si>
  <si>
    <t>Whether warming magnifies the toxicity of a pesticide is strongly dependent on the concentration and the null model</t>
  </si>
  <si>
    <t>Ricupero, Michele; Abbes, Khaled; Haddi, Khalid; Kurtulus, Alican; Desneux, Nicolas; Russo, Agatino; Siscaro, Gaetano; Biondi, Antonio; Zappala, Lucia</t>
  </si>
  <si>
    <t>Combined thermal and insecticidal stresses on the generalist predator Macrolophus pygmaeus</t>
  </si>
  <si>
    <t>Dominguez, Rula; Olabarria, Celia; Woodin, Sarah A.; Wethey, David S.; Peteiro, Laura G.; Macho, Gonzalo; Vazquez, Elsa</t>
  </si>
  <si>
    <t>Contrasting responsiveness of four ecologically and economically important bivalves to simulated heat waves</t>
  </si>
  <si>
    <t>Chatzinikolaou, Eva; Grigoriou, Panos; Martini, Evangelia; Sterioti, Aspasia</t>
  </si>
  <si>
    <t>Impact of ocean acidification and warming on the feeding behaviour of two gastropod species</t>
  </si>
  <si>
    <t>Dorrance, Anna N.; Goldstein, Jason S.; Carloni, Joshua T.; Gutzler, Benjamin C.; Watson, Winsor H., III</t>
  </si>
  <si>
    <t>Sublethal behavioral and physiological effects of claw removal on Jonah crabs (Cancer borealis)</t>
  </si>
  <si>
    <t>Passos, Luis C.; Ricupero, Michele; Gugliuzzo, Antonio; Soares, Marianne A.; Desneux, Nicolas; Campolo, Orlando; Carvalho, Geraldo A.; Biondi, Antonio; Zappala, Lucia</t>
  </si>
  <si>
    <t>Sublethal effects of plant essential oils toward the zoophytophagous mirid Nesidiocoris tenuis</t>
  </si>
  <si>
    <t>Dolan, Tara E.; Frisk, Michael G.; Cerrato, Robert M.; McElroy, Anne E.</t>
  </si>
  <si>
    <t>Environmental factors modify post-settlement survival and growth of winter flounder Pseudopleuronectes americanus in the absence of predation</t>
  </si>
  <si>
    <t>Rimy, Sabrina Jahan; Das, Gopal; Gotoh, Tetsuo; Ullah, Mohammad Shaef</t>
  </si>
  <si>
    <t>Lethal and sublethal effects of bifenazate on the biological parameters of Tetranychus truncatus Ehara (Acari: Tetranychidae)</t>
  </si>
  <si>
    <t>Datki, Zsolt; Sinka, Rita; Galik, Bence; Galik-Olah, Zita</t>
  </si>
  <si>
    <t>Particle-dependent reproduction and exogenic biopolymer secretion of protozoa co-cultured rotifers</t>
  </si>
  <si>
    <t>Kasumyan, Alexander O.</t>
  </si>
  <si>
    <t>The taste system in fishes and the effects of environmental variables</t>
  </si>
  <si>
    <t>Russell, Marie; Cator, Lauren</t>
  </si>
  <si>
    <t>No impact of biocontrol agents predation cues on development time or size of surviving Aedes albopictus under optimal nutritional availability</t>
  </si>
  <si>
    <t>Tran, Tam T.; Janssens, Lizanne; Dinh, Khuong, V; Stoks, Robby</t>
  </si>
  <si>
    <t>An adaptive transgenerational effect of warming but not of pesticide exposure determines how a pesticide and warming interact for antipredator behaviour</t>
  </si>
  <si>
    <t>Aimon, C.; Lebigre, C.; Le Floch, S.; Claireaux, G.</t>
  </si>
  <si>
    <t>Effects of dispersant-treated oil upon behavioural and metabolic parameters of the anti-predator response in juvenile European sea bass (Dicentrarchus labrax)</t>
  </si>
  <si>
    <t>F</t>
  </si>
  <si>
    <t>Olivares, Manuel; Tiselius, Peter; Calbet, Albert; Saiz, Enric</t>
  </si>
  <si>
    <t>Non-lethal effects of the predator Meganyctiphanes norvegica and influence of seasonal photoperiod and food availability on the diel feeding behaviour of the copepod Centropages typicus</t>
  </si>
  <si>
    <t>Lord, Joshua P; Harper, Elizabeth M; Barry, J P</t>
  </si>
  <si>
    <t>Snail shell growth at control and elevated temperature and ocean acidification conditions</t>
  </si>
  <si>
    <t>Meza-Matty, Ivan A.; Ruiz-Campos, Gorgonio; Walter Daessle, Luis; Ruiz-Luna, Arturo; Alberto Lopez-Lambrano, Alvaro; Camarena-Rosales, Faustino; Matthews, Kathleen R.</t>
  </si>
  <si>
    <t>Daily, seasonal, and annual variability of temperature in streams inhabited by the endemic San Pedro Martir trout (Oncorhynchus mykiss nelsoni), in Baja California, Mexico, and the predicted temperature for the years 2025 and 2050</t>
  </si>
  <si>
    <t>Van Colen, Carl; Ong, Ee Zin; Briffa, Mark; Wethey, David S.; Abatih, Emmanuel; Moens, Tom; Woodin, Sarah A.</t>
  </si>
  <si>
    <t>Clam feeding plasticity reduces herbivore vulnerability to ocean warming and acidification</t>
  </si>
  <si>
    <t>Canseco, J. A.; Niklitschek, E. J.; Harrod, C.</t>
  </si>
  <si>
    <t>Variability in delta C-13 and delta N-15 trophic discrimination factors for teleost fishes: a meta-analysis of temperature and dietary effects</t>
  </si>
  <si>
    <t>Fletcher, Laura S.; Bolander, Mikayla; Reese, Tanner C.; Asay, Emily Gail; Pinkston, Emily; Griffen, Blaine D.</t>
  </si>
  <si>
    <t>Metabolic rates of the Asian shore crab Hemigrapsus sanguineus in air as a function of body size, location, and injury</t>
  </si>
  <si>
    <t>Ota, Ayana; Takagi, Etsuro; Yasuda, Masatoshi; Hashim, Mazlan; Hosaka, Tetsuro; Numata, Shinya</t>
  </si>
  <si>
    <t>Effects of nonlethal tourist activity on the diel activity patterns of mammals in a National Park in Peninsular Malaysia</t>
  </si>
  <si>
    <t>Gomez-Serrano, Miguel angel</t>
  </si>
  <si>
    <t>Four-legged foes: dogs disturb nesting plovers more than people do on tourist beaches</t>
  </si>
  <si>
    <t>Rivest, Emily B.; Jellison, Brittany; Ng, Gabriel; Satterthwaite, Erin V.; Bradley, Hannah L.; Williams, Susan L.; Gaylord, Brian</t>
  </si>
  <si>
    <t>Mechanisms Involving Sensory Pathway Steps Inform Impacts of Global Climate Change on Ecological Processes</t>
  </si>
  <si>
    <t>Bensakhri, Zinette; Bensouilah, Soufyane; Zebsa, Rabah; Youcefi, Abdeldjalil; Amari, Hichem; Zouaimia, Abdelheq; Lazli, Amel; Houhamdi, Moussa; Khelifa, Rassim</t>
  </si>
  <si>
    <t>Trends to adaptation of the Sahara frog (Pelophylax saharicus) larvae across an environmental gradient</t>
  </si>
  <si>
    <t>Aslam, Aisha; O'Flaherty, Calum; Marker, Laurie; Rooney, Nicola</t>
  </si>
  <si>
    <t>Factors Affecting Livestock Guarding Dogs? Proximity to Their Herd and Association With Perceived Effectiveness</t>
  </si>
  <si>
    <t>Harju, Seth; Olson, Chad; Hess, Jenn; Webb, Stephen</t>
  </si>
  <si>
    <t>Isotopic analysis reveals landscape patterns in the diet of a subsidized predator, the common raven</t>
  </si>
  <si>
    <t>Basham, Edmund W; Saporito, Ralph A; Gonzalez-Pinzon, Macario; Romero-Marcucci, Angel; Scheffers, Brett R</t>
  </si>
  <si>
    <t>Data from: Chemical defenses shift with the seasonal vertical migration of a Panamanian poison frog</t>
  </si>
  <si>
    <t>Egan, Conor C; Blackwell, Bradley F; Fernandez-Juricic, Esteban; Klug, Page E</t>
  </si>
  <si>
    <t>Data from: Testing a key assumption of using drones as frightening devices: do birds perceive drones as risky?</t>
  </si>
  <si>
    <t>Relyea, Rick; Hammond, John; Stephens, Patrick</t>
  </si>
  <si>
    <t>Phylogenetic patterns of trait and trait plasticity evolution: Insights from tadpoles</t>
  </si>
  <si>
    <t>EX1 2019-2020</t>
  </si>
  <si>
    <t>reconciled</t>
  </si>
  <si>
    <t>1/26/2021, ND-4/15/21
5/15/21</t>
  </si>
  <si>
    <r>
      <t>SDP -- 5/15/21.  See word file. Was also email exchange on this (reffed in word file)</t>
    </r>
    <r>
      <rPr>
        <sz val="11"/>
        <color rgb="FF000000"/>
        <rFont val="Calibri"/>
        <family val="2"/>
      </rPr>
      <t xml:space="preserve">
NP and DK disagree about whether beyond phenotype and DK scored as FPE.</t>
    </r>
    <r>
      <rPr>
        <sz val="11"/>
        <color rgb="FF00B050"/>
        <rFont val="Calibri"/>
        <family val="2"/>
      </rPr>
      <t xml:space="preserve">  ND: This is similar to a paper by Kuijper et al. 2013 but the authors put the wolf risk and the small scale risk on continuous scales rather than treating them categorically.  Otherwise it's pretty much the same paper, same system, same questions and we scored it as an FPE (appr 1b) with caveats (other explanations are possible... basically the same problem as the Ripple papers in YNP).</t>
    </r>
    <r>
      <rPr>
        <sz val="11"/>
        <color rgb="FF000000"/>
        <rFont val="Calibri"/>
        <family val="2"/>
      </rPr>
      <t xml:space="preserve"> </t>
    </r>
    <r>
      <rPr>
        <sz val="11"/>
        <color rgb="FF00B050"/>
        <rFont val="Calibri"/>
        <family val="2"/>
      </rPr>
      <t xml:space="preserve">I added a little to the robustness column and BH(FPE explanation), but David's line could be moved down to reconcile line.   </t>
    </r>
  </si>
  <si>
    <t>Study relies on a lot of previously published data showing large-scale differences in risk to deer (human activity/homes = safe and wolf pup areas = risky) and have vigilent data adpublications to back it up. They then rely on other published data saying that logs of certain sizes (length and diameter) create fine-scale risk gradient and it's backed up with vigilence results. So, they test of this cascades to plants. They measure tree sapling height/density across the large and fine-scale risk gradients. So, this is an Approach 1b (no manipulation).</t>
  </si>
  <si>
    <t>TMII</t>
  </si>
  <si>
    <t>natural wolf predators (their cues) and large logs induce large and fine-scale vigiilence behavior in deer and this indirectly increases tree sapling height (browsing intensity log-ratio) in the large-scale and fine-scale risk gradients.</t>
  </si>
  <si>
    <t>1/26/2020, ND-4/15/21</t>
  </si>
  <si>
    <r>
      <t>5/15/21.  Seee word file.  SDP</t>
    </r>
    <r>
      <rPr>
        <sz val="11"/>
        <color rgb="FF7030A0"/>
        <rFont val="Calibri"/>
        <family val="2"/>
      </rPr>
      <t xml:space="preserve">
Finished, agreeent.</t>
    </r>
    <r>
      <rPr>
        <sz val="11"/>
        <rFont val="Calibri"/>
        <family val="2"/>
      </rPr>
      <t xml:space="preserve"> Initial disagreement about some of the FPE details towards the end (e.g., growth versus condition etc.)</t>
    </r>
    <r>
      <rPr>
        <sz val="11"/>
        <color rgb="FF00B050"/>
        <rFont val="Calibri"/>
        <family val="2"/>
      </rPr>
      <t xml:space="preserve">. ND: pretty easy FPE 1b-m . DK and NEP still need to finish the reconciled line, but I made evaluations of the disagreements in some of the risk and responses and moved parts of their lines down to the recondiled line. I do not see that the year-year variation in the stress or condition response was a major part of the setup (just a post-hoc explanation for year-year variation) so this is just a manipulation (risk augmentation), not a study of natural risk.  The physiological response is a phenotype and the growth/condition is the demographic cost. </t>
    </r>
  </si>
  <si>
    <r>
      <t>trained</t>
    </r>
    <r>
      <rPr>
        <sz val="11"/>
        <rFont val="Calibri"/>
        <family val="2"/>
      </rPr>
      <t xml:space="preserve"> dog predator </t>
    </r>
    <r>
      <rPr>
        <sz val="11"/>
        <color rgb="FF7030A0"/>
        <rFont val="Calibri"/>
        <family val="2"/>
      </rPr>
      <t>used as model for coyote</t>
    </r>
    <r>
      <rPr>
        <sz val="11"/>
        <rFont val="Calibri"/>
        <family val="2"/>
      </rPr>
      <t xml:space="preserve"> (vs. no predator control) induces escape response of hare and increased physiological stress indicators (another trait response), but this did not decrease hare growth (mass standardized by hind leg length) </t>
    </r>
  </si>
  <si>
    <t>1/28/2021, ND-4/16/21</t>
  </si>
  <si>
    <r>
      <t xml:space="preserve">disagreement is slight and only concerns column N (dynamics). Why dynamics. Figure 3 does not show dynamics. It shows survival over 30 days. Dynamics is a bout population cycles and the degree to which NCEs cause those cycles. This is usually an explicit focus of the study. A lot of times, researchers illustrate data over time but their intention is not to explore population dynamics. But i'll let SDP confirm this </t>
    </r>
    <r>
      <rPr>
        <sz val="11"/>
        <color rgb="FF00B050"/>
        <rFont val="Calibri"/>
        <family val="2"/>
      </rPr>
      <t>ND: no dynamics (multi-generational), but there is a single generational estimate of growth which is converted to intrinsic rate of increase as a response variable to the food quality and predator cue treatments.   S</t>
    </r>
    <r>
      <rPr>
        <sz val="11"/>
        <color rgb="FF0070C0"/>
        <rFont val="Calibri"/>
        <family val="2"/>
      </rPr>
      <t>DP 5/4/21 -- agree not dynamics.</t>
    </r>
  </si>
  <si>
    <t>lab study, easy</t>
  </si>
  <si>
    <t>predatory fish cues (vs. no cue) increased metabolic respiration rates of Daphnia and decreased growth (length, mm) and reproduction (brood size)</t>
  </si>
  <si>
    <t>Finished, agreement. outdoor field experiment that shows predator presence increasese parasite infection prevlance and intensity of surviving prey, so this is TMII-nd. This does not get associated NCE because the prey did not die due to TMII-nd</t>
  </si>
  <si>
    <t>TMII-nd</t>
  </si>
  <si>
    <t>lethal avian and mammal predators (exclosure vs. control) increased unquantified anti-predator behavior of voles (mentioned in discussion) that increased prevalence and intnsity of parasite (coccidia ) in root voles</t>
  </si>
  <si>
    <t>3/30/2021, ND-4/19/21</t>
  </si>
  <si>
    <r>
      <t xml:space="preserve">SDP 5/17/21.  Some confusion on this one with wether the lab study was beyond risk.  See WORD FILE.  </t>
    </r>
    <r>
      <rPr>
        <sz val="11"/>
        <color rgb="FF7030A0"/>
        <rFont val="Calibri"/>
        <family val="2"/>
      </rPr>
      <t xml:space="preserve">
not duplicated because this is a 2019 paper
</t>
    </r>
    <r>
      <rPr>
        <sz val="11"/>
        <color rgb="FF0070C0"/>
        <rFont val="Calibri"/>
        <family val="2"/>
      </rPr>
      <t xml:space="preserve">SDP 4/14/21.  -- I am not clear on what the next steps are.  That Nate and/or Scott see if they agree this is (or is not?) beyond phenotype.  I can’t tell what the conclusion is for this one.  </t>
    </r>
  </si>
  <si>
    <r>
      <t xml:space="preserve">This paper is analogous to the Flagel paper. There is no way to disentangle DMII from TMII and the authors didn't attempt to.  DK re-read abstract and agrees with his original scoring. The "indirect" effect is crayfish reducing feeding efficiency of the dragonfly nymph (not beyond phenotype). They did not show a cost. The field pattern could be explained by DMII, TMII (inferred from lab mechanism) or combo, but they have no way to tell. So, this stud is not beyond phenotype, but does have a related field component. However, we wouldn't score that field component because the study is not beyond phenotype. </t>
    </r>
    <r>
      <rPr>
        <sz val="11"/>
        <color rgb="FF00B050"/>
        <rFont val="Calibri"/>
        <family val="2"/>
      </rPr>
      <t>ND: In the lab I guess this is a TMIE to mosquito survival (crayfish disrupt foraging by dragonflies which increases mosquito survival).  That difference can be observed in 60 minutes (before any dragonflies are eaten by crayfish).  In the field it's just a pattern correlated with crayfish reductions of dragonflies;  TMIE and DMIE cannot be separated.  Basically crayfish eat or ruin the hunting of dragonflies and release mosquitoes but we cannot say which one (DMIE or TMIE) was more important in the field.  Dragonflies were less abundant in the field with crayfish but the cause is unclear.  I  think you could call the survey a field component but they cannot disentangle the TMIE and I don't think they really tried.</t>
    </r>
  </si>
  <si>
    <r>
      <t xml:space="preserve">crayfish (lethal vs. absence) </t>
    </r>
    <r>
      <rPr>
        <b/>
        <sz val="11"/>
        <color rgb="FF7030A0"/>
        <rFont val="Calibri"/>
        <family val="2"/>
      </rPr>
      <t>induced inactivity of dragonfly larvae</t>
    </r>
    <r>
      <rPr>
        <sz val="11"/>
        <color rgb="FF7030A0"/>
        <rFont val="Calibri"/>
        <family val="2"/>
      </rPr>
      <t xml:space="preserve">  which led to reduced numbers of mosquito larvae (number surviving larvae)</t>
    </r>
  </si>
  <si>
    <t>finished</t>
  </si>
  <si>
    <t>easy lab paper</t>
  </si>
  <si>
    <t>anax dragonfly cue (vs. no cue) decreased food intake, conversion eficiency, and assimilation efficiency and decreased growth of larval damselfy (wet mass)</t>
  </si>
  <si>
    <t>odonate chemical cue and Daphnia prey</t>
  </si>
  <si>
    <r>
      <t>6/1/2021,</t>
    </r>
    <r>
      <rPr>
        <sz val="11"/>
        <color rgb="FF00B050"/>
        <rFont val="Calibri"/>
        <family val="2"/>
      </rPr>
      <t xml:space="preserve"> 8/7/21</t>
    </r>
  </si>
  <si>
    <t>6/1/21, DK: ND needs to help us determine if the parasite prevalence response is beyond risk and then if DK scoring is sufficient. See notes in DK and NEP rows. Also, insert taxa if this is scored beyond phenotype</t>
  </si>
  <si>
    <t xml:space="preserve">ND: if seed dispersal is a TMII then I think pathogen dispersal is a TMII too.  So I guess this is beyond phenotype as the pathogen is spread further. I don't think we have consequences for the plant so I would not include it.  Proposed pathway: Insect predator, Insect prey movement, Fungal pathogen.  They did not find evidence for an important TMII in this study.  DK line seems okay.. </t>
  </si>
  <si>
    <t>ladybird predator (lethal versus control) reduced pea aphid density significantly (CE) and induced more movement in the surviving pea aphids, with the CE reducing the prevalence of the pathogen and the latter not incresing the prevalence of the pathogen as expected (q-rtPCR)</t>
  </si>
  <si>
    <t>finished, agreement</t>
  </si>
  <si>
    <t>straightforward lab nce with two experiments at different life stages; risk applied to embryos and 1 yr adults</t>
  </si>
  <si>
    <t>crab (caged vs absent) reduced foraging rate (estimated from growth efficiency) in snails, which led to decreased growth efficiency (tissue growth per capita energy consumed) and decreased size (shell length in mm)</t>
  </si>
  <si>
    <t xml:space="preserve">lab experiment </t>
  </si>
  <si>
    <t>predatory mite cues left on leaves (vs no cues) prolonged development time (days) of immature spider mites, which shortened survival of female spider mites (%), reducing life-time reproductive fitness of females</t>
  </si>
  <si>
    <t>lab experiment that manipulated presence/absence of ants, looked at trait response of herbivores and then response of plant growth and reproductive investbment. They found that ants did not deter chewing herbivores but did deter sucking herbivores. Plants with ants had reduced growth but more reproductive investement, with these latter two responses being the TMII responses</t>
  </si>
  <si>
    <t>ant presence (versus absence) decreased recruitment of sucking herbivores and indirectly increased plant reproductive investment Ino. Flowers),  but decreased plant growth (cm)</t>
  </si>
  <si>
    <r>
      <t xml:space="preserve">1/30/2021, </t>
    </r>
    <r>
      <rPr>
        <sz val="11"/>
        <color rgb="FF00B050"/>
        <rFont val="Calibri"/>
        <family val="2"/>
      </rPr>
      <t>5/17/21</t>
    </r>
  </si>
  <si>
    <t xml:space="preserve">4/11/21 SDP -- I added the yellow.  I don't get the trait response. yes, it's TMIE. Nicole agrees. We had an email exchange on this one -- please modify accordingly , and keep in the word file David added that exchange to. </t>
  </si>
  <si>
    <r>
      <t xml:space="preserve">lab study, induced effect of prey indireclty benefits algae. </t>
    </r>
    <r>
      <rPr>
        <sz val="11"/>
        <color rgb="FF00B050"/>
        <rFont val="Calibri"/>
        <family val="2"/>
      </rPr>
      <t xml:space="preserve">ND: It appears that stressed (risk exposed damselflies) animals reduce growth and reproductive allocation which causes them to excrete extra N which benefits algae. </t>
    </r>
  </si>
  <si>
    <t>anax predator cues (vs. none) decreased C:N ratio (increased N content) of damselfly larva body and faecal pellets, which indireclty increased algal growth rate (per day)</t>
  </si>
  <si>
    <t>7/1/2020, ND-3/29/21</t>
  </si>
  <si>
    <t>DK  identified as probably beyond phenotype but SDP did not. Should be finished now</t>
  </si>
  <si>
    <t>lab study showing predator cues affected reproductive output (NCE)</t>
  </si>
  <si>
    <t>predatory cat odor (verus control) affected hormonal and stress responses of voles and decreased vole reproduction (# viable offspring/litter)</t>
  </si>
  <si>
    <t>Zhang, Chao; Jansen, Mieke; De Meester, Luc; et al.</t>
  </si>
  <si>
    <t>Burraco, Pablo; Iglesias-Carrasco, Maider; Cabido, Carlos; et al.</t>
  </si>
  <si>
    <t>edited to add calculated se values</t>
  </si>
  <si>
    <t xml:space="preserve">add in additional information about papers - taxonomy, more lab/field info </t>
  </si>
  <si>
    <t>parasitoid wasp</t>
  </si>
  <si>
    <t>aphid</t>
  </si>
  <si>
    <t>dragonfly larvae (Aeshna cyanea), marbled crayfish (Procambarus fallax f.
virginalis)</t>
  </si>
  <si>
    <t>common carp (Cyprinus carpio) fry</t>
  </si>
  <si>
    <t>cucumber beetle (Diabrotica undecimpunctata)</t>
  </si>
  <si>
    <t>wolf spider (Tigrosa helluo), and nursery web spider (Pisaurina mira)</t>
  </si>
  <si>
    <t>caddisfly Sericostoma pyrenaicum</t>
  </si>
  <si>
    <t>fish (Salmo trutta L.)</t>
  </si>
  <si>
    <t>tadpole (Rana temporaria)</t>
  </si>
  <si>
    <t>dragonfly nymphs (Aeshna sp.)</t>
  </si>
  <si>
    <t>amphibian</t>
  </si>
  <si>
    <t>tadpole Rana boylii</t>
  </si>
  <si>
    <t>dragonfly nymphs, Aeshna walkerii</t>
  </si>
  <si>
    <t>multiple</t>
  </si>
  <si>
    <t>yes</t>
  </si>
  <si>
    <t>lined shore crab Pachygrapsus crassipes</t>
  </si>
  <si>
    <t>whelks (Nucella ostrina</t>
  </si>
  <si>
    <t>mussels (Mytilus galloprovincialis</t>
  </si>
  <si>
    <t>abalone (Haliotis rufescens</t>
  </si>
  <si>
    <t>seaweed (sea lettuce Ulva lactuca).</t>
  </si>
  <si>
    <t>sweet pepper, Capsicum annuum L.</t>
  </si>
  <si>
    <t>brine shrimp (Artemia salina) nauplii.</t>
  </si>
  <si>
    <t>squash plant</t>
  </si>
  <si>
    <t>Scenedesmus obliquus algae</t>
  </si>
  <si>
    <t>poor-quality Eucalyptus globulus litter or high-quality
Alnus glutinosa litter</t>
  </si>
  <si>
    <t>poor-quality Eucalyptus globulus litter or high-quality Alnus glutinosa litter</t>
  </si>
  <si>
    <t>synthetic food</t>
  </si>
  <si>
    <t>oak (Quercus robur) and eucalypt (Eucalyptus globulus)</t>
  </si>
  <si>
    <t>green alga Cladophora glomerata</t>
  </si>
  <si>
    <t>lab mesocosms (29 L X 21 W X 12D (cm) plastic, translucent, and smooth cornered rectangular mouse cages)</t>
  </si>
  <si>
    <t>2017D43a</t>
  </si>
  <si>
    <t>pred_spec</t>
  </si>
  <si>
    <t>prey_spec</t>
  </si>
  <si>
    <t>parasitoid wasp</t>
  </si>
  <si>
    <t>Lepomis sunfish</t>
  </si>
  <si>
    <t>damselfly nymphs (Enallagma vesperum</t>
  </si>
  <si>
    <t>Pisaurina mira hunting spiders</t>
  </si>
  <si>
    <t>Melanoplus femurrubrum grasshoppers</t>
  </si>
  <si>
    <t>dragonfly larvae (Aeshna cyanea), marbled crayfish (Procambarus fallax f. virginalis)</t>
  </si>
  <si>
    <t>common carp (Cyprinus carpio) fry</t>
  </si>
  <si>
    <t>wolf spider (Tigrosa helluo), and nursery web spider (Pisaurina mira)</t>
  </si>
  <si>
    <t>cucumber beetle (Diabrotica undecimpunctata)</t>
  </si>
  <si>
    <t>lined shore crab Pachygrapsus crassipes</t>
  </si>
  <si>
    <t>whelks (Nucella ostrina</t>
  </si>
  <si>
    <t>abalone (Haliotis rufescens</t>
  </si>
  <si>
    <t>Coleomegilla maculata leng</t>
  </si>
  <si>
    <t>Myzus persicae</t>
  </si>
  <si>
    <t>Perca fluviatilis</t>
  </si>
  <si>
    <t>invert grazer assemblage</t>
  </si>
  <si>
    <t>Pisaurina mira and Phidippus rimator</t>
  </si>
  <si>
    <t>grasshopper (Melanoplus femurrubrum)</t>
  </si>
  <si>
    <t>Anax dragonfly</t>
  </si>
  <si>
    <t>Enallagma cyathigerum damselfly</t>
  </si>
  <si>
    <t>green crab Carcinus maenas</t>
  </si>
  <si>
    <t>dogwhelk Nucella lapilus</t>
  </si>
  <si>
    <t>green crab (Carcinus maenas)</t>
  </si>
  <si>
    <t>Atlantic dogwhelks (Nucella lapillus</t>
  </si>
  <si>
    <t>fish (Lepomis gibbosus)</t>
  </si>
  <si>
    <t>fish (Salmo trutta L.)</t>
  </si>
  <si>
    <t>caddisfly Sericostoma pyrenaicum</t>
  </si>
  <si>
    <t>damselfly Ischnura elegans.</t>
  </si>
  <si>
    <t>crab, snail</t>
  </si>
  <si>
    <t>dragonfly nymphs (Aeshna sp.)</t>
  </si>
  <si>
    <t>tadpole (Rana temporaria)</t>
  </si>
  <si>
    <t>dragonfly nymphs, Aeshna walkerii</t>
  </si>
  <si>
    <t>tadpole Rana boylii</t>
  </si>
  <si>
    <t>Bannerman et al.</t>
  </si>
  <si>
    <t xml:space="preserve">Culler et al. </t>
  </si>
  <si>
    <t xml:space="preserve">Schmitz et al. </t>
  </si>
  <si>
    <t xml:space="preserve">Vesely et al. </t>
  </si>
  <si>
    <t xml:space="preserve">Belenazi et al. </t>
  </si>
  <si>
    <t xml:space="preserve">Lord et al. </t>
  </si>
  <si>
    <t xml:space="preserve">Sentis et al. </t>
  </si>
  <si>
    <t xml:space="preserve">Svensson et al. </t>
  </si>
  <si>
    <t>Barton &amp; Schmitz</t>
  </si>
  <si>
    <t xml:space="preserve">Janssens et al. </t>
  </si>
  <si>
    <t xml:space="preserve">Miller et al. </t>
  </si>
  <si>
    <t>Matassa &amp; Trussell</t>
  </si>
  <si>
    <t xml:space="preserve">Zhang et al. </t>
  </si>
  <si>
    <t xml:space="preserve">Correa-Araneda et al. </t>
  </si>
  <si>
    <t xml:space="preserve">Stoks et al. </t>
  </si>
  <si>
    <t xml:space="preserve">Morton et al. </t>
  </si>
  <si>
    <t xml:space="preserve">Manriquez et al. </t>
  </si>
  <si>
    <t xml:space="preserve">Luhring et al. </t>
  </si>
  <si>
    <t xml:space="preserve">Burraco et al. </t>
  </si>
  <si>
    <t>Catenazzi &amp; Kupferberg</t>
  </si>
  <si>
    <t>Year</t>
  </si>
  <si>
    <t>NCE/TMIE</t>
  </si>
  <si>
    <t>Scale</t>
  </si>
  <si>
    <t>Response Type</t>
  </si>
  <si>
    <t>System</t>
  </si>
  <si>
    <t>fixed all values in iso from ambient to 0</t>
  </si>
  <si>
    <t>also changed the two response variables in ex1-2404 to a and b</t>
  </si>
  <si>
    <t>2016Ex1-2402a</t>
  </si>
  <si>
    <t>2016Ex1-2402b</t>
  </si>
  <si>
    <t>added mean temperatures?</t>
  </si>
  <si>
    <t>mat</t>
  </si>
  <si>
    <t>temps</t>
  </si>
  <si>
    <t>control = ambient</t>
  </si>
  <si>
    <t>reclassified luhring paper as reproduction</t>
  </si>
  <si>
    <t>double checked and confirmed all papers (added "checked" column)</t>
  </si>
  <si>
    <t>checked</t>
  </si>
  <si>
    <t>mean number of aphids after 6 days</t>
  </si>
  <si>
    <t>for this paper, getting negative effect sizes when the TME treatment has a lower density than the control treatment (adding risk decreases density) and when adding risk increases density we get a positive effect size</t>
  </si>
  <si>
    <t>final body mass after 5 weeks</t>
  </si>
  <si>
    <t>I am not sure how to deal with this mortality data. Adding risk INCREASES mortality, so therefore it should be decreasing survival ( so 1/mort, but also negative?) also did not report error here</t>
  </si>
  <si>
    <t>at the two lower temps, risk increased final body mass, but at the highest teperature it decreased it and then calculated effect sizes are pos, pos, neg</t>
  </si>
  <si>
    <t>not figure - got data from researcher</t>
  </si>
  <si>
    <t>need to check back in email to confirm units, but I think this is NCM (nonconsumptive mrotality) which is number of dead uneaten prey per predator</t>
  </si>
  <si>
    <t>e and f are the caged and nucaged treatments</t>
  </si>
  <si>
    <t>%/day, specific growth rates</t>
  </si>
  <si>
    <t>body mass at metamorphosis</t>
  </si>
  <si>
    <t>fixed - chnged this to the correct response type</t>
  </si>
  <si>
    <t>2016D7a</t>
  </si>
  <si>
    <t>2016D7b</t>
  </si>
  <si>
    <t>now including variance in analysis - used checked column to find papers that were missing either replication or error to calculate variance</t>
  </si>
  <si>
    <t>here, based on the figure, adding predators reduced growth rate, and all effect sizes are negative. Changed n to 10 (from &gt;10)</t>
  </si>
  <si>
    <t>control is 2 level, calculated n based off of DF</t>
  </si>
  <si>
    <t>figure 1</t>
  </si>
  <si>
    <t>DF = 1/284, 2 x 2 anova design, 2 x 2 (n - 1), n = 72</t>
  </si>
  <si>
    <t>fixed sentis paper</t>
  </si>
  <si>
    <t>added in strict column</t>
  </si>
  <si>
    <t>strict</t>
  </si>
  <si>
    <t>addtl5-2021</t>
  </si>
  <si>
    <t>15C, 500 μatm pCO2, average of three predation treatments</t>
  </si>
  <si>
    <t>20C, 500 μatm pCO2, average of three predation treatments</t>
  </si>
  <si>
    <t>24°C , average of source treatment</t>
  </si>
  <si>
    <t>18°C, average of source treatment</t>
  </si>
  <si>
    <t>10 C, average of 2 plant species</t>
  </si>
  <si>
    <t>15 C, average of 2 plant species</t>
  </si>
  <si>
    <t>added "growthsingle" tab. Did a lot of manipulating to include one "Set" of multiple context experiments for each thing. 
If one context: left unchanged
If two contexts: was there clear "control" for non-temp context? (CO2 papers: ambient CO2, native plant). if there isn't a clear "control", averaged values together
Three context experiment: deleted elevated CO2 studies, averaged predator treatments together
and got rid of uncaged whelk in lord experiment</t>
  </si>
  <si>
    <t>ambient, control CO2, prey id averaged</t>
  </si>
  <si>
    <t xml:space="preserve"> +2°C, control CO2, prey id averaged</t>
  </si>
  <si>
    <t>Fig 3f and 5c</t>
  </si>
  <si>
    <t>Baker et al</t>
  </si>
  <si>
    <t>classic schmitz/trussel warming paper</t>
  </si>
  <si>
    <t>adding risk and warming impacted grasshopper physiology which impacted the solidago biomass</t>
  </si>
  <si>
    <t>yes - responses</t>
  </si>
  <si>
    <t>spider</t>
  </si>
  <si>
    <t>grasshopper</t>
  </si>
  <si>
    <t>solidago</t>
  </si>
  <si>
    <t>respiration, space use</t>
  </si>
  <si>
    <t>warming, ambient</t>
  </si>
  <si>
    <t>source/site</t>
  </si>
  <si>
    <t>warm or cool site</t>
  </si>
  <si>
    <t>ambient, warm sites</t>
  </si>
  <si>
    <t>biomass</t>
  </si>
  <si>
    <t>warmed, warm sites</t>
  </si>
  <si>
    <t>ambient, cool sites</t>
  </si>
  <si>
    <t>warmed, cool sites</t>
  </si>
  <si>
    <t>new1</t>
  </si>
  <si>
    <t>nep</t>
  </si>
  <si>
    <t>new2</t>
  </si>
  <si>
    <t>Manriquez, Patricio H.; Gonzalez, Claudio P.; Jara, Maria Elisa; Watsen, Sue-Ann; Torres, Rodrigo; Domenici, Paolo; Duarte, Cristian</t>
  </si>
  <si>
    <t>predatory starfish and snails impact mussel growth and traits</t>
  </si>
  <si>
    <t>snail, seastar</t>
  </si>
  <si>
    <t>ambient (15), warming (20)</t>
  </si>
  <si>
    <t>predator diversity</t>
  </si>
  <si>
    <t>seastar, snail, both</t>
  </si>
  <si>
    <t>OA</t>
  </si>
  <si>
    <t>ambient, elevated</t>
  </si>
  <si>
    <t>predator starfish; normal OA</t>
  </si>
  <si>
    <t>specific growth rate buoyant weight</t>
  </si>
  <si>
    <t>25 percentile</t>
  </si>
  <si>
    <t>%</t>
  </si>
  <si>
    <t>predatory snail; normal OA</t>
  </si>
  <si>
    <t>two predators; normal OA</t>
  </si>
  <si>
    <t>predator starfish; elevated OA</t>
  </si>
  <si>
    <t>calculated se from interquartile range</t>
  </si>
  <si>
    <t>predatory snail; elevated OA</t>
  </si>
  <si>
    <t>two predators; elevated OA</t>
  </si>
  <si>
    <t>new3</t>
  </si>
  <si>
    <t>Benitez, S.; Lagos, N. A.; Duarte, C.; Cid, M. Jose; Navarro, J. M.</t>
  </si>
  <si>
    <t>fig 3b has growth response</t>
  </si>
  <si>
    <t>ambient, warming</t>
  </si>
  <si>
    <t>ambient, normal OA</t>
  </si>
  <si>
    <t>mass increase</t>
  </si>
  <si>
    <t>mg / day</t>
  </si>
  <si>
    <t>3b</t>
  </si>
  <si>
    <t>ambient, elevated OA</t>
  </si>
  <si>
    <t>warm, normal OA</t>
  </si>
  <si>
    <t>warm, elevated OA</t>
  </si>
  <si>
    <t>new4</t>
  </si>
  <si>
    <t>Corbett, James J.; Trussell, Geoffrey C.</t>
  </si>
  <si>
    <t>1 b has tissue growth response</t>
  </si>
  <si>
    <t>field experiment has temperature kind of</t>
  </si>
  <si>
    <t>crab predators reduced mussel consumption in snails and impacted growth</t>
  </si>
  <si>
    <t>ambient S (+6), ambient N</t>
  </si>
  <si>
    <t>ambient (NCE)</t>
  </si>
  <si>
    <t>1b</t>
  </si>
  <si>
    <t>2 b has tissue growth response</t>
  </si>
  <si>
    <t>warm(NCE)</t>
  </si>
  <si>
    <t>ambient (tmie)</t>
  </si>
  <si>
    <t>warm (tmie)</t>
  </si>
  <si>
    <t>new5</t>
  </si>
  <si>
    <t>crab predators impcted snail growth</t>
  </si>
  <si>
    <t>tissue mass</t>
  </si>
  <si>
    <t>6b</t>
  </si>
  <si>
    <t>Local adaptation in trait-mediated trophic cascades</t>
  </si>
  <si>
    <t>nh</t>
  </si>
  <si>
    <t>fig 1 a has mussel consumption response</t>
  </si>
  <si>
    <t>per capita</t>
  </si>
  <si>
    <t>new6</t>
  </si>
  <si>
    <t>Amer, Nermeen R.; Stoks, Robby; Antol, Andrzej; Sniegula, Szymon</t>
  </si>
  <si>
    <t>crab and crayfish predators impact mass in two ponds</t>
  </si>
  <si>
    <t>ambient, warming (+4)</t>
  </si>
  <si>
    <t>pearch, crayfish, both</t>
  </si>
  <si>
    <t>ambient, Dabski, Perch then control</t>
  </si>
  <si>
    <t>mass at emergence</t>
  </si>
  <si>
    <t>warming, Dabski, Perch then control</t>
  </si>
  <si>
    <t>ambient, Dabski, Perch then perch</t>
  </si>
  <si>
    <t>warming, Dabski, Perch then perch</t>
  </si>
  <si>
    <t>ambient, Dabski, Crayfish then control</t>
  </si>
  <si>
    <t>warming, Dabski, Crayfish then control</t>
  </si>
  <si>
    <t>ambient, Dabski, Crayfish then crayfish</t>
  </si>
  <si>
    <t>warming, Dabski, Crayfish then crayfish</t>
  </si>
  <si>
    <t>ambient,  P?aszowski, Perch then control</t>
  </si>
  <si>
    <t>warming,  P?aszowski, Perch then control</t>
  </si>
  <si>
    <t>ambient,  P?aszowski, Perch then perch</t>
  </si>
  <si>
    <t>warming,  P?aszowski, Perch then perch</t>
  </si>
  <si>
    <t>ambient,  P?aszowski, Crayfish then control</t>
  </si>
  <si>
    <t>warming,  P?aszowski, Crayfish then control</t>
  </si>
  <si>
    <t>ambient,  P?aszowski, Crayfish then crayfish</t>
  </si>
  <si>
    <t>warming,  P?aszowski, Crayfish then crayfish</t>
  </si>
  <si>
    <t>new7</t>
  </si>
  <si>
    <t>Tscholl, Thomas; Nachman, Gosta; Spangl, Bernhard; Serve, Hanna Charlotte; Walzer, Andreas</t>
  </si>
  <si>
    <t>fig 8b oviposition rate</t>
  </si>
  <si>
    <t>mild (22.6), extreme (28.6)</t>
  </si>
  <si>
    <t xml:space="preserve">cue source </t>
  </si>
  <si>
    <t>volatile cues, contact cues, both</t>
  </si>
  <si>
    <t>mild, volatile</t>
  </si>
  <si>
    <t>oviposition rate</t>
  </si>
  <si>
    <t>CL</t>
  </si>
  <si>
    <t>mild, contact</t>
  </si>
  <si>
    <t>mild, both</t>
  </si>
  <si>
    <t>extreme, volatile</t>
  </si>
  <si>
    <t>extreme, contact</t>
  </si>
  <si>
    <t>extreme, both</t>
  </si>
  <si>
    <t>new8</t>
  </si>
  <si>
    <t>Vermiert, Anna-Maria; Pimentel, Iris Madge; Rehsen, Philipp M.; Meisner, Jonathan; Hollstein, Alexandra N.; Horstmann, Martin; Beermann, Arne J.; Leese, Florian; Weiss, Linda C.; Tollrian, Ralph</t>
  </si>
  <si>
    <t>fig 6, also salinity context</t>
  </si>
  <si>
    <t>salinity</t>
  </si>
  <si>
    <t>ambient, ambient</t>
  </si>
  <si>
    <t>body size</t>
  </si>
  <si>
    <t>ambient, increased</t>
  </si>
  <si>
    <t>new9</t>
  </si>
  <si>
    <t>Stahlschmidt, Zachary R.; Joura, Harnoor; Makarem, Jenna R.; Sun, Jodie L.</t>
  </si>
  <si>
    <t>body mass</t>
  </si>
  <si>
    <t>SEM</t>
  </si>
  <si>
    <t>warmed</t>
  </si>
  <si>
    <t>Hull, Wesley W.; Bourdeau, Paul E.</t>
  </si>
  <si>
    <t>Groves, Veronica; Brabant, Christophe; Boys, Madeline; Chapman, Lauren J.</t>
  </si>
  <si>
    <t>Baker, Matthew S.; Dobson, Annise M.; Sommer, Nathalie R.; Schmitz, Oswald J.; Trussell, Geoffrey C.</t>
  </si>
  <si>
    <t>Singh, Prabhjot; Yang, Louie H.</t>
  </si>
  <si>
    <t>Wos, Guillaume; Amer, Nermeen R.; Antol, Andrzej; Stoks, Robby; Sniegula, Szymon</t>
  </si>
  <si>
    <t>Additive multiple predator effects increase prey mortality under experimental warming in a rocky intertidal food web</t>
  </si>
  <si>
    <t>Blackchin shiner exposed to warming and predation risk exhibit changes in behavioural and physiological metrics of thermal tolerance</t>
  </si>
  <si>
    <t>Combined effects of climate change stressors and predators with contrasting feeding-digestion strategies on a mussel species</t>
  </si>
  <si>
    <t>Effects of ocean acidification and warming on physiological and behavioural responses of an herbivore snail to waterborne predator cues</t>
  </si>
  <si>
    <t>Hot and scared: how do heatwaves and predation risk impact resource acquisition and allocation?</t>
  </si>
  <si>
    <t>Local and regional geographic variation in inducible defenses</t>
  </si>
  <si>
    <t>Local Thermal Extremes Shape the Nature of Herbivore Plasticity That Controls Plant Communities</t>
  </si>
  <si>
    <t>Microgeographic differentiation in thermal and antipredator responses and their carry-over effects across life stages in a damselfly</t>
  </si>
  <si>
    <t>Microscale temperatures affect the incidence and implications of predator-avoidance behavior in monarch caterpillars</t>
  </si>
  <si>
    <t>Reproducing during Heat Waves: Influence of Juvenile and Adult Environment on Fecundity of a Pest Mite and Its Predator</t>
  </si>
  <si>
    <t>The impact of predator exposure and anthropogenic stressors on insect emergence in stream ecosystems</t>
  </si>
  <si>
    <t>Warming and latitude shape the non-consumptive effects of native and invasive alien crayfish predators on damselfly prey</t>
  </si>
  <si>
    <t>also has survival results - fig 3</t>
  </si>
  <si>
    <t>increased, ambient</t>
  </si>
  <si>
    <t>increased, increased</t>
  </si>
  <si>
    <t>also has survival results in fig 3 - need to extract</t>
  </si>
  <si>
    <t>survival rate</t>
  </si>
  <si>
    <t>ambient,  Płaszowski, Perch then control</t>
  </si>
  <si>
    <t>warming,  Płaszowski, Perch then control</t>
  </si>
  <si>
    <t>ambient,  Płaszowski, Perch then perch</t>
  </si>
  <si>
    <t>warming,  Płaszowski, Perch then perch</t>
  </si>
  <si>
    <t>ambient,  Płaszowski, Crayfish then control</t>
  </si>
  <si>
    <t>warming,  Płaszowski, Crayfish then control</t>
  </si>
  <si>
    <t>ambient,  Płaszowski, Crayfish then crayfish</t>
  </si>
  <si>
    <t>warming,  Płaszowski, Crayfish then crayfish</t>
  </si>
  <si>
    <t>emergence</t>
  </si>
  <si>
    <t>also have growth data in fig 3</t>
  </si>
  <si>
    <t>new10</t>
  </si>
  <si>
    <t>extract growth data from fig 2/dig into raw data from publicly available data</t>
  </si>
  <si>
    <t>ambient, Central, Noble crayfish</t>
  </si>
  <si>
    <t xml:space="preserve">growth </t>
  </si>
  <si>
    <t>ambient, High, Noble crayfish</t>
  </si>
  <si>
    <t>ambient,Central, Signal crayfish</t>
  </si>
  <si>
    <t>ambient, High, Signal crayfish</t>
  </si>
  <si>
    <t>ambient, Central,  spiny-cheek crayfish</t>
  </si>
  <si>
    <t>ambient, High,  spiny-cheek crayfish</t>
  </si>
  <si>
    <t>increased, Central, Noble crayfish</t>
  </si>
  <si>
    <t>increased, High, Noble crayfish</t>
  </si>
  <si>
    <t>increased, Central, Signal crayfish</t>
  </si>
  <si>
    <t>increased, High, Signal crayfish</t>
  </si>
  <si>
    <t>increased, Central, spiny-cheek crayfish</t>
  </si>
  <si>
    <t>increased, High, spiny-cheek crayfish</t>
  </si>
  <si>
    <t>supp data</t>
  </si>
  <si>
    <t>lattitude</t>
  </si>
  <si>
    <t>predator identity</t>
  </si>
  <si>
    <t>new6a</t>
  </si>
  <si>
    <t>new8a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</si>
</sst>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numFmts>
  <fonts count="27">
    <font>
      <sz val="11"/>
      <color theme="1"/>
      <name val="Calibri"/>
      <family val="2"/>
      <scheme val="minor"/>
    </font>
    <font>
      <b/>
      <sz val="11"/>
      <color theme="1"/>
      <name val="Calibri"/>
      <family val="2"/>
      <scheme val="minor"/>
    </font>
    <font>
      <sz val="11"/>
      <name val="Calibri"/>
      <family val="2"/>
      <scheme val="minor"/>
    </font>
    <font>
      <sz val="8"/>
      <name val="Calibri"/>
      <family val="2"/>
      <scheme val="minor"/>
    </font>
    <font>
      <i/>
      <sz val="11"/>
      <color theme="1"/>
      <name val="Calibri"/>
      <family val="2"/>
      <scheme val="minor"/>
    </font>
    <font>
      <sz val="11"/>
      <color rgb="FFFF0000"/>
      <name val="Calibri"/>
      <family val="2"/>
      <scheme val="minor"/>
    </font>
    <font>
      <sz val="11"/>
      <color theme="1"/>
      <name val="Calibri"/>
      <family val="2"/>
      <scheme val="minor"/>
    </font>
    <font>
      <sz val="11"/>
      <color rgb="FF000000"/>
      <name val="Calibri"/>
      <family val="2"/>
      <scheme val="minor"/>
    </font>
    <font>
      <b/>
      <sz val="11"/>
      <color rgb="FF000000"/>
      <name val="Calibri"/>
      <family val="2"/>
    </font>
    <font>
      <sz val="11"/>
      <color rgb="FF000000"/>
      <name val="Calibri"/>
      <family val="2"/>
    </font>
    <font>
      <sz val="10"/>
      <name val="Arial"/>
      <family val="2"/>
    </font>
    <font>
      <sz val="10"/>
      <color theme="1"/>
      <name val="Arial"/>
      <family val="2"/>
    </font>
    <font>
      <sz val="11"/>
      <color rgb="FF444444"/>
      <name val="Calibri"/>
      <family val="2"/>
      <charset val="1"/>
    </font>
    <font>
      <sz val="10"/>
      <color rgb="FF000000"/>
      <name val="Arial"/>
    </font>
    <font>
      <b/>
      <sz val="10"/>
      <color rgb="FF000000"/>
      <name val="Arial"/>
    </font>
    <font>
      <sz val="11"/>
      <name val="Calibri"/>
      <family val="2"/>
    </font>
    <font>
      <sz val="10"/>
      <color rgb="FF000000"/>
      <name val="Arial"/>
      <family val="2"/>
    </font>
    <font>
      <sz val="10"/>
      <color rgb="FF2C2C2C"/>
      <name val="Arial"/>
    </font>
    <font>
      <b/>
      <sz val="10"/>
      <name val="Arial"/>
      <family val="2"/>
    </font>
    <font>
      <sz val="11"/>
      <color rgb="FF0070C0"/>
      <name val="Calibri"/>
      <family val="2"/>
    </font>
    <font>
      <sz val="11"/>
      <color rgb="FF00B050"/>
      <name val="Calibri"/>
      <family val="2"/>
    </font>
    <font>
      <sz val="11"/>
      <color rgb="FF7030A0"/>
      <name val="Calibri"/>
      <family val="2"/>
    </font>
    <font>
      <b/>
      <sz val="11"/>
      <color rgb="FF7030A0"/>
      <name val="Calibri"/>
      <family val="2"/>
    </font>
    <font>
      <sz val="10"/>
      <name val="Arial"/>
    </font>
    <font>
      <sz val="9"/>
      <color rgb="FF2C2C2C"/>
      <name val="Inter"/>
      <charset val="1"/>
    </font>
    <font>
      <sz val="11"/>
      <color rgb="FF000000"/>
      <name val="Inter"/>
      <charset val="1"/>
    </font>
    <font>
      <sz val="11"/>
      <color rgb="FF000000"/>
      <name val="Aptos Narrow"/>
      <family val="2"/>
    </font>
  </fonts>
  <fills count="21">
    <fill>
      <patternFill patternType="none"/>
    </fill>
    <fill>
      <patternFill patternType="gray125"/>
    </fill>
    <fill>
      <patternFill patternType="solid">
        <fgColor theme="7" tint="0.79998168889431442"/>
        <bgColor indexed="65"/>
      </patternFill>
    </fill>
    <fill>
      <patternFill patternType="gray0625">
        <bgColor rgb="FFDEC8EE"/>
      </patternFill>
    </fill>
    <fill>
      <patternFill patternType="solid">
        <fgColor rgb="FFDEC8EE"/>
        <bgColor rgb="FF000000"/>
      </patternFill>
    </fill>
    <fill>
      <patternFill patternType="gray0625">
        <fgColor rgb="FF000000"/>
        <bgColor rgb="FFDEC8EE"/>
      </patternFill>
    </fill>
    <fill>
      <patternFill patternType="solid">
        <fgColor rgb="FF00B050"/>
        <bgColor rgb="FF000000"/>
      </patternFill>
    </fill>
    <fill>
      <patternFill patternType="solid">
        <fgColor theme="9" tint="0.39997558519241921"/>
        <bgColor indexed="65"/>
      </patternFill>
    </fill>
    <fill>
      <patternFill patternType="solid">
        <fgColor theme="9"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rgb="FFA9D08E"/>
        <bgColor rgb="FF000000"/>
      </patternFill>
    </fill>
    <fill>
      <patternFill patternType="solid">
        <fgColor rgb="FFE7E6E6"/>
        <bgColor indexed="64"/>
      </patternFill>
    </fill>
    <fill>
      <patternFill patternType="solid">
        <fgColor theme="2"/>
        <bgColor indexed="64"/>
      </patternFill>
    </fill>
    <fill>
      <patternFill patternType="solid">
        <fgColor rgb="FFFFFFFF"/>
        <bgColor indexed="64"/>
      </patternFill>
    </fill>
    <fill>
      <patternFill patternType="solid">
        <fgColor rgb="FFFFFF00"/>
        <bgColor indexed="64"/>
      </patternFill>
    </fill>
    <fill>
      <patternFill patternType="solid">
        <fgColor theme="0" tint="-0.249977111117893"/>
        <bgColor indexed="64"/>
      </patternFill>
    </fill>
    <fill>
      <patternFill patternType="solid">
        <fgColor rgb="FFF2F2F2"/>
        <bgColor rgb="FF000000"/>
      </patternFill>
    </fill>
    <fill>
      <patternFill patternType="solid">
        <fgColor rgb="FFC6E0B4"/>
        <bgColor rgb="FF000000"/>
      </patternFill>
    </fill>
    <fill>
      <patternFill patternType="solid">
        <fgColor rgb="FFF8CBAD"/>
        <bgColor rgb="FF000000"/>
      </patternFill>
    </fill>
    <fill>
      <patternFill patternType="solid">
        <fgColor rgb="FFFFFF00"/>
        <bgColor rgb="FF000000"/>
      </patternFill>
    </fill>
  </fills>
  <borders count="20">
    <border>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medium">
        <color rgb="FFC00000"/>
      </left>
      <right style="medium">
        <color rgb="FFC00000"/>
      </right>
      <top style="medium">
        <color rgb="FFC00000"/>
      </top>
      <bottom style="medium">
        <color rgb="FFC00000"/>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double">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s>
  <cellStyleXfs count="4">
    <xf numFmtId="0" fontId="0" fillId="0" borderId="0"/>
    <xf numFmtId="0" fontId="6" fillId="2" borderId="0" applyNumberFormat="0" applyBorder="0" applyAlignment="0" applyProtection="0"/>
    <xf numFmtId="0" fontId="6" fillId="3" borderId="0"/>
    <xf numFmtId="0" fontId="6" fillId="7" borderId="0" applyNumberFormat="0" applyBorder="0" applyAlignment="0" applyProtection="0"/>
  </cellStyleXfs>
  <cellXfs count="163">
    <xf numFmtId="0" fontId="0" fillId="0" borderId="0" xfId="0"/>
    <xf numFmtId="0" fontId="2" fillId="0" borderId="0" xfId="0" applyFont="1"/>
    <xf numFmtId="0" fontId="2" fillId="0" borderId="0" xfId="0" applyFont="1" applyAlignment="1">
      <alignment wrapText="1"/>
    </xf>
    <xf numFmtId="0" fontId="0" fillId="0" borderId="0" xfId="0" applyAlignment="1">
      <alignment wrapText="1"/>
    </xf>
    <xf numFmtId="0" fontId="0" fillId="0" borderId="1" xfId="0" applyBorder="1" applyAlignment="1">
      <alignment wrapText="1"/>
    </xf>
    <xf numFmtId="0" fontId="0" fillId="0" borderId="2" xfId="0" applyBorder="1"/>
    <xf numFmtId="0" fontId="0" fillId="0" borderId="1" xfId="0" applyBorder="1"/>
    <xf numFmtId="0" fontId="5" fillId="0" borderId="0" xfId="0" applyFont="1"/>
    <xf numFmtId="0" fontId="0" fillId="0" borderId="3" xfId="0" applyBorder="1"/>
    <xf numFmtId="0" fontId="2" fillId="0" borderId="1" xfId="0" applyFont="1" applyBorder="1" applyAlignment="1">
      <alignment wrapText="1"/>
    </xf>
    <xf numFmtId="0" fontId="2" fillId="0" borderId="1" xfId="0" applyFont="1" applyBorder="1"/>
    <xf numFmtId="0" fontId="2" fillId="0" borderId="4" xfId="0" applyFont="1" applyBorder="1" applyAlignment="1">
      <alignment wrapText="1"/>
    </xf>
    <xf numFmtId="0" fontId="5" fillId="0" borderId="1" xfId="0" applyFont="1" applyBorder="1"/>
    <xf numFmtId="0" fontId="6" fillId="0" borderId="0" xfId="1" applyFill="1" applyBorder="1"/>
    <xf numFmtId="0" fontId="0" fillId="0" borderId="0" xfId="1" applyFont="1" applyFill="1" applyBorder="1"/>
    <xf numFmtId="0" fontId="6" fillId="0" borderId="0" xfId="2" applyFill="1"/>
    <xf numFmtId="0" fontId="0" fillId="0" borderId="0" xfId="2" applyFont="1" applyFill="1"/>
    <xf numFmtId="0" fontId="2" fillId="0" borderId="5" xfId="0" applyFont="1" applyBorder="1"/>
    <xf numFmtId="0" fontId="2" fillId="0" borderId="5" xfId="0" applyFont="1" applyBorder="1" applyAlignment="1">
      <alignment wrapText="1"/>
    </xf>
    <xf numFmtId="0" fontId="2" fillId="0" borderId="4" xfId="0" applyFont="1" applyBorder="1"/>
    <xf numFmtId="0" fontId="0" fillId="0" borderId="5" xfId="0" applyBorder="1" applyAlignment="1">
      <alignment wrapText="1"/>
    </xf>
    <xf numFmtId="0" fontId="0" fillId="0" borderId="4" xfId="0" applyBorder="1" applyAlignment="1">
      <alignment wrapText="1"/>
    </xf>
    <xf numFmtId="0" fontId="2" fillId="0" borderId="6" xfId="0" applyFont="1" applyBorder="1"/>
    <xf numFmtId="0" fontId="7" fillId="0" borderId="7" xfId="0" applyFont="1" applyBorder="1" applyAlignment="1">
      <alignment horizontal="center" wrapText="1"/>
    </xf>
    <xf numFmtId="0" fontId="6" fillId="3" borderId="7" xfId="2" applyBorder="1"/>
    <xf numFmtId="0" fontId="7" fillId="0" borderId="7" xfId="0" applyFont="1" applyBorder="1"/>
    <xf numFmtId="0" fontId="7" fillId="0" borderId="7" xfId="0" applyFont="1" applyBorder="1" applyAlignment="1">
      <alignment wrapText="1"/>
    </xf>
    <xf numFmtId="0" fontId="0" fillId="0" borderId="7" xfId="0" applyBorder="1" applyAlignment="1">
      <alignment wrapText="1"/>
    </xf>
    <xf numFmtId="16" fontId="0" fillId="0" borderId="0" xfId="0" applyNumberFormat="1"/>
    <xf numFmtId="0" fontId="7" fillId="4" borderId="7" xfId="0" applyFont="1" applyFill="1" applyBorder="1" applyAlignment="1">
      <alignment wrapText="1"/>
    </xf>
    <xf numFmtId="14" fontId="7" fillId="5" borderId="7" xfId="0" applyNumberFormat="1" applyFont="1" applyFill="1" applyBorder="1"/>
    <xf numFmtId="0" fontId="7" fillId="5" borderId="7" xfId="0" applyFont="1" applyFill="1" applyBorder="1"/>
    <xf numFmtId="0" fontId="7" fillId="5" borderId="7" xfId="0" applyFont="1" applyFill="1" applyBorder="1" applyAlignment="1">
      <alignment wrapText="1"/>
    </xf>
    <xf numFmtId="0" fontId="7" fillId="6" borderId="7" xfId="0" applyFont="1" applyFill="1" applyBorder="1" applyAlignment="1">
      <alignment wrapText="1"/>
    </xf>
    <xf numFmtId="0" fontId="7" fillId="0" borderId="11" xfId="0" applyFont="1" applyBorder="1" applyAlignment="1">
      <alignment wrapText="1"/>
    </xf>
    <xf numFmtId="0" fontId="7" fillId="0" borderId="12" xfId="0" applyFont="1" applyBorder="1" applyAlignment="1">
      <alignment wrapText="1"/>
    </xf>
    <xf numFmtId="0" fontId="7" fillId="5" borderId="12" xfId="0" applyFont="1" applyFill="1" applyBorder="1" applyAlignment="1">
      <alignment wrapText="1"/>
    </xf>
    <xf numFmtId="0" fontId="7" fillId="4" borderId="11" xfId="0" applyFont="1" applyFill="1" applyBorder="1"/>
    <xf numFmtId="0" fontId="7" fillId="4" borderId="11" xfId="0" applyFont="1" applyFill="1" applyBorder="1" applyAlignment="1">
      <alignment wrapText="1"/>
    </xf>
    <xf numFmtId="0" fontId="7" fillId="0" borderId="0" xfId="0" applyFont="1" applyAlignment="1">
      <alignment wrapText="1"/>
    </xf>
    <xf numFmtId="0" fontId="0" fillId="0" borderId="7" xfId="0" applyBorder="1"/>
    <xf numFmtId="15" fontId="0" fillId="0" borderId="0" xfId="0" applyNumberFormat="1"/>
    <xf numFmtId="0" fontId="7" fillId="0" borderId="13" xfId="0" applyFont="1" applyBorder="1" applyAlignment="1">
      <alignment wrapText="1"/>
    </xf>
    <xf numFmtId="0" fontId="7" fillId="5" borderId="13" xfId="0" applyFont="1" applyFill="1" applyBorder="1" applyAlignment="1">
      <alignment wrapText="1"/>
    </xf>
    <xf numFmtId="14" fontId="0" fillId="0" borderId="0" xfId="0" applyNumberFormat="1" applyAlignment="1">
      <alignment wrapText="1"/>
    </xf>
    <xf numFmtId="0" fontId="1" fillId="0" borderId="7" xfId="0" applyFont="1" applyBorder="1" applyAlignment="1">
      <alignment wrapText="1"/>
    </xf>
    <xf numFmtId="0" fontId="7" fillId="5" borderId="13" xfId="0" applyFont="1" applyFill="1" applyBorder="1"/>
    <xf numFmtId="11" fontId="7" fillId="0" borderId="7" xfId="0" applyNumberFormat="1" applyFont="1" applyBorder="1" applyAlignment="1">
      <alignment wrapText="1"/>
    </xf>
    <xf numFmtId="0" fontId="4" fillId="0" borderId="0" xfId="0" applyFont="1" applyAlignment="1">
      <alignment wrapText="1"/>
    </xf>
    <xf numFmtId="0" fontId="1" fillId="0" borderId="0" xfId="0" applyFont="1"/>
    <xf numFmtId="0" fontId="7" fillId="0" borderId="16" xfId="0" applyFont="1" applyBorder="1" applyAlignment="1">
      <alignment wrapText="1"/>
    </xf>
    <xf numFmtId="0" fontId="0" fillId="0" borderId="17" xfId="0" applyBorder="1"/>
    <xf numFmtId="0" fontId="7" fillId="4" borderId="16" xfId="0" applyFont="1" applyFill="1" applyBorder="1" applyAlignment="1">
      <alignment wrapText="1"/>
    </xf>
    <xf numFmtId="0" fontId="7" fillId="4" borderId="18" xfId="0" applyFont="1" applyFill="1" applyBorder="1" applyAlignment="1">
      <alignment wrapText="1"/>
    </xf>
    <xf numFmtId="0" fontId="0" fillId="0" borderId="19" xfId="0" applyBorder="1"/>
    <xf numFmtId="14" fontId="7" fillId="4" borderId="7" xfId="0" applyNumberFormat="1" applyFont="1" applyFill="1" applyBorder="1"/>
    <xf numFmtId="0" fontId="7" fillId="4" borderId="7" xfId="0" applyFont="1" applyFill="1" applyBorder="1"/>
    <xf numFmtId="16" fontId="7" fillId="5" borderId="7" xfId="0" applyNumberFormat="1" applyFont="1" applyFill="1" applyBorder="1"/>
    <xf numFmtId="0" fontId="6" fillId="0" borderId="0" xfId="3" applyFill="1" applyBorder="1" applyAlignment="1">
      <alignment wrapText="1"/>
    </xf>
    <xf numFmtId="0" fontId="0" fillId="8" borderId="0" xfId="0" applyFill="1" applyAlignment="1">
      <alignment wrapText="1"/>
    </xf>
    <xf numFmtId="0" fontId="0" fillId="9" borderId="0" xfId="0" applyFill="1" applyAlignment="1">
      <alignment wrapText="1"/>
    </xf>
    <xf numFmtId="0" fontId="0" fillId="10" borderId="0" xfId="0" applyFill="1" applyAlignment="1">
      <alignment wrapText="1"/>
    </xf>
    <xf numFmtId="14" fontId="7" fillId="0" borderId="0" xfId="0" applyNumberFormat="1" applyFont="1" applyAlignment="1">
      <alignment wrapText="1"/>
    </xf>
    <xf numFmtId="0" fontId="7" fillId="0" borderId="0" xfId="0" applyFont="1" applyAlignment="1">
      <alignment horizontal="center" wrapText="1"/>
    </xf>
    <xf numFmtId="0" fontId="9" fillId="11" borderId="10" xfId="0" applyFont="1" applyFill="1" applyBorder="1"/>
    <xf numFmtId="0" fontId="7" fillId="5" borderId="11" xfId="0" applyFont="1" applyFill="1" applyBorder="1"/>
    <xf numFmtId="0" fontId="7" fillId="5" borderId="12" xfId="0" applyFont="1" applyFill="1" applyBorder="1"/>
    <xf numFmtId="0" fontId="10" fillId="12" borderId="0" xfId="0" applyFont="1" applyFill="1"/>
    <xf numFmtId="0" fontId="11" fillId="12" borderId="1" xfId="0" applyFont="1" applyFill="1" applyBorder="1"/>
    <xf numFmtId="14" fontId="10" fillId="12" borderId="0" xfId="0" applyNumberFormat="1" applyFont="1" applyFill="1"/>
    <xf numFmtId="0" fontId="10" fillId="12" borderId="1" xfId="0" applyFont="1" applyFill="1" applyBorder="1" applyAlignment="1">
      <alignment wrapText="1"/>
    </xf>
    <xf numFmtId="0" fontId="10" fillId="12" borderId="0" xfId="0" applyFont="1" applyFill="1" applyAlignment="1">
      <alignment wrapText="1"/>
    </xf>
    <xf numFmtId="0" fontId="10" fillId="0" borderId="0" xfId="0" applyFont="1"/>
    <xf numFmtId="0" fontId="10" fillId="0" borderId="1" xfId="0" applyFont="1" applyBorder="1"/>
    <xf numFmtId="14" fontId="10" fillId="0" borderId="0" xfId="0" applyNumberFormat="1" applyFont="1"/>
    <xf numFmtId="0" fontId="10" fillId="0" borderId="1" xfId="0" applyFont="1" applyBorder="1" applyAlignment="1">
      <alignment wrapText="1"/>
    </xf>
    <xf numFmtId="0" fontId="10" fillId="0" borderId="0" xfId="0" applyFont="1" applyAlignment="1">
      <alignment wrapText="1"/>
    </xf>
    <xf numFmtId="0" fontId="10" fillId="13" borderId="0" xfId="0" applyFont="1" applyFill="1"/>
    <xf numFmtId="0" fontId="12" fillId="0" borderId="0" xfId="0" applyFont="1" applyAlignment="1">
      <alignment wrapText="1"/>
    </xf>
    <xf numFmtId="0" fontId="13" fillId="0" borderId="1" xfId="0" applyFont="1" applyBorder="1" applyAlignment="1">
      <alignment wrapText="1"/>
    </xf>
    <xf numFmtId="0" fontId="15" fillId="14" borderId="0" xfId="0" applyFont="1" applyFill="1" applyAlignment="1">
      <alignment wrapText="1"/>
    </xf>
    <xf numFmtId="0" fontId="16" fillId="0" borderId="0" xfId="0" applyFont="1"/>
    <xf numFmtId="0" fontId="9" fillId="0" borderId="0" xfId="0" applyFont="1"/>
    <xf numFmtId="0" fontId="17" fillId="0" borderId="0" xfId="0" applyFont="1"/>
    <xf numFmtId="164" fontId="10" fillId="0" borderId="0" xfId="0" applyNumberFormat="1" applyFont="1" applyAlignment="1">
      <alignment wrapText="1"/>
    </xf>
    <xf numFmtId="0" fontId="16" fillId="0" borderId="0" xfId="0" applyFont="1" applyAlignment="1">
      <alignment wrapText="1"/>
    </xf>
    <xf numFmtId="0" fontId="16" fillId="13" borderId="0" xfId="0" applyFont="1" applyFill="1" applyAlignment="1">
      <alignment wrapText="1"/>
    </xf>
    <xf numFmtId="0" fontId="7" fillId="0" borderId="0" xfId="0" applyFont="1"/>
    <xf numFmtId="14" fontId="7" fillId="0" borderId="0" xfId="0" applyNumberFormat="1" applyFont="1"/>
    <xf numFmtId="0" fontId="10" fillId="12" borderId="1" xfId="0" applyFont="1" applyFill="1" applyBorder="1"/>
    <xf numFmtId="0" fontId="13" fillId="0" borderId="1" xfId="0" applyFont="1" applyBorder="1"/>
    <xf numFmtId="11" fontId="7" fillId="0" borderId="0" xfId="0" applyNumberFormat="1" applyFont="1"/>
    <xf numFmtId="2" fontId="0" fillId="0" borderId="0" xfId="0" applyNumberFormat="1"/>
    <xf numFmtId="2" fontId="0" fillId="0" borderId="0" xfId="0" applyNumberFormat="1" applyAlignment="1">
      <alignment wrapText="1"/>
    </xf>
    <xf numFmtId="0" fontId="15" fillId="0" borderId="0" xfId="0" applyFont="1"/>
    <xf numFmtId="0" fontId="9" fillId="0" borderId="1" xfId="0" applyFont="1" applyBorder="1"/>
    <xf numFmtId="0" fontId="18" fillId="0" borderId="0" xfId="0" applyFont="1"/>
    <xf numFmtId="0" fontId="11" fillId="15" borderId="0" xfId="0" applyFont="1" applyFill="1"/>
    <xf numFmtId="0" fontId="10" fillId="15" borderId="0" xfId="0" applyFont="1" applyFill="1"/>
    <xf numFmtId="0" fontId="0" fillId="15" borderId="0" xfId="0" applyFill="1"/>
    <xf numFmtId="0" fontId="10" fillId="16" borderId="0" xfId="0" applyFont="1" applyFill="1"/>
    <xf numFmtId="0" fontId="0" fillId="16" borderId="0" xfId="0" applyFill="1"/>
    <xf numFmtId="0" fontId="15" fillId="17" borderId="0" xfId="0" applyFont="1" applyFill="1"/>
    <xf numFmtId="164" fontId="15" fillId="0" borderId="0" xfId="0" applyNumberFormat="1" applyFont="1"/>
    <xf numFmtId="0" fontId="19" fillId="0" borderId="0" xfId="0" applyFont="1"/>
    <xf numFmtId="0" fontId="9" fillId="18" borderId="0" xfId="0" applyFont="1" applyFill="1"/>
    <xf numFmtId="0" fontId="21" fillId="0" borderId="0" xfId="0" applyFont="1"/>
    <xf numFmtId="0" fontId="9" fillId="19" borderId="0" xfId="0" applyFont="1" applyFill="1"/>
    <xf numFmtId="0" fontId="15" fillId="20" borderId="0" xfId="0" applyFont="1" applyFill="1"/>
    <xf numFmtId="0" fontId="9" fillId="20" borderId="0" xfId="0" applyFont="1" applyFill="1"/>
    <xf numFmtId="164" fontId="15" fillId="20" borderId="0" xfId="0" applyNumberFormat="1" applyFont="1" applyFill="1"/>
    <xf numFmtId="0" fontId="9" fillId="17" borderId="0" xfId="0" applyFont="1" applyFill="1"/>
    <xf numFmtId="0" fontId="20" fillId="0" borderId="0" xfId="0" applyFont="1"/>
    <xf numFmtId="0" fontId="15" fillId="0" borderId="1" xfId="0" applyFont="1" applyBorder="1"/>
    <xf numFmtId="0" fontId="0" fillId="0" borderId="2" xfId="0" applyBorder="1" applyAlignment="1">
      <alignment wrapText="1"/>
    </xf>
    <xf numFmtId="0" fontId="9" fillId="0" borderId="0" xfId="0" applyFont="1" applyAlignment="1">
      <alignment wrapText="1"/>
    </xf>
    <xf numFmtId="0" fontId="15" fillId="0" borderId="0" xfId="0" applyFont="1" applyAlignment="1">
      <alignment wrapText="1"/>
    </xf>
    <xf numFmtId="0" fontId="6" fillId="0" borderId="0" xfId="3" applyFill="1" applyBorder="1" applyAlignment="1"/>
    <xf numFmtId="14" fontId="6" fillId="0" borderId="0" xfId="3" applyNumberFormat="1" applyFill="1" applyBorder="1" applyAlignment="1"/>
    <xf numFmtId="16" fontId="6" fillId="0" borderId="0" xfId="3" applyNumberFormat="1" applyFill="1" applyBorder="1" applyAlignment="1"/>
    <xf numFmtId="0" fontId="23" fillId="0" borderId="0" xfId="0" applyFont="1"/>
    <xf numFmtId="14" fontId="23" fillId="0" borderId="0" xfId="0" applyNumberFormat="1" applyFont="1"/>
    <xf numFmtId="0" fontId="24" fillId="0" borderId="0" xfId="0" applyFont="1"/>
    <xf numFmtId="0" fontId="9" fillId="0" borderId="10" xfId="0" applyFont="1" applyBorder="1"/>
    <xf numFmtId="0" fontId="9" fillId="0" borderId="3" xfId="0" applyFont="1" applyBorder="1"/>
    <xf numFmtId="0" fontId="7" fillId="0" borderId="0" xfId="0" applyFont="1" applyAlignment="1">
      <alignment horizontal="center"/>
    </xf>
    <xf numFmtId="0" fontId="9" fillId="0" borderId="7" xfId="0" applyFont="1" applyBorder="1"/>
    <xf numFmtId="14" fontId="9" fillId="0" borderId="10" xfId="0" applyNumberFormat="1" applyFont="1" applyBorder="1"/>
    <xf numFmtId="0" fontId="9" fillId="0" borderId="12" xfId="0" applyFont="1" applyBorder="1"/>
    <xf numFmtId="14" fontId="9" fillId="0" borderId="3" xfId="0" applyNumberFormat="1" applyFont="1" applyBorder="1"/>
    <xf numFmtId="0" fontId="12" fillId="0" borderId="0" xfId="0" applyFont="1"/>
    <xf numFmtId="164" fontId="10" fillId="0" borderId="0" xfId="0" applyNumberFormat="1" applyFont="1"/>
    <xf numFmtId="14" fontId="0" fillId="0" borderId="0" xfId="0" applyNumberFormat="1"/>
    <xf numFmtId="0" fontId="25" fillId="0" borderId="0" xfId="0" applyFont="1"/>
    <xf numFmtId="0" fontId="26" fillId="0" borderId="0" xfId="0" applyFont="1"/>
    <xf numFmtId="0" fontId="7" fillId="15" borderId="0" xfId="0" applyFont="1" applyFill="1"/>
    <xf numFmtId="0" fontId="7" fillId="4" borderId="8" xfId="0" applyFont="1" applyFill="1" applyBorder="1" applyAlignment="1">
      <alignment wrapText="1"/>
    </xf>
    <xf numFmtId="0" fontId="7" fillId="4" borderId="9" xfId="0" applyFont="1" applyFill="1" applyBorder="1" applyAlignment="1">
      <alignment wrapText="1"/>
    </xf>
    <xf numFmtId="0" fontId="7" fillId="4" borderId="10" xfId="0" applyFont="1" applyFill="1" applyBorder="1" applyAlignment="1">
      <alignment wrapText="1"/>
    </xf>
    <xf numFmtId="0" fontId="7" fillId="0" borderId="8" xfId="0" applyFont="1" applyBorder="1" applyAlignment="1">
      <alignment horizontal="center" wrapText="1"/>
    </xf>
    <xf numFmtId="0" fontId="7" fillId="0" borderId="9" xfId="0" applyFont="1" applyBorder="1" applyAlignment="1">
      <alignment horizontal="center" wrapText="1"/>
    </xf>
    <xf numFmtId="0" fontId="7" fillId="0" borderId="10" xfId="0" applyFont="1" applyBorder="1" applyAlignment="1">
      <alignment horizontal="center" wrapText="1"/>
    </xf>
    <xf numFmtId="0" fontId="7" fillId="0" borderId="0" xfId="0" applyFont="1" applyAlignment="1">
      <alignment horizontal="center"/>
    </xf>
    <xf numFmtId="0" fontId="7" fillId="0" borderId="0" xfId="0" applyFont="1" applyAlignment="1">
      <alignment horizontal="center" wrapText="1"/>
    </xf>
    <xf numFmtId="0" fontId="6" fillId="3" borderId="7" xfId="2" applyBorder="1"/>
    <xf numFmtId="0" fontId="7" fillId="0" borderId="7" xfId="0" applyFont="1" applyBorder="1" applyAlignment="1">
      <alignment horizontal="center"/>
    </xf>
    <xf numFmtId="0" fontId="7" fillId="0" borderId="7" xfId="0" applyFont="1" applyBorder="1" applyAlignment="1">
      <alignment horizontal="center" wrapText="1"/>
    </xf>
    <xf numFmtId="0" fontId="7" fillId="5" borderId="11" xfId="0" applyFont="1" applyFill="1" applyBorder="1"/>
    <xf numFmtId="0" fontId="7" fillId="5" borderId="12" xfId="0" applyFont="1" applyFill="1" applyBorder="1"/>
    <xf numFmtId="0" fontId="7" fillId="0" borderId="11" xfId="0" applyFont="1" applyBorder="1" applyAlignment="1">
      <alignment wrapText="1"/>
    </xf>
    <xf numFmtId="0" fontId="7" fillId="0" borderId="12" xfId="0" applyFont="1" applyBorder="1" applyAlignment="1">
      <alignment wrapText="1"/>
    </xf>
    <xf numFmtId="0" fontId="7" fillId="6" borderId="11" xfId="0" applyFont="1" applyFill="1" applyBorder="1" applyAlignment="1">
      <alignment wrapText="1"/>
    </xf>
    <xf numFmtId="0" fontId="7" fillId="6" borderId="12" xfId="0" applyFont="1" applyFill="1" applyBorder="1" applyAlignment="1">
      <alignment wrapText="1"/>
    </xf>
    <xf numFmtId="14" fontId="7" fillId="5" borderId="11" xfId="0" applyNumberFormat="1" applyFont="1" applyFill="1" applyBorder="1"/>
    <xf numFmtId="14" fontId="7" fillId="5" borderId="12" xfId="0" applyNumberFormat="1" applyFont="1" applyFill="1" applyBorder="1"/>
    <xf numFmtId="0" fontId="0" fillId="0" borderId="16" xfId="0" applyBorder="1" applyAlignment="1">
      <alignment horizontal="left" vertical="top"/>
    </xf>
    <xf numFmtId="0" fontId="0" fillId="0" borderId="18" xfId="0" applyBorder="1" applyAlignment="1">
      <alignment horizontal="left" vertical="top"/>
    </xf>
    <xf numFmtId="0" fontId="0" fillId="0" borderId="17" xfId="0" applyBorder="1" applyAlignment="1">
      <alignment horizontal="left" vertical="top" wrapText="1"/>
    </xf>
    <xf numFmtId="0" fontId="0" fillId="0" borderId="19" xfId="0" applyBorder="1" applyAlignment="1">
      <alignment horizontal="left" vertical="top" wrapText="1"/>
    </xf>
    <xf numFmtId="0" fontId="1" fillId="0" borderId="14" xfId="0" applyFont="1" applyBorder="1" applyAlignment="1">
      <alignment horizontal="center"/>
    </xf>
    <xf numFmtId="0" fontId="1" fillId="0" borderId="15" xfId="0" applyFont="1" applyBorder="1" applyAlignment="1">
      <alignment horizontal="center"/>
    </xf>
    <xf numFmtId="0" fontId="8" fillId="0" borderId="14" xfId="0" applyFont="1" applyBorder="1" applyAlignment="1">
      <alignment horizontal="center" wrapText="1"/>
    </xf>
    <xf numFmtId="0" fontId="8" fillId="0" borderId="15" xfId="0" applyFont="1" applyBorder="1" applyAlignment="1">
      <alignment horizontal="center" wrapText="1"/>
    </xf>
  </cellXfs>
  <cellStyles count="4">
    <cellStyle name="20% - Accent4" xfId="1" builtinId="42"/>
    <cellStyle name="60% - Accent6" xfId="3" builtinId="52"/>
    <cellStyle name="Normal" xfId="0" builtinId="0"/>
    <cellStyle name="Style 1" xfId="2" xr:uid="{1A01FECE-7BB0-4824-9D5B-ECD75A84E03B}"/>
  </cellStyles>
  <dxfs count="7">
    <dxf>
      <fill>
        <patternFill>
          <bgColor rgb="FFFF7C80"/>
        </patternFill>
      </fill>
    </dxf>
    <dxf>
      <fill>
        <patternFill>
          <bgColor theme="9" tint="0.79998168889431442"/>
        </patternFill>
      </fill>
    </dxf>
    <dxf>
      <font>
        <color rgb="FF9C0006"/>
      </font>
      <fill>
        <patternFill>
          <bgColor rgb="FFFFC7CE"/>
        </patternFill>
      </fill>
    </dxf>
    <dxf>
      <fill>
        <patternFill>
          <bgColor rgb="FFFF7C80"/>
        </patternFill>
      </fill>
    </dxf>
    <dxf>
      <fill>
        <patternFill>
          <bgColor theme="9" tint="0.79998168889431442"/>
        </patternFill>
      </fill>
    </dxf>
    <dxf>
      <fill>
        <patternFill>
          <bgColor theme="4" tint="0.79998168889431442"/>
        </patternFill>
      </fill>
    </dxf>
    <dxf>
      <fill>
        <patternFill>
          <bgColor theme="4" tint="0.79998168889431442"/>
        </patternFill>
      </fill>
    </dxf>
  </dxfs>
  <tableStyles count="0" defaultTableStyle="TableStyleMedium2" defaultPivotStyle="PivotStyleLight16"/>
  <colors>
    <mruColors>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7F1F6-D487-4F1D-8684-E682572FCF39}">
  <dimension ref="A1:Y22"/>
  <sheetViews>
    <sheetView zoomScaleNormal="100" workbookViewId="0">
      <pane ySplit="1" topLeftCell="A2" activePane="bottomLeft" state="frozen"/>
      <selection activeCell="B1" sqref="B1"/>
      <selection pane="bottomLeft" activeCell="E11" sqref="E11"/>
    </sheetView>
  </sheetViews>
  <sheetFormatPr defaultColWidth="8.54296875" defaultRowHeight="14.5"/>
  <cols>
    <col min="1" max="1" width="13.453125" customWidth="1"/>
    <col min="3" max="3" width="8.54296875" style="6" customWidth="1"/>
    <col min="4" max="4" width="26.54296875" customWidth="1"/>
    <col min="5" max="5" width="106.1796875" style="3" customWidth="1"/>
    <col min="6" max="6" width="45.453125" customWidth="1"/>
    <col min="7" max="7" width="56.54296875" customWidth="1"/>
  </cols>
  <sheetData>
    <row r="1" spans="1:7" s="5" customFormat="1">
      <c r="A1" s="5" t="s">
        <v>756</v>
      </c>
      <c r="B1" s="5" t="s">
        <v>8</v>
      </c>
      <c r="C1" s="8" t="s">
        <v>757</v>
      </c>
      <c r="D1" s="5" t="s">
        <v>758</v>
      </c>
      <c r="E1" s="114" t="s">
        <v>759</v>
      </c>
      <c r="F1" s="5" t="s">
        <v>760</v>
      </c>
      <c r="G1" s="5" t="s">
        <v>3178</v>
      </c>
    </row>
    <row r="2" spans="1:7">
      <c r="A2" t="str">
        <f>B2&amp;""&amp;C2</f>
        <v>2011A18</v>
      </c>
      <c r="B2">
        <v>2011</v>
      </c>
      <c r="C2" s="6" t="s">
        <v>980</v>
      </c>
      <c r="D2" t="s">
        <v>981</v>
      </c>
      <c r="E2" s="2" t="s">
        <v>174</v>
      </c>
      <c r="F2" t="s">
        <v>983</v>
      </c>
    </row>
    <row r="3" spans="1:7">
      <c r="A3" s="1" t="str">
        <f>B3&amp;""&amp;C3</f>
        <v>2009Ex1-2377</v>
      </c>
      <c r="B3">
        <v>2009</v>
      </c>
      <c r="C3" s="6" t="s">
        <v>1742</v>
      </c>
      <c r="D3" s="15" t="s">
        <v>1743</v>
      </c>
      <c r="E3" s="3" t="s">
        <v>134</v>
      </c>
      <c r="G3" t="s">
        <v>3179</v>
      </c>
    </row>
    <row r="4" spans="1:7">
      <c r="A4" t="str">
        <f>B4&amp;""&amp;C4</f>
        <v>2017D20</v>
      </c>
      <c r="B4">
        <v>2017</v>
      </c>
      <c r="C4" s="6" t="s">
        <v>1163</v>
      </c>
      <c r="D4" t="s">
        <v>1367</v>
      </c>
      <c r="E4" s="3" t="s">
        <v>437</v>
      </c>
      <c r="F4" t="s">
        <v>1369</v>
      </c>
    </row>
    <row r="5" spans="1:7">
      <c r="A5" s="1" t="s">
        <v>671</v>
      </c>
      <c r="B5">
        <v>2018</v>
      </c>
      <c r="C5" s="6" t="s">
        <v>2324</v>
      </c>
      <c r="D5" t="s">
        <v>2663</v>
      </c>
      <c r="E5" s="3" t="s">
        <v>3078</v>
      </c>
      <c r="F5" t="s">
        <v>2665</v>
      </c>
    </row>
    <row r="6" spans="1:7" s="7" customFormat="1">
      <c r="A6" s="94" t="s">
        <v>687</v>
      </c>
      <c r="B6" s="82">
        <v>2018</v>
      </c>
      <c r="C6" s="95" t="s">
        <v>908</v>
      </c>
      <c r="D6" s="82" t="s">
        <v>2666</v>
      </c>
      <c r="E6" s="115" t="s">
        <v>2667</v>
      </c>
      <c r="F6" s="82" t="s">
        <v>2668</v>
      </c>
    </row>
    <row r="7" spans="1:7">
      <c r="A7" t="str">
        <f>B7&amp;""&amp;C7</f>
        <v>2017E38</v>
      </c>
      <c r="B7">
        <v>2017</v>
      </c>
      <c r="C7" s="6" t="s">
        <v>1442</v>
      </c>
      <c r="D7" t="s">
        <v>1443</v>
      </c>
      <c r="E7" s="3" t="s">
        <v>525</v>
      </c>
      <c r="F7" t="s">
        <v>1445</v>
      </c>
    </row>
    <row r="8" spans="1:7">
      <c r="A8" s="1" t="str">
        <f>B8&amp;""&amp;C8</f>
        <v>2014D9</v>
      </c>
      <c r="B8" s="2">
        <v>2014</v>
      </c>
      <c r="C8" s="10" t="s">
        <v>2442</v>
      </c>
      <c r="D8" t="s">
        <v>2443</v>
      </c>
      <c r="E8" s="3" t="s">
        <v>205</v>
      </c>
      <c r="F8" t="s">
        <v>2445</v>
      </c>
    </row>
    <row r="9" spans="1:7">
      <c r="A9" s="1" t="str">
        <f>B9&amp;""&amp;C9</f>
        <v>2015D4</v>
      </c>
      <c r="B9" s="3">
        <v>2015</v>
      </c>
      <c r="C9" s="6" t="s">
        <v>949</v>
      </c>
      <c r="D9" t="s">
        <v>2519</v>
      </c>
      <c r="E9" s="3" t="s">
        <v>188</v>
      </c>
      <c r="F9" t="s">
        <v>2521</v>
      </c>
    </row>
    <row r="10" spans="1:7">
      <c r="A10" t="str">
        <f>B10&amp;""&amp;C10</f>
        <v>2017D43</v>
      </c>
      <c r="B10">
        <v>2017</v>
      </c>
      <c r="C10" s="6" t="s">
        <v>1392</v>
      </c>
      <c r="D10" t="s">
        <v>1393</v>
      </c>
      <c r="E10" s="3" t="s">
        <v>456</v>
      </c>
      <c r="F10" t="s">
        <v>1395</v>
      </c>
    </row>
    <row r="11" spans="1:7">
      <c r="A11" s="82" t="s">
        <v>639</v>
      </c>
      <c r="B11" s="94">
        <v>2019</v>
      </c>
      <c r="C11" s="113">
        <v>1800</v>
      </c>
      <c r="D11" s="94" t="s">
        <v>2026</v>
      </c>
      <c r="E11" s="116" t="s">
        <v>640</v>
      </c>
    </row>
    <row r="12" spans="1:7" ht="29">
      <c r="A12" s="72" t="s">
        <v>579</v>
      </c>
      <c r="B12">
        <v>2022</v>
      </c>
      <c r="D12" t="s">
        <v>2922</v>
      </c>
      <c r="E12" s="3" t="s">
        <v>580</v>
      </c>
    </row>
    <row r="13" spans="1:7" ht="29">
      <c r="A13" s="72" t="s">
        <v>606</v>
      </c>
      <c r="B13">
        <v>2021</v>
      </c>
      <c r="C13"/>
      <c r="D13" t="s">
        <v>2927</v>
      </c>
      <c r="E13" s="3" t="s">
        <v>607</v>
      </c>
    </row>
    <row r="14" spans="1:7">
      <c r="A14" s="1" t="str">
        <f>B14&amp;""&amp;C14</f>
        <v>2015A60</v>
      </c>
      <c r="B14" s="3">
        <v>2015</v>
      </c>
      <c r="C14" s="3" t="s">
        <v>1533</v>
      </c>
      <c r="D14" t="s">
        <v>2492</v>
      </c>
      <c r="E14" s="3" t="s">
        <v>324</v>
      </c>
      <c r="F14" t="s">
        <v>2493</v>
      </c>
    </row>
    <row r="15" spans="1:7">
      <c r="A15" s="1" t="str">
        <f>B15&amp;""&amp;C15</f>
        <v>2014Ex1-1188</v>
      </c>
      <c r="B15" s="1">
        <v>2014</v>
      </c>
      <c r="C15" t="s">
        <v>1847</v>
      </c>
      <c r="D15" t="s">
        <v>1848</v>
      </c>
      <c r="E15" s="3" t="s">
        <v>293</v>
      </c>
    </row>
    <row r="16" spans="1:7">
      <c r="A16" s="72" t="s">
        <v>561</v>
      </c>
      <c r="B16">
        <v>2022</v>
      </c>
      <c r="C16"/>
      <c r="D16" t="s">
        <v>2917</v>
      </c>
      <c r="E16" s="3" t="s">
        <v>562</v>
      </c>
    </row>
    <row r="17" spans="1:25">
      <c r="A17" s="1" t="str">
        <f t="shared" ref="A17:A22" si="0">B17&amp;""&amp;C17</f>
        <v>2016Ex1-2402</v>
      </c>
      <c r="B17">
        <v>2016</v>
      </c>
      <c r="C17" t="s">
        <v>1912</v>
      </c>
      <c r="D17" t="s">
        <v>1913</v>
      </c>
      <c r="E17" s="3" t="s">
        <v>227</v>
      </c>
    </row>
    <row r="18" spans="1:25">
      <c r="A18" s="1" t="str">
        <f t="shared" si="0"/>
        <v>2017Ex1-1665</v>
      </c>
      <c r="B18">
        <v>2017</v>
      </c>
      <c r="C18" t="s">
        <v>1956</v>
      </c>
      <c r="D18" s="1" t="s">
        <v>1957</v>
      </c>
      <c r="E18" s="3" t="s">
        <v>249</v>
      </c>
    </row>
    <row r="19" spans="1:25">
      <c r="A19" s="1" t="str">
        <f t="shared" si="0"/>
        <v>2012Ex1-69</v>
      </c>
      <c r="B19" s="1">
        <v>2012</v>
      </c>
      <c r="C19" t="s">
        <v>1806</v>
      </c>
      <c r="D19" s="1" t="s">
        <v>1807</v>
      </c>
      <c r="E19" s="3" t="s">
        <v>542</v>
      </c>
      <c r="I19" s="94"/>
      <c r="J19" s="103"/>
      <c r="K19" s="94"/>
      <c r="L19" s="94"/>
      <c r="M19" s="94"/>
      <c r="N19" s="94"/>
      <c r="O19" s="94"/>
      <c r="P19" s="82"/>
      <c r="Q19" s="82"/>
      <c r="R19" s="82"/>
      <c r="S19" s="94"/>
      <c r="T19" s="94"/>
      <c r="U19" s="94"/>
      <c r="V19" s="82"/>
      <c r="W19" s="94"/>
      <c r="X19" s="94"/>
      <c r="Y19" s="94"/>
    </row>
    <row r="20" spans="1:25">
      <c r="A20" s="1" t="str">
        <f t="shared" si="0"/>
        <v>2017Ex1-1918</v>
      </c>
      <c r="B20">
        <v>2017</v>
      </c>
      <c r="C20" s="6" t="s">
        <v>1958</v>
      </c>
      <c r="D20" t="s">
        <v>1959</v>
      </c>
      <c r="E20" s="3" t="s">
        <v>267</v>
      </c>
    </row>
    <row r="21" spans="1:25">
      <c r="A21" t="str">
        <f t="shared" si="0"/>
        <v>2017D1</v>
      </c>
      <c r="B21">
        <v>2017</v>
      </c>
      <c r="C21" s="6" t="s">
        <v>1020</v>
      </c>
      <c r="D21" t="s">
        <v>1358</v>
      </c>
      <c r="E21" s="3" t="s">
        <v>366</v>
      </c>
      <c r="F21" t="s">
        <v>1360</v>
      </c>
    </row>
    <row r="22" spans="1:25">
      <c r="A22" t="str">
        <f t="shared" si="0"/>
        <v>2016D7</v>
      </c>
      <c r="B22">
        <v>2016</v>
      </c>
      <c r="C22" s="6" t="s">
        <v>953</v>
      </c>
      <c r="D22" t="s">
        <v>1296</v>
      </c>
      <c r="E22" s="3" t="s">
        <v>3077</v>
      </c>
      <c r="F22" t="s">
        <v>1298</v>
      </c>
    </row>
  </sheetData>
  <autoFilter ref="A1:F15" xr:uid="{1E813A2B-AE5F-4ABF-858B-9AAA1AC393D1}"/>
  <sortState xmlns:xlrd2="http://schemas.microsoft.com/office/spreadsheetml/2017/richdata2" ref="A2:F22">
    <sortCondition ref="E2:E22"/>
  </sortState>
  <dataValidations count="1">
    <dataValidation type="whole" allowBlank="1" showInputMessage="1" showErrorMessage="1" sqref="B5" xr:uid="{3E81F19A-3EA2-440D-B0A1-731A094BBB85}">
      <formula1>1990</formula1>
      <formula2>2019</formula2>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76221-8A84-4F97-93BC-794DB1956ABD}">
  <dimension ref="A1:CF44"/>
  <sheetViews>
    <sheetView zoomScale="70" zoomScaleNormal="70" workbookViewId="0">
      <pane ySplit="2" topLeftCell="A25" activePane="bottomLeft" state="frozen"/>
      <selection pane="bottomLeft" activeCell="A2" sqref="A2:XFD2"/>
    </sheetView>
  </sheetViews>
  <sheetFormatPr defaultColWidth="8.54296875" defaultRowHeight="14.5"/>
  <cols>
    <col min="1" max="1" width="8.54296875" style="3"/>
    <col min="2" max="2" width="17.54296875" style="3" customWidth="1"/>
    <col min="3" max="3" width="8.54296875" style="3"/>
    <col min="4" max="4" width="18.54296875" style="3" customWidth="1"/>
    <col min="5" max="5" width="11.453125" style="3" bestFit="1" customWidth="1"/>
    <col min="6" max="8" width="8.54296875" style="3"/>
    <col min="9" max="9" width="77.453125" style="3" customWidth="1"/>
    <col min="10" max="10" width="54.54296875" style="3" customWidth="1"/>
    <col min="11" max="13" width="8.54296875" style="3"/>
    <col min="14" max="14" width="66" style="3" customWidth="1"/>
    <col min="15" max="16" width="8.54296875" style="3"/>
    <col min="17" max="17" width="26" style="3" customWidth="1"/>
    <col min="18" max="22" width="8.54296875" style="3"/>
    <col min="23" max="23" width="29.81640625" style="3" customWidth="1"/>
    <col min="24" max="24" width="27.54296875" style="3" customWidth="1"/>
    <col min="25" max="25" width="8.54296875" style="3"/>
    <col min="26" max="26" width="23.453125" style="3" customWidth="1"/>
    <col min="27" max="27" width="16.1796875" style="3" bestFit="1" customWidth="1"/>
    <col min="28" max="28" width="8.54296875" style="3"/>
    <col min="29" max="29" width="24.54296875" style="3" customWidth="1"/>
    <col min="30" max="30" width="23.453125" style="3" customWidth="1"/>
    <col min="31" max="31" width="12.81640625" style="3" bestFit="1" customWidth="1"/>
    <col min="32" max="33" width="8.54296875" style="3"/>
    <col min="34" max="34" width="20.54296875" style="3" customWidth="1"/>
    <col min="35" max="35" width="15" style="3" bestFit="1" customWidth="1"/>
    <col min="36" max="39" width="8.54296875" style="3"/>
    <col min="40" max="40" width="13" style="3" bestFit="1" customWidth="1"/>
    <col min="41" max="41" width="8.54296875" style="3"/>
    <col min="42" max="42" width="13.1796875" style="3" bestFit="1" customWidth="1"/>
    <col min="43" max="46" width="8.54296875" style="3"/>
    <col min="47" max="47" width="56" style="3" customWidth="1"/>
    <col min="48" max="48" width="8.54296875" style="3"/>
    <col min="49" max="52" width="0" style="3" hidden="1" customWidth="1"/>
    <col min="53" max="53" width="20" style="3" hidden="1" customWidth="1"/>
    <col min="54" max="58" width="0" style="3" hidden="1" customWidth="1"/>
    <col min="59" max="59" width="38.1796875" style="3" hidden="1" customWidth="1"/>
    <col min="60" max="66" width="0" style="3" hidden="1" customWidth="1"/>
    <col min="67" max="67" width="20.81640625" style="3" customWidth="1"/>
    <col min="68" max="68" width="28.54296875" style="3" customWidth="1"/>
    <col min="69" max="69" width="16.1796875" style="3" customWidth="1"/>
    <col min="70" max="70" width="8.54296875" style="3"/>
    <col min="71" max="71" width="11.453125" style="3" bestFit="1" customWidth="1"/>
    <col min="72" max="74" width="8.54296875" style="3"/>
    <col min="75" max="75" width="12.81640625" style="3" bestFit="1" customWidth="1"/>
    <col min="76" max="76" width="11.453125" style="3" bestFit="1" customWidth="1"/>
    <col min="77" max="81" width="8.54296875" style="3"/>
    <col min="82" max="82" width="40.453125" style="3" customWidth="1"/>
    <col min="83" max="16384" width="8.54296875" style="3"/>
  </cols>
  <sheetData>
    <row r="1" spans="1:84" ht="14.75" customHeight="1">
      <c r="A1" s="26"/>
      <c r="B1" s="139" t="s">
        <v>0</v>
      </c>
      <c r="C1" s="140"/>
      <c r="D1" s="141"/>
      <c r="E1" s="136" t="s">
        <v>1</v>
      </c>
      <c r="F1" s="137"/>
      <c r="G1" s="137"/>
      <c r="H1" s="137"/>
      <c r="I1" s="138"/>
      <c r="J1" s="139" t="s">
        <v>2</v>
      </c>
      <c r="K1" s="140"/>
      <c r="L1" s="140"/>
      <c r="M1" s="140"/>
      <c r="N1" s="140"/>
      <c r="O1" s="140"/>
      <c r="P1" s="140"/>
      <c r="Q1" s="140"/>
      <c r="R1" s="141"/>
      <c r="S1" s="139"/>
      <c r="T1" s="140"/>
      <c r="U1" s="140"/>
      <c r="V1" s="140"/>
      <c r="W1" s="140"/>
      <c r="X1" s="140"/>
      <c r="Y1" s="140"/>
      <c r="Z1" s="140"/>
      <c r="AA1" s="141"/>
      <c r="AB1" s="139" t="s">
        <v>3</v>
      </c>
      <c r="AC1" s="140"/>
      <c r="AD1" s="140"/>
      <c r="AE1" s="140"/>
      <c r="AF1" s="140"/>
      <c r="AG1" s="140"/>
      <c r="AH1" s="140"/>
      <c r="AI1" s="140"/>
      <c r="AJ1" s="140"/>
      <c r="AK1" s="140"/>
      <c r="AL1" s="140"/>
      <c r="AM1" s="140"/>
      <c r="AN1" s="140"/>
      <c r="AO1" s="140"/>
      <c r="AP1" s="140"/>
      <c r="AQ1" s="140"/>
      <c r="AR1" s="140"/>
      <c r="AS1" s="140"/>
      <c r="AT1" s="140"/>
      <c r="AU1" s="140"/>
      <c r="AV1" s="140"/>
      <c r="AW1" s="140"/>
      <c r="AX1" s="140"/>
      <c r="AY1" s="140"/>
      <c r="AZ1" s="140"/>
      <c r="BA1" s="140"/>
      <c r="BB1" s="141"/>
      <c r="BC1" s="23"/>
      <c r="BD1" s="23"/>
      <c r="BE1" s="23"/>
      <c r="BF1" s="23"/>
      <c r="BG1" s="23"/>
      <c r="BH1" s="23"/>
      <c r="BI1" s="23"/>
      <c r="BJ1" s="23"/>
      <c r="BK1" s="23"/>
      <c r="BL1" s="23"/>
      <c r="BM1" s="23"/>
      <c r="BN1" s="23"/>
      <c r="BO1" s="136" t="s">
        <v>4</v>
      </c>
      <c r="BP1" s="137"/>
      <c r="BQ1" s="138"/>
      <c r="BR1" s="136" t="s">
        <v>5</v>
      </c>
      <c r="BS1" s="137"/>
      <c r="BT1" s="137"/>
      <c r="BU1" s="137"/>
      <c r="BV1" s="138"/>
      <c r="BW1" s="136" t="s">
        <v>6</v>
      </c>
      <c r="BX1" s="137"/>
      <c r="BY1" s="137"/>
      <c r="BZ1" s="137"/>
      <c r="CA1" s="138"/>
      <c r="CB1" s="29"/>
      <c r="CC1" s="29"/>
      <c r="CD1" s="29"/>
      <c r="CE1" s="26"/>
    </row>
    <row r="2" spans="1:84" ht="43.5">
      <c r="A2" s="26"/>
      <c r="B2" s="26" t="s">
        <v>7</v>
      </c>
      <c r="C2" s="26" t="s">
        <v>8</v>
      </c>
      <c r="D2" s="26" t="s">
        <v>9</v>
      </c>
      <c r="E2" s="29" t="s">
        <v>10</v>
      </c>
      <c r="F2" s="29" t="s">
        <v>11</v>
      </c>
      <c r="G2" s="29" t="s">
        <v>12</v>
      </c>
      <c r="H2" s="29" t="s">
        <v>13</v>
      </c>
      <c r="I2" s="29" t="s">
        <v>14</v>
      </c>
      <c r="J2" s="26" t="s">
        <v>15</v>
      </c>
      <c r="K2" s="26" t="s">
        <v>16</v>
      </c>
      <c r="L2" s="26" t="s">
        <v>17</v>
      </c>
      <c r="M2" s="26" t="s">
        <v>18</v>
      </c>
      <c r="N2" s="26" t="s">
        <v>19</v>
      </c>
      <c r="O2" s="26" t="s">
        <v>20</v>
      </c>
      <c r="P2" s="26" t="s">
        <v>21</v>
      </c>
      <c r="Q2" s="26" t="s">
        <v>22</v>
      </c>
      <c r="R2" s="26" t="s">
        <v>23</v>
      </c>
      <c r="S2" s="26" t="s">
        <v>24</v>
      </c>
      <c r="T2" s="26" t="s">
        <v>25</v>
      </c>
      <c r="U2" s="26" t="s">
        <v>26</v>
      </c>
      <c r="V2" s="26" t="s">
        <v>27</v>
      </c>
      <c r="W2" s="26" t="s">
        <v>28</v>
      </c>
      <c r="X2" s="26" t="s">
        <v>29</v>
      </c>
      <c r="Y2" s="26" t="s">
        <v>30</v>
      </c>
      <c r="Z2" s="26" t="s">
        <v>31</v>
      </c>
      <c r="AA2" s="26" t="s">
        <v>32</v>
      </c>
      <c r="AB2" s="26" t="s">
        <v>33</v>
      </c>
      <c r="AC2" s="26" t="s">
        <v>34</v>
      </c>
      <c r="AD2" s="26" t="s">
        <v>35</v>
      </c>
      <c r="AE2" s="26" t="s">
        <v>36</v>
      </c>
      <c r="AF2" s="26" t="s">
        <v>37</v>
      </c>
      <c r="AG2" s="26" t="s">
        <v>38</v>
      </c>
      <c r="AH2" s="26" t="s">
        <v>39</v>
      </c>
      <c r="AI2" s="26" t="s">
        <v>40</v>
      </c>
      <c r="AJ2" s="26" t="s">
        <v>41</v>
      </c>
      <c r="AK2" s="26" t="s">
        <v>42</v>
      </c>
      <c r="AL2" s="26" t="s">
        <v>43</v>
      </c>
      <c r="AM2" s="26" t="s">
        <v>44</v>
      </c>
      <c r="AN2" s="26" t="s">
        <v>45</v>
      </c>
      <c r="AO2" s="26" t="s">
        <v>46</v>
      </c>
      <c r="AP2" s="26" t="s">
        <v>47</v>
      </c>
      <c r="AQ2" s="26" t="s">
        <v>48</v>
      </c>
      <c r="AR2" s="26" t="s">
        <v>49</v>
      </c>
      <c r="AS2" s="26" t="s">
        <v>50</v>
      </c>
      <c r="AT2" s="26" t="s">
        <v>51</v>
      </c>
      <c r="AU2" s="26" t="s">
        <v>52</v>
      </c>
      <c r="AV2" s="26" t="s">
        <v>53</v>
      </c>
      <c r="AW2" s="26" t="s">
        <v>54</v>
      </c>
      <c r="AX2" s="26" t="s">
        <v>55</v>
      </c>
      <c r="AY2" s="26" t="s">
        <v>56</v>
      </c>
      <c r="AZ2" s="26" t="s">
        <v>57</v>
      </c>
      <c r="BA2" s="26" t="s">
        <v>58</v>
      </c>
      <c r="BB2" s="26" t="s">
        <v>59</v>
      </c>
      <c r="BC2" s="26" t="s">
        <v>60</v>
      </c>
      <c r="BD2" s="26" t="s">
        <v>61</v>
      </c>
      <c r="BE2" s="26" t="s">
        <v>62</v>
      </c>
      <c r="BF2" s="26" t="s">
        <v>63</v>
      </c>
      <c r="BG2" s="26" t="s">
        <v>64</v>
      </c>
      <c r="BH2" s="26" t="s">
        <v>65</v>
      </c>
      <c r="BI2" s="26" t="s">
        <v>66</v>
      </c>
      <c r="BJ2" s="26" t="s">
        <v>67</v>
      </c>
      <c r="BK2" s="26" t="s">
        <v>68</v>
      </c>
      <c r="BL2" s="26" t="s">
        <v>69</v>
      </c>
      <c r="BM2" s="26" t="s">
        <v>70</v>
      </c>
      <c r="BN2" s="26" t="s">
        <v>71</v>
      </c>
      <c r="BO2" s="29" t="s">
        <v>72</v>
      </c>
      <c r="BP2" s="29" t="s">
        <v>73</v>
      </c>
      <c r="BQ2" s="29" t="s">
        <v>74</v>
      </c>
      <c r="BR2" s="29" t="s">
        <v>75</v>
      </c>
      <c r="BS2" s="29" t="s">
        <v>76</v>
      </c>
      <c r="BT2" s="29" t="s">
        <v>77</v>
      </c>
      <c r="BU2" s="29" t="s">
        <v>78</v>
      </c>
      <c r="BV2" s="29" t="s">
        <v>79</v>
      </c>
      <c r="BW2" s="29" t="s">
        <v>80</v>
      </c>
      <c r="BX2" s="29" t="s">
        <v>81</v>
      </c>
      <c r="BY2" s="29" t="s">
        <v>82</v>
      </c>
      <c r="BZ2" s="29" t="s">
        <v>83</v>
      </c>
      <c r="CA2" s="29" t="s">
        <v>84</v>
      </c>
      <c r="CB2" s="29" t="s">
        <v>85</v>
      </c>
      <c r="CC2" s="29" t="s">
        <v>86</v>
      </c>
      <c r="CD2" s="29" t="s">
        <v>87</v>
      </c>
      <c r="CE2" s="26"/>
    </row>
    <row r="3" spans="1:84" ht="101.5">
      <c r="A3" s="42">
        <v>6</v>
      </c>
      <c r="B3" s="34" t="s">
        <v>88</v>
      </c>
      <c r="C3" s="34">
        <v>2013</v>
      </c>
      <c r="D3" s="34" t="s">
        <v>89</v>
      </c>
      <c r="E3" s="44">
        <v>44875</v>
      </c>
      <c r="F3" s="3" t="s">
        <v>90</v>
      </c>
      <c r="G3" s="43" t="s">
        <v>91</v>
      </c>
      <c r="H3" s="3">
        <v>2</v>
      </c>
      <c r="I3" s="43" t="s">
        <v>92</v>
      </c>
      <c r="J3" s="35" t="s">
        <v>93</v>
      </c>
      <c r="K3" s="35" t="s">
        <v>94</v>
      </c>
      <c r="L3" s="35" t="s">
        <v>94</v>
      </c>
      <c r="M3" s="35" t="s">
        <v>95</v>
      </c>
      <c r="N3" s="35" t="s">
        <v>96</v>
      </c>
      <c r="O3" s="35" t="s">
        <v>97</v>
      </c>
      <c r="P3" s="35" t="s">
        <v>97</v>
      </c>
      <c r="Q3" s="35"/>
      <c r="R3" s="35"/>
      <c r="S3" s="35" t="s">
        <v>90</v>
      </c>
      <c r="T3" s="35" t="s">
        <v>98</v>
      </c>
      <c r="U3" s="35" t="s">
        <v>99</v>
      </c>
      <c r="V3" s="35">
        <v>1</v>
      </c>
      <c r="W3" s="35" t="s">
        <v>100</v>
      </c>
      <c r="X3" s="35" t="s">
        <v>101</v>
      </c>
      <c r="Y3" s="35" t="s">
        <v>102</v>
      </c>
      <c r="Z3" s="35" t="s">
        <v>103</v>
      </c>
      <c r="AA3" s="35" t="s">
        <v>104</v>
      </c>
      <c r="AB3" s="35" t="s">
        <v>105</v>
      </c>
      <c r="AC3" s="35" t="s">
        <v>106</v>
      </c>
      <c r="AD3" s="35" t="s">
        <v>107</v>
      </c>
      <c r="AE3" s="35" t="s">
        <v>108</v>
      </c>
      <c r="AF3" s="35">
        <v>3</v>
      </c>
      <c r="AG3" s="35" t="s">
        <v>90</v>
      </c>
      <c r="AH3" s="35" t="s">
        <v>109</v>
      </c>
      <c r="AI3" s="35" t="s">
        <v>110</v>
      </c>
      <c r="AJ3" s="35">
        <v>2</v>
      </c>
      <c r="AK3" s="35" t="s">
        <v>99</v>
      </c>
      <c r="AL3" s="35" t="s">
        <v>94</v>
      </c>
      <c r="AM3" s="35" t="s">
        <v>94</v>
      </c>
      <c r="AN3" s="35" t="s">
        <v>111</v>
      </c>
      <c r="AO3" s="35" t="s">
        <v>111</v>
      </c>
      <c r="AP3" s="35" t="s">
        <v>112</v>
      </c>
      <c r="AQ3" s="35" t="s">
        <v>113</v>
      </c>
      <c r="AR3" s="35" t="s">
        <v>114</v>
      </c>
      <c r="AS3" s="35" t="s">
        <v>115</v>
      </c>
      <c r="AT3" s="35" t="s">
        <v>116</v>
      </c>
      <c r="AU3" s="35" t="s">
        <v>117</v>
      </c>
      <c r="AV3" s="35">
        <v>2</v>
      </c>
      <c r="AW3" s="35" t="s">
        <v>118</v>
      </c>
      <c r="AX3" s="35" t="s">
        <v>119</v>
      </c>
      <c r="AY3" s="35" t="s">
        <v>120</v>
      </c>
      <c r="AZ3" s="35" t="s">
        <v>116</v>
      </c>
      <c r="BA3" s="35" t="s">
        <v>121</v>
      </c>
      <c r="BB3" s="35">
        <v>2</v>
      </c>
      <c r="BC3" s="35" t="s">
        <v>122</v>
      </c>
      <c r="BD3" s="35" t="s">
        <v>123</v>
      </c>
      <c r="BE3" s="35" t="s">
        <v>124</v>
      </c>
      <c r="BF3" s="35" t="s">
        <v>116</v>
      </c>
      <c r="BG3" s="35" t="s">
        <v>125</v>
      </c>
      <c r="BH3" s="35">
        <v>2</v>
      </c>
      <c r="BI3" s="35"/>
      <c r="BJ3" s="35"/>
      <c r="BK3" s="35"/>
      <c r="BL3" s="35"/>
      <c r="BM3" s="35"/>
      <c r="BN3" s="35"/>
      <c r="BO3" s="35" t="s">
        <v>126</v>
      </c>
      <c r="BP3" s="3" t="s">
        <v>127</v>
      </c>
      <c r="BQ3" s="36" t="s">
        <v>128</v>
      </c>
      <c r="BR3" s="36" t="s">
        <v>111</v>
      </c>
      <c r="BS3" s="36">
        <v>0.39075000000000004</v>
      </c>
      <c r="BT3" s="36">
        <v>0.44074999999999998</v>
      </c>
      <c r="BU3" s="36" t="s">
        <v>129</v>
      </c>
      <c r="BV3" s="36">
        <v>16</v>
      </c>
      <c r="BW3" s="36" t="s">
        <v>111</v>
      </c>
      <c r="BX3" s="36">
        <v>0.30499999999999999</v>
      </c>
      <c r="BY3" s="36">
        <v>0.34599999999999997</v>
      </c>
      <c r="BZ3" s="36" t="s">
        <v>129</v>
      </c>
      <c r="CA3" s="36">
        <v>16</v>
      </c>
      <c r="CB3" s="36" t="s">
        <v>130</v>
      </c>
      <c r="CC3" s="36">
        <v>4</v>
      </c>
    </row>
    <row r="4" spans="1:84" ht="101.5">
      <c r="A4" s="42">
        <v>6</v>
      </c>
      <c r="B4" s="35" t="s">
        <v>88</v>
      </c>
      <c r="C4" s="35">
        <v>2013</v>
      </c>
      <c r="D4" s="35" t="s">
        <v>89</v>
      </c>
      <c r="E4" s="44">
        <v>44875</v>
      </c>
      <c r="F4" s="3" t="s">
        <v>90</v>
      </c>
      <c r="G4" s="43" t="s">
        <v>91</v>
      </c>
      <c r="H4" s="3">
        <v>2</v>
      </c>
      <c r="I4" s="43" t="s">
        <v>92</v>
      </c>
      <c r="J4" s="35" t="s">
        <v>93</v>
      </c>
      <c r="K4" s="35" t="s">
        <v>94</v>
      </c>
      <c r="L4" s="35" t="s">
        <v>94</v>
      </c>
      <c r="M4" s="35" t="s">
        <v>95</v>
      </c>
      <c r="N4" s="35" t="s">
        <v>96</v>
      </c>
      <c r="O4" s="35" t="s">
        <v>97</v>
      </c>
      <c r="P4" s="35" t="s">
        <v>97</v>
      </c>
      <c r="Q4" s="35"/>
      <c r="R4" s="35"/>
      <c r="S4" s="35" t="s">
        <v>90</v>
      </c>
      <c r="T4" s="35" t="s">
        <v>98</v>
      </c>
      <c r="U4" s="35" t="s">
        <v>99</v>
      </c>
      <c r="V4" s="35">
        <v>1</v>
      </c>
      <c r="W4" s="35" t="s">
        <v>100</v>
      </c>
      <c r="X4" s="35" t="s">
        <v>101</v>
      </c>
      <c r="Y4" s="35" t="s">
        <v>102</v>
      </c>
      <c r="Z4" s="35" t="s">
        <v>103</v>
      </c>
      <c r="AA4" s="35" t="s">
        <v>104</v>
      </c>
      <c r="AB4" s="35" t="s">
        <v>105</v>
      </c>
      <c r="AC4" s="35" t="s">
        <v>106</v>
      </c>
      <c r="AD4" s="35" t="s">
        <v>107</v>
      </c>
      <c r="AE4" s="35" t="s">
        <v>108</v>
      </c>
      <c r="AF4" s="35">
        <v>3</v>
      </c>
      <c r="AG4" s="35" t="s">
        <v>90</v>
      </c>
      <c r="AH4" s="35" t="s">
        <v>109</v>
      </c>
      <c r="AI4" s="35" t="s">
        <v>110</v>
      </c>
      <c r="AJ4" s="35">
        <v>2</v>
      </c>
      <c r="AK4" s="35" t="s">
        <v>99</v>
      </c>
      <c r="AL4" s="35" t="s">
        <v>94</v>
      </c>
      <c r="AM4" s="35" t="s">
        <v>94</v>
      </c>
      <c r="AN4" s="35" t="s">
        <v>111</v>
      </c>
      <c r="AO4" s="35" t="s">
        <v>111</v>
      </c>
      <c r="AP4" s="35" t="s">
        <v>112</v>
      </c>
      <c r="AQ4" s="35" t="s">
        <v>113</v>
      </c>
      <c r="AR4" s="35" t="s">
        <v>114</v>
      </c>
      <c r="AS4" s="35" t="s">
        <v>115</v>
      </c>
      <c r="AT4" s="35" t="s">
        <v>116</v>
      </c>
      <c r="AU4" s="35" t="s">
        <v>117</v>
      </c>
      <c r="AV4" s="35">
        <v>2</v>
      </c>
      <c r="AW4" s="35" t="s">
        <v>118</v>
      </c>
      <c r="AX4" s="35" t="s">
        <v>119</v>
      </c>
      <c r="AY4" s="35" t="s">
        <v>120</v>
      </c>
      <c r="AZ4" s="35" t="s">
        <v>116</v>
      </c>
      <c r="BA4" s="35" t="s">
        <v>121</v>
      </c>
      <c r="BB4" s="35">
        <v>2</v>
      </c>
      <c r="BC4" s="35" t="s">
        <v>122</v>
      </c>
      <c r="BD4" s="35" t="s">
        <v>123</v>
      </c>
      <c r="BE4" s="35" t="s">
        <v>124</v>
      </c>
      <c r="BF4" s="35" t="s">
        <v>116</v>
      </c>
      <c r="BG4" s="35" t="s">
        <v>125</v>
      </c>
      <c r="BH4" s="35">
        <v>2</v>
      </c>
      <c r="BI4" s="35"/>
      <c r="BJ4" s="35"/>
      <c r="BK4" s="35"/>
      <c r="BL4" s="35"/>
      <c r="BM4" s="35"/>
      <c r="BN4" s="35"/>
      <c r="BO4" s="35" t="s">
        <v>131</v>
      </c>
      <c r="BP4" s="3" t="s">
        <v>132</v>
      </c>
      <c r="BQ4" s="36" t="s">
        <v>128</v>
      </c>
      <c r="BR4" s="36" t="s">
        <v>111</v>
      </c>
      <c r="BS4" s="36">
        <v>0.71950000000000003</v>
      </c>
      <c r="BT4" s="36">
        <v>0.79549999999999998</v>
      </c>
      <c r="BU4" s="36" t="s">
        <v>129</v>
      </c>
      <c r="BV4" s="36">
        <v>16</v>
      </c>
      <c r="BW4" s="36" t="s">
        <v>111</v>
      </c>
      <c r="BX4" s="36">
        <v>0.75049999999999994</v>
      </c>
      <c r="BY4" s="36">
        <v>0.83000000000000007</v>
      </c>
      <c r="BZ4" s="36" t="s">
        <v>129</v>
      </c>
      <c r="CA4" s="36">
        <v>16</v>
      </c>
      <c r="CB4" s="36" t="s">
        <v>130</v>
      </c>
      <c r="CC4" s="36">
        <v>4</v>
      </c>
    </row>
    <row r="5" spans="1:84" customFormat="1" ht="43.5">
      <c r="A5" s="26">
        <v>3</v>
      </c>
      <c r="B5" s="26" t="s">
        <v>133</v>
      </c>
      <c r="C5" s="26">
        <v>2009</v>
      </c>
      <c r="D5" s="26" t="s">
        <v>134</v>
      </c>
      <c r="E5" s="30">
        <v>44706</v>
      </c>
      <c r="F5" s="31" t="s">
        <v>97</v>
      </c>
      <c r="G5" s="31" t="s">
        <v>135</v>
      </c>
      <c r="H5" s="31">
        <v>1</v>
      </c>
      <c r="I5" s="31"/>
      <c r="J5" s="26" t="s">
        <v>136</v>
      </c>
      <c r="K5" s="26" t="s">
        <v>97</v>
      </c>
      <c r="L5" s="26" t="s">
        <v>137</v>
      </c>
      <c r="M5" s="26" t="s">
        <v>138</v>
      </c>
      <c r="N5" s="26" t="s">
        <v>139</v>
      </c>
      <c r="O5" s="26" t="s">
        <v>90</v>
      </c>
      <c r="P5" s="26" t="s">
        <v>97</v>
      </c>
      <c r="Q5" s="26" t="s">
        <v>140</v>
      </c>
      <c r="R5" s="26"/>
      <c r="S5" s="26" t="s">
        <v>90</v>
      </c>
      <c r="T5" s="26" t="s">
        <v>141</v>
      </c>
      <c r="U5" s="26" t="s">
        <v>99</v>
      </c>
      <c r="V5" s="26">
        <v>1</v>
      </c>
      <c r="W5" s="26" t="s">
        <v>142</v>
      </c>
      <c r="X5" s="26" t="s">
        <v>143</v>
      </c>
      <c r="Y5" s="26" t="s">
        <v>102</v>
      </c>
      <c r="Z5" s="26" t="s">
        <v>144</v>
      </c>
      <c r="AA5" s="26" t="s">
        <v>145</v>
      </c>
      <c r="AB5" s="26" t="s">
        <v>20</v>
      </c>
      <c r="AC5" s="26" t="s">
        <v>146</v>
      </c>
      <c r="AD5" s="26" t="s">
        <v>147</v>
      </c>
      <c r="AE5" s="26" t="s">
        <v>148</v>
      </c>
      <c r="AF5" s="26">
        <v>2</v>
      </c>
      <c r="AG5" s="26" t="s">
        <v>90</v>
      </c>
      <c r="AH5" s="26" t="s">
        <v>149</v>
      </c>
      <c r="AI5" s="26" t="s">
        <v>150</v>
      </c>
      <c r="AJ5" s="26">
        <v>2</v>
      </c>
      <c r="AK5" s="26" t="s">
        <v>151</v>
      </c>
      <c r="AL5" s="26" t="s">
        <v>94</v>
      </c>
      <c r="AM5" s="26" t="s">
        <v>94</v>
      </c>
      <c r="AN5" s="26" t="s">
        <v>152</v>
      </c>
      <c r="AO5" s="26">
        <v>2</v>
      </c>
      <c r="AP5" s="26" t="s">
        <v>153</v>
      </c>
      <c r="AQ5" s="26" t="s">
        <v>123</v>
      </c>
      <c r="AR5" s="26" t="s">
        <v>114</v>
      </c>
      <c r="AS5" s="26" t="s">
        <v>124</v>
      </c>
      <c r="AT5" s="26" t="s">
        <v>116</v>
      </c>
      <c r="AU5" s="26" t="s">
        <v>154</v>
      </c>
      <c r="AV5" s="26">
        <v>3</v>
      </c>
      <c r="AW5" s="26" t="s">
        <v>155</v>
      </c>
      <c r="AX5" s="26" t="s">
        <v>119</v>
      </c>
      <c r="AY5" s="26" t="s">
        <v>120</v>
      </c>
      <c r="AZ5" s="26" t="s">
        <v>116</v>
      </c>
      <c r="BA5" s="26" t="s">
        <v>156</v>
      </c>
      <c r="BB5" s="26">
        <v>2</v>
      </c>
      <c r="BC5" s="26"/>
      <c r="BD5" s="26"/>
      <c r="BE5" s="26"/>
      <c r="BF5" s="26"/>
      <c r="BG5" s="26"/>
      <c r="BH5" s="26"/>
      <c r="BI5" s="26"/>
      <c r="BJ5" s="26"/>
      <c r="BK5" s="26"/>
      <c r="BL5" s="26"/>
      <c r="BM5" s="26"/>
      <c r="BN5" s="26"/>
      <c r="BO5" s="31" t="s">
        <v>157</v>
      </c>
      <c r="BP5" s="32" t="s">
        <v>158</v>
      </c>
      <c r="BQ5" s="31" t="s">
        <v>159</v>
      </c>
      <c r="BR5" s="31" t="s">
        <v>160</v>
      </c>
      <c r="BS5" s="31">
        <v>76.84960873</v>
      </c>
      <c r="BT5" s="31">
        <v>89.448385239999993</v>
      </c>
      <c r="BU5" s="31" t="s">
        <v>161</v>
      </c>
      <c r="BV5" s="31" t="s">
        <v>160</v>
      </c>
      <c r="BW5" s="31" t="s">
        <v>160</v>
      </c>
      <c r="BX5" s="31">
        <v>75.340952619999996</v>
      </c>
      <c r="BY5" s="31">
        <v>87.278125399999993</v>
      </c>
      <c r="BZ5" s="31" t="s">
        <v>161</v>
      </c>
      <c r="CA5" s="31" t="s">
        <v>160</v>
      </c>
      <c r="CB5" s="31" t="s">
        <v>162</v>
      </c>
      <c r="CC5" s="31" t="s">
        <v>163</v>
      </c>
      <c r="CD5" s="31" t="s">
        <v>164</v>
      </c>
      <c r="CE5" s="26"/>
    </row>
    <row r="6" spans="1:84" customFormat="1" ht="43.5">
      <c r="A6" s="26">
        <v>3</v>
      </c>
      <c r="B6" s="26" t="s">
        <v>133</v>
      </c>
      <c r="C6" s="26">
        <v>2009</v>
      </c>
      <c r="D6" s="26" t="s">
        <v>134</v>
      </c>
      <c r="E6" s="30">
        <v>44706</v>
      </c>
      <c r="F6" s="31" t="s">
        <v>97</v>
      </c>
      <c r="G6" s="31" t="s">
        <v>135</v>
      </c>
      <c r="H6" s="31">
        <v>1</v>
      </c>
      <c r="I6" s="31"/>
      <c r="J6" s="26" t="s">
        <v>136</v>
      </c>
      <c r="K6" s="26" t="s">
        <v>97</v>
      </c>
      <c r="L6" s="26" t="s">
        <v>137</v>
      </c>
      <c r="M6" s="26" t="s">
        <v>138</v>
      </c>
      <c r="N6" s="26" t="s">
        <v>139</v>
      </c>
      <c r="O6" s="26" t="s">
        <v>90</v>
      </c>
      <c r="P6" s="26" t="s">
        <v>97</v>
      </c>
      <c r="Q6" s="26" t="s">
        <v>140</v>
      </c>
      <c r="R6" s="26"/>
      <c r="S6" s="26" t="s">
        <v>90</v>
      </c>
      <c r="T6" s="26" t="s">
        <v>141</v>
      </c>
      <c r="U6" s="26" t="s">
        <v>99</v>
      </c>
      <c r="V6" s="26">
        <v>1</v>
      </c>
      <c r="W6" s="26" t="s">
        <v>142</v>
      </c>
      <c r="X6" s="26" t="s">
        <v>143</v>
      </c>
      <c r="Y6" s="26" t="s">
        <v>102</v>
      </c>
      <c r="Z6" s="26" t="s">
        <v>144</v>
      </c>
      <c r="AA6" s="26" t="s">
        <v>145</v>
      </c>
      <c r="AB6" s="26" t="s">
        <v>20</v>
      </c>
      <c r="AC6" s="26" t="s">
        <v>146</v>
      </c>
      <c r="AD6" s="26" t="s">
        <v>147</v>
      </c>
      <c r="AE6" s="26" t="s">
        <v>148</v>
      </c>
      <c r="AF6" s="26">
        <v>2</v>
      </c>
      <c r="AG6" s="26" t="s">
        <v>90</v>
      </c>
      <c r="AH6" s="26" t="s">
        <v>149</v>
      </c>
      <c r="AI6" s="26" t="s">
        <v>150</v>
      </c>
      <c r="AJ6" s="26">
        <v>2</v>
      </c>
      <c r="AK6" s="26" t="s">
        <v>151</v>
      </c>
      <c r="AL6" s="26" t="s">
        <v>94</v>
      </c>
      <c r="AM6" s="26" t="s">
        <v>94</v>
      </c>
      <c r="AN6" s="26" t="s">
        <v>152</v>
      </c>
      <c r="AO6" s="26">
        <v>2</v>
      </c>
      <c r="AP6" s="26" t="s">
        <v>153</v>
      </c>
      <c r="AQ6" s="26" t="s">
        <v>123</v>
      </c>
      <c r="AR6" s="26" t="s">
        <v>114</v>
      </c>
      <c r="AS6" s="26" t="s">
        <v>124</v>
      </c>
      <c r="AT6" s="26" t="s">
        <v>116</v>
      </c>
      <c r="AU6" s="26" t="s">
        <v>154</v>
      </c>
      <c r="AV6" s="26">
        <v>3</v>
      </c>
      <c r="AW6" s="26" t="s">
        <v>155</v>
      </c>
      <c r="AX6" s="26" t="s">
        <v>119</v>
      </c>
      <c r="AY6" s="26" t="s">
        <v>120</v>
      </c>
      <c r="AZ6" s="26" t="s">
        <v>116</v>
      </c>
      <c r="BA6" s="26" t="s">
        <v>156</v>
      </c>
      <c r="BB6" s="26">
        <v>2</v>
      </c>
      <c r="BC6" s="26"/>
      <c r="BD6" s="26"/>
      <c r="BE6" s="26"/>
      <c r="BF6" s="26"/>
      <c r="BG6" s="26"/>
      <c r="BH6" s="26"/>
      <c r="BI6" s="26"/>
      <c r="BJ6" s="26"/>
      <c r="BK6" s="26"/>
      <c r="BL6" s="26"/>
      <c r="BM6" s="26"/>
      <c r="BN6" s="26"/>
      <c r="BO6" s="31" t="s">
        <v>157</v>
      </c>
      <c r="BP6" s="32" t="s">
        <v>158</v>
      </c>
      <c r="BQ6" s="31" t="s">
        <v>159</v>
      </c>
      <c r="BR6" s="31" t="s">
        <v>160</v>
      </c>
      <c r="BS6" s="31">
        <v>66.846297300000003</v>
      </c>
      <c r="BT6" s="31">
        <v>72.815239559999995</v>
      </c>
      <c r="BU6" s="31" t="s">
        <v>161</v>
      </c>
      <c r="BV6" s="31" t="s">
        <v>160</v>
      </c>
      <c r="BW6" s="31" t="s">
        <v>160</v>
      </c>
      <c r="BX6" s="31">
        <v>73.39867194</v>
      </c>
      <c r="BY6" s="31">
        <v>80.937938959999997</v>
      </c>
      <c r="BZ6" s="31" t="s">
        <v>161</v>
      </c>
      <c r="CA6" s="31" t="s">
        <v>160</v>
      </c>
      <c r="CB6" s="31" t="s">
        <v>162</v>
      </c>
      <c r="CC6" s="31" t="s">
        <v>163</v>
      </c>
      <c r="CD6" s="31" t="s">
        <v>164</v>
      </c>
      <c r="CE6" s="26"/>
    </row>
    <row r="7" spans="1:84" customFormat="1" ht="43.5">
      <c r="A7" s="26">
        <v>3</v>
      </c>
      <c r="B7" s="26" t="s">
        <v>133</v>
      </c>
      <c r="C7" s="26">
        <v>2009</v>
      </c>
      <c r="D7" s="26" t="s">
        <v>134</v>
      </c>
      <c r="E7" s="30">
        <v>44706</v>
      </c>
      <c r="F7" s="31" t="s">
        <v>97</v>
      </c>
      <c r="G7" s="31" t="s">
        <v>135</v>
      </c>
      <c r="H7" s="31">
        <v>1</v>
      </c>
      <c r="I7" s="31"/>
      <c r="J7" s="26" t="s">
        <v>136</v>
      </c>
      <c r="K7" s="26" t="s">
        <v>97</v>
      </c>
      <c r="L7" s="26" t="s">
        <v>137</v>
      </c>
      <c r="M7" s="26" t="s">
        <v>138</v>
      </c>
      <c r="N7" s="26" t="s">
        <v>139</v>
      </c>
      <c r="O7" s="26" t="s">
        <v>90</v>
      </c>
      <c r="P7" s="26" t="s">
        <v>97</v>
      </c>
      <c r="Q7" s="26" t="s">
        <v>140</v>
      </c>
      <c r="R7" s="26"/>
      <c r="S7" s="26" t="s">
        <v>90</v>
      </c>
      <c r="T7" s="26" t="s">
        <v>141</v>
      </c>
      <c r="U7" s="26" t="s">
        <v>99</v>
      </c>
      <c r="V7" s="26">
        <v>1</v>
      </c>
      <c r="W7" s="26" t="s">
        <v>142</v>
      </c>
      <c r="X7" s="26" t="s">
        <v>143</v>
      </c>
      <c r="Y7" s="26" t="s">
        <v>102</v>
      </c>
      <c r="Z7" s="26" t="s">
        <v>144</v>
      </c>
      <c r="AA7" s="26" t="s">
        <v>145</v>
      </c>
      <c r="AB7" s="26" t="s">
        <v>20</v>
      </c>
      <c r="AC7" s="26" t="s">
        <v>146</v>
      </c>
      <c r="AD7" s="26" t="s">
        <v>147</v>
      </c>
      <c r="AE7" s="26" t="s">
        <v>148</v>
      </c>
      <c r="AF7" s="26">
        <v>2</v>
      </c>
      <c r="AG7" s="26" t="s">
        <v>90</v>
      </c>
      <c r="AH7" s="26" t="s">
        <v>149</v>
      </c>
      <c r="AI7" s="26" t="s">
        <v>150</v>
      </c>
      <c r="AJ7" s="26">
        <v>2</v>
      </c>
      <c r="AK7" s="26" t="s">
        <v>151</v>
      </c>
      <c r="AL7" s="26" t="s">
        <v>94</v>
      </c>
      <c r="AM7" s="26" t="s">
        <v>94</v>
      </c>
      <c r="AN7" s="26" t="s">
        <v>152</v>
      </c>
      <c r="AO7" s="26">
        <v>2</v>
      </c>
      <c r="AP7" s="26" t="s">
        <v>153</v>
      </c>
      <c r="AQ7" s="26" t="s">
        <v>123</v>
      </c>
      <c r="AR7" s="26" t="s">
        <v>114</v>
      </c>
      <c r="AS7" s="26" t="s">
        <v>124</v>
      </c>
      <c r="AT7" s="26" t="s">
        <v>116</v>
      </c>
      <c r="AU7" s="26" t="s">
        <v>154</v>
      </c>
      <c r="AV7" s="26">
        <v>3</v>
      </c>
      <c r="AW7" s="26" t="s">
        <v>155</v>
      </c>
      <c r="AX7" s="26" t="s">
        <v>119</v>
      </c>
      <c r="AY7" s="26" t="s">
        <v>120</v>
      </c>
      <c r="AZ7" s="26" t="s">
        <v>116</v>
      </c>
      <c r="BA7" s="26" t="s">
        <v>156</v>
      </c>
      <c r="BB7" s="26">
        <v>2</v>
      </c>
      <c r="BC7" s="26"/>
      <c r="BD7" s="26"/>
      <c r="BE7" s="26"/>
      <c r="BF7" s="26"/>
      <c r="BG7" s="26"/>
      <c r="BH7" s="26"/>
      <c r="BI7" s="26"/>
      <c r="BJ7" s="26"/>
      <c r="BK7" s="26"/>
      <c r="BL7" s="26"/>
      <c r="BM7" s="26"/>
      <c r="BN7" s="26"/>
      <c r="BO7" s="31" t="s">
        <v>157</v>
      </c>
      <c r="BP7" s="32" t="s">
        <v>165</v>
      </c>
      <c r="BQ7" s="31" t="s">
        <v>159</v>
      </c>
      <c r="BR7" s="31" t="s">
        <v>160</v>
      </c>
      <c r="BS7" s="31">
        <v>37.610192240000003</v>
      </c>
      <c r="BT7" s="31">
        <v>43.577043070000002</v>
      </c>
      <c r="BU7" s="31" t="s">
        <v>161</v>
      </c>
      <c r="BV7" s="31" t="s">
        <v>160</v>
      </c>
      <c r="BW7" s="31" t="s">
        <v>160</v>
      </c>
      <c r="BX7" s="31">
        <v>46.321670279999999</v>
      </c>
      <c r="BY7" s="31">
        <v>53.859021839999997</v>
      </c>
      <c r="BZ7" s="31" t="s">
        <v>161</v>
      </c>
      <c r="CA7" s="31" t="s">
        <v>160</v>
      </c>
      <c r="CB7" s="31" t="s">
        <v>162</v>
      </c>
      <c r="CC7" s="31" t="s">
        <v>163</v>
      </c>
      <c r="CD7" s="31" t="s">
        <v>164</v>
      </c>
      <c r="CE7" s="26"/>
    </row>
    <row r="8" spans="1:84" customFormat="1" ht="43.5">
      <c r="A8" s="26">
        <v>3</v>
      </c>
      <c r="B8" s="26" t="s">
        <v>133</v>
      </c>
      <c r="C8" s="26">
        <v>2009</v>
      </c>
      <c r="D8" s="26" t="s">
        <v>134</v>
      </c>
      <c r="E8" s="30">
        <v>44706</v>
      </c>
      <c r="F8" s="31" t="s">
        <v>97</v>
      </c>
      <c r="G8" s="31" t="s">
        <v>135</v>
      </c>
      <c r="H8" s="31">
        <v>1</v>
      </c>
      <c r="I8" s="31"/>
      <c r="J8" s="26" t="s">
        <v>136</v>
      </c>
      <c r="K8" s="26" t="s">
        <v>97</v>
      </c>
      <c r="L8" s="26" t="s">
        <v>137</v>
      </c>
      <c r="M8" s="26" t="s">
        <v>138</v>
      </c>
      <c r="N8" s="26" t="s">
        <v>139</v>
      </c>
      <c r="O8" s="26" t="s">
        <v>90</v>
      </c>
      <c r="P8" s="26" t="s">
        <v>97</v>
      </c>
      <c r="Q8" s="26" t="s">
        <v>140</v>
      </c>
      <c r="R8" s="26"/>
      <c r="S8" s="26" t="s">
        <v>90</v>
      </c>
      <c r="T8" s="26" t="s">
        <v>141</v>
      </c>
      <c r="U8" s="26" t="s">
        <v>99</v>
      </c>
      <c r="V8" s="26">
        <v>1</v>
      </c>
      <c r="W8" s="26" t="s">
        <v>142</v>
      </c>
      <c r="X8" s="26" t="s">
        <v>143</v>
      </c>
      <c r="Y8" s="26" t="s">
        <v>102</v>
      </c>
      <c r="Z8" s="26" t="s">
        <v>144</v>
      </c>
      <c r="AA8" s="26" t="s">
        <v>145</v>
      </c>
      <c r="AB8" s="26" t="s">
        <v>20</v>
      </c>
      <c r="AC8" s="26" t="s">
        <v>146</v>
      </c>
      <c r="AD8" s="26" t="s">
        <v>147</v>
      </c>
      <c r="AE8" s="26" t="s">
        <v>148</v>
      </c>
      <c r="AF8" s="26">
        <v>2</v>
      </c>
      <c r="AG8" s="26" t="s">
        <v>90</v>
      </c>
      <c r="AH8" s="26" t="s">
        <v>149</v>
      </c>
      <c r="AI8" s="26" t="s">
        <v>150</v>
      </c>
      <c r="AJ8" s="26">
        <v>2</v>
      </c>
      <c r="AK8" s="26" t="s">
        <v>151</v>
      </c>
      <c r="AL8" s="26" t="s">
        <v>94</v>
      </c>
      <c r="AM8" s="26" t="s">
        <v>94</v>
      </c>
      <c r="AN8" s="26" t="s">
        <v>152</v>
      </c>
      <c r="AO8" s="26">
        <v>2</v>
      </c>
      <c r="AP8" s="26" t="s">
        <v>153</v>
      </c>
      <c r="AQ8" s="26" t="s">
        <v>123</v>
      </c>
      <c r="AR8" s="26" t="s">
        <v>114</v>
      </c>
      <c r="AS8" s="26" t="s">
        <v>124</v>
      </c>
      <c r="AT8" s="26" t="s">
        <v>116</v>
      </c>
      <c r="AU8" s="26" t="s">
        <v>154</v>
      </c>
      <c r="AV8" s="26">
        <v>3</v>
      </c>
      <c r="AW8" s="26" t="s">
        <v>155</v>
      </c>
      <c r="AX8" s="26" t="s">
        <v>119</v>
      </c>
      <c r="AY8" s="26" t="s">
        <v>120</v>
      </c>
      <c r="AZ8" s="26" t="s">
        <v>116</v>
      </c>
      <c r="BA8" s="26" t="s">
        <v>156</v>
      </c>
      <c r="BB8" s="26">
        <v>2</v>
      </c>
      <c r="BC8" s="26"/>
      <c r="BD8" s="26"/>
      <c r="BE8" s="26"/>
      <c r="BF8" s="26"/>
      <c r="BG8" s="26"/>
      <c r="BH8" s="26"/>
      <c r="BI8" s="26"/>
      <c r="BJ8" s="26"/>
      <c r="BK8" s="26"/>
      <c r="BL8" s="26"/>
      <c r="BM8" s="26"/>
      <c r="BN8" s="26"/>
      <c r="BO8" s="31" t="s">
        <v>157</v>
      </c>
      <c r="BP8" s="32" t="s">
        <v>165</v>
      </c>
      <c r="BQ8" s="31" t="s">
        <v>159</v>
      </c>
      <c r="BR8" s="31" t="s">
        <v>160</v>
      </c>
      <c r="BS8" s="31">
        <v>56.117259529999998</v>
      </c>
      <c r="BT8" s="31">
        <v>62.74709378</v>
      </c>
      <c r="BU8" s="31" t="s">
        <v>161</v>
      </c>
      <c r="BV8" s="31" t="s">
        <v>160</v>
      </c>
      <c r="BW8" s="31" t="s">
        <v>160</v>
      </c>
      <c r="BX8" s="31">
        <v>61.346571320000002</v>
      </c>
      <c r="BY8" s="31">
        <v>67.00102158</v>
      </c>
      <c r="BZ8" s="31" t="s">
        <v>161</v>
      </c>
      <c r="CA8" s="31" t="s">
        <v>160</v>
      </c>
      <c r="CB8" s="31" t="s">
        <v>162</v>
      </c>
      <c r="CC8" s="31" t="s">
        <v>163</v>
      </c>
      <c r="CD8" s="31" t="s">
        <v>164</v>
      </c>
      <c r="CE8" s="26"/>
    </row>
    <row r="9" spans="1:84" customFormat="1" ht="43.5">
      <c r="A9" s="26">
        <v>3</v>
      </c>
      <c r="B9" s="26" t="s">
        <v>133</v>
      </c>
      <c r="C9" s="26">
        <v>2009</v>
      </c>
      <c r="D9" s="26" t="s">
        <v>134</v>
      </c>
      <c r="E9" s="30">
        <v>44706</v>
      </c>
      <c r="F9" s="31" t="s">
        <v>97</v>
      </c>
      <c r="G9" s="31" t="s">
        <v>135</v>
      </c>
      <c r="H9" s="31">
        <v>1</v>
      </c>
      <c r="I9" s="31"/>
      <c r="J9" s="26" t="s">
        <v>136</v>
      </c>
      <c r="K9" s="26" t="s">
        <v>97</v>
      </c>
      <c r="L9" s="26" t="s">
        <v>137</v>
      </c>
      <c r="M9" s="26" t="s">
        <v>138</v>
      </c>
      <c r="N9" s="26" t="s">
        <v>139</v>
      </c>
      <c r="O9" s="26" t="s">
        <v>90</v>
      </c>
      <c r="P9" s="26" t="s">
        <v>97</v>
      </c>
      <c r="Q9" s="26" t="s">
        <v>140</v>
      </c>
      <c r="R9" s="26"/>
      <c r="S9" s="26" t="s">
        <v>90</v>
      </c>
      <c r="T9" s="26" t="s">
        <v>141</v>
      </c>
      <c r="U9" s="26" t="s">
        <v>99</v>
      </c>
      <c r="V9" s="26">
        <v>1</v>
      </c>
      <c r="W9" s="26" t="s">
        <v>142</v>
      </c>
      <c r="X9" s="26" t="s">
        <v>143</v>
      </c>
      <c r="Y9" s="26" t="s">
        <v>102</v>
      </c>
      <c r="Z9" s="26" t="s">
        <v>144</v>
      </c>
      <c r="AA9" s="26" t="s">
        <v>145</v>
      </c>
      <c r="AB9" s="26" t="s">
        <v>20</v>
      </c>
      <c r="AC9" s="26" t="s">
        <v>146</v>
      </c>
      <c r="AD9" s="26" t="s">
        <v>147</v>
      </c>
      <c r="AE9" s="26" t="s">
        <v>148</v>
      </c>
      <c r="AF9" s="26">
        <v>2</v>
      </c>
      <c r="AG9" s="26" t="s">
        <v>90</v>
      </c>
      <c r="AH9" s="26" t="s">
        <v>149</v>
      </c>
      <c r="AI9" s="26" t="s">
        <v>150</v>
      </c>
      <c r="AJ9" s="26">
        <v>2</v>
      </c>
      <c r="AK9" s="26" t="s">
        <v>151</v>
      </c>
      <c r="AL9" s="26" t="s">
        <v>94</v>
      </c>
      <c r="AM9" s="26" t="s">
        <v>94</v>
      </c>
      <c r="AN9" s="26" t="s">
        <v>152</v>
      </c>
      <c r="AO9" s="26">
        <v>2</v>
      </c>
      <c r="AP9" s="26" t="s">
        <v>153</v>
      </c>
      <c r="AQ9" s="26" t="s">
        <v>123</v>
      </c>
      <c r="AR9" s="26" t="s">
        <v>114</v>
      </c>
      <c r="AS9" s="26" t="s">
        <v>124</v>
      </c>
      <c r="AT9" s="26" t="s">
        <v>116</v>
      </c>
      <c r="AU9" s="26" t="s">
        <v>154</v>
      </c>
      <c r="AV9" s="26">
        <v>3</v>
      </c>
      <c r="AW9" s="26" t="s">
        <v>155</v>
      </c>
      <c r="AX9" s="26" t="s">
        <v>119</v>
      </c>
      <c r="AY9" s="26" t="s">
        <v>120</v>
      </c>
      <c r="AZ9" s="26" t="s">
        <v>116</v>
      </c>
      <c r="BA9" s="26" t="s">
        <v>156</v>
      </c>
      <c r="BB9" s="26">
        <v>2</v>
      </c>
      <c r="BC9" s="26"/>
      <c r="BD9" s="26"/>
      <c r="BE9" s="26"/>
      <c r="BF9" s="26"/>
      <c r="BG9" s="26"/>
      <c r="BH9" s="26"/>
      <c r="BI9" s="26"/>
      <c r="BJ9" s="26"/>
      <c r="BK9" s="26"/>
      <c r="BL9" s="26"/>
      <c r="BM9" s="26"/>
      <c r="BN9" s="26"/>
      <c r="BO9" s="31" t="s">
        <v>157</v>
      </c>
      <c r="BP9" s="32" t="s">
        <v>166</v>
      </c>
      <c r="BQ9" s="31" t="s">
        <v>159</v>
      </c>
      <c r="BR9" s="31" t="s">
        <v>160</v>
      </c>
      <c r="BS9" s="31">
        <v>42.12977325</v>
      </c>
      <c r="BT9" s="31">
        <v>49.422590929999998</v>
      </c>
      <c r="BU9" s="31" t="s">
        <v>161</v>
      </c>
      <c r="BV9" s="31" t="s">
        <v>160</v>
      </c>
      <c r="BW9" s="31" t="s">
        <v>160</v>
      </c>
      <c r="BX9" s="31">
        <v>49.348103690000002</v>
      </c>
      <c r="BY9" s="31">
        <v>53.746009450000003</v>
      </c>
      <c r="BZ9" s="31" t="s">
        <v>161</v>
      </c>
      <c r="CA9" s="31" t="s">
        <v>160</v>
      </c>
      <c r="CB9" s="31" t="s">
        <v>162</v>
      </c>
      <c r="CC9" s="31" t="s">
        <v>163</v>
      </c>
      <c r="CD9" s="31" t="s">
        <v>164</v>
      </c>
      <c r="CE9" s="26"/>
    </row>
    <row r="10" spans="1:84" customFormat="1" ht="43.5">
      <c r="A10" s="26">
        <v>3</v>
      </c>
      <c r="B10" s="26" t="s">
        <v>133</v>
      </c>
      <c r="C10" s="26">
        <v>2009</v>
      </c>
      <c r="D10" s="26" t="s">
        <v>134</v>
      </c>
      <c r="E10" s="30">
        <v>44706</v>
      </c>
      <c r="F10" s="31" t="s">
        <v>97</v>
      </c>
      <c r="G10" s="31" t="s">
        <v>135</v>
      </c>
      <c r="H10" s="31">
        <v>1</v>
      </c>
      <c r="I10" s="31"/>
      <c r="J10" s="26" t="s">
        <v>136</v>
      </c>
      <c r="K10" s="26" t="s">
        <v>97</v>
      </c>
      <c r="L10" s="26" t="s">
        <v>137</v>
      </c>
      <c r="M10" s="26" t="s">
        <v>138</v>
      </c>
      <c r="N10" s="26" t="s">
        <v>139</v>
      </c>
      <c r="O10" s="26" t="s">
        <v>90</v>
      </c>
      <c r="P10" s="26" t="s">
        <v>97</v>
      </c>
      <c r="Q10" s="26" t="s">
        <v>140</v>
      </c>
      <c r="R10" s="26"/>
      <c r="S10" s="26" t="s">
        <v>90</v>
      </c>
      <c r="T10" s="26" t="s">
        <v>141</v>
      </c>
      <c r="U10" s="26" t="s">
        <v>99</v>
      </c>
      <c r="V10" s="26">
        <v>1</v>
      </c>
      <c r="W10" s="26" t="s">
        <v>142</v>
      </c>
      <c r="X10" s="26" t="s">
        <v>143</v>
      </c>
      <c r="Y10" s="26" t="s">
        <v>102</v>
      </c>
      <c r="Z10" s="26" t="s">
        <v>144</v>
      </c>
      <c r="AA10" s="26" t="s">
        <v>145</v>
      </c>
      <c r="AB10" s="26" t="s">
        <v>20</v>
      </c>
      <c r="AC10" s="26" t="s">
        <v>146</v>
      </c>
      <c r="AD10" s="26" t="s">
        <v>147</v>
      </c>
      <c r="AE10" s="26" t="s">
        <v>148</v>
      </c>
      <c r="AF10" s="26">
        <v>2</v>
      </c>
      <c r="AG10" s="26" t="s">
        <v>90</v>
      </c>
      <c r="AH10" s="26" t="s">
        <v>149</v>
      </c>
      <c r="AI10" s="26" t="s">
        <v>150</v>
      </c>
      <c r="AJ10" s="26">
        <v>2</v>
      </c>
      <c r="AK10" s="26" t="s">
        <v>151</v>
      </c>
      <c r="AL10" s="26" t="s">
        <v>94</v>
      </c>
      <c r="AM10" s="26" t="s">
        <v>94</v>
      </c>
      <c r="AN10" s="26" t="s">
        <v>152</v>
      </c>
      <c r="AO10" s="26">
        <v>2</v>
      </c>
      <c r="AP10" s="26" t="s">
        <v>153</v>
      </c>
      <c r="AQ10" s="26" t="s">
        <v>123</v>
      </c>
      <c r="AR10" s="26" t="s">
        <v>114</v>
      </c>
      <c r="AS10" s="26" t="s">
        <v>124</v>
      </c>
      <c r="AT10" s="26" t="s">
        <v>116</v>
      </c>
      <c r="AU10" s="26" t="s">
        <v>154</v>
      </c>
      <c r="AV10" s="26">
        <v>3</v>
      </c>
      <c r="AW10" s="26" t="s">
        <v>155</v>
      </c>
      <c r="AX10" s="26" t="s">
        <v>119</v>
      </c>
      <c r="AY10" s="26" t="s">
        <v>120</v>
      </c>
      <c r="AZ10" s="26" t="s">
        <v>116</v>
      </c>
      <c r="BA10" s="26" t="s">
        <v>156</v>
      </c>
      <c r="BB10" s="26">
        <v>2</v>
      </c>
      <c r="BC10" s="26"/>
      <c r="BD10" s="26"/>
      <c r="BE10" s="26"/>
      <c r="BF10" s="26"/>
      <c r="BG10" s="26"/>
      <c r="BH10" s="26"/>
      <c r="BI10" s="26"/>
      <c r="BJ10" s="26"/>
      <c r="BK10" s="26"/>
      <c r="BL10" s="26"/>
      <c r="BM10" s="26"/>
      <c r="BN10" s="26"/>
      <c r="BO10" s="31" t="s">
        <v>157</v>
      </c>
      <c r="BP10" s="32" t="s">
        <v>166</v>
      </c>
      <c r="BQ10" s="31" t="s">
        <v>159</v>
      </c>
      <c r="BR10" s="31" t="s">
        <v>160</v>
      </c>
      <c r="BS10" s="31">
        <v>60.636840550000002</v>
      </c>
      <c r="BT10" s="31">
        <v>67.266674800000004</v>
      </c>
      <c r="BU10" s="31" t="s">
        <v>161</v>
      </c>
      <c r="BV10" s="31" t="s">
        <v>160</v>
      </c>
      <c r="BW10" s="31" t="s">
        <v>160</v>
      </c>
      <c r="BX10" s="31">
        <v>61.859915719999996</v>
      </c>
      <c r="BY10" s="31">
        <v>67.514365979999994</v>
      </c>
      <c r="BZ10" s="31" t="s">
        <v>161</v>
      </c>
      <c r="CA10" s="31" t="s">
        <v>160</v>
      </c>
      <c r="CB10" s="31" t="s">
        <v>162</v>
      </c>
      <c r="CC10" s="31" t="s">
        <v>163</v>
      </c>
      <c r="CD10" s="31" t="s">
        <v>164</v>
      </c>
      <c r="CE10" s="26"/>
    </row>
    <row r="11" spans="1:84" customFormat="1" ht="43.5">
      <c r="A11" s="26">
        <v>3</v>
      </c>
      <c r="B11" s="26" t="s">
        <v>133</v>
      </c>
      <c r="C11" s="26">
        <v>2009</v>
      </c>
      <c r="D11" s="26" t="s">
        <v>134</v>
      </c>
      <c r="E11" s="30">
        <v>44706</v>
      </c>
      <c r="F11" s="31" t="s">
        <v>97</v>
      </c>
      <c r="G11" s="31" t="s">
        <v>135</v>
      </c>
      <c r="H11" s="31">
        <v>1</v>
      </c>
      <c r="I11" s="31"/>
      <c r="J11" s="26" t="s">
        <v>136</v>
      </c>
      <c r="K11" s="26" t="s">
        <v>97</v>
      </c>
      <c r="L11" s="26" t="s">
        <v>137</v>
      </c>
      <c r="M11" s="26" t="s">
        <v>138</v>
      </c>
      <c r="N11" s="26" t="s">
        <v>139</v>
      </c>
      <c r="O11" s="26" t="s">
        <v>90</v>
      </c>
      <c r="P11" s="26" t="s">
        <v>97</v>
      </c>
      <c r="Q11" s="26" t="s">
        <v>140</v>
      </c>
      <c r="R11" s="26"/>
      <c r="S11" s="26" t="s">
        <v>90</v>
      </c>
      <c r="T11" s="26" t="s">
        <v>141</v>
      </c>
      <c r="U11" s="26" t="s">
        <v>99</v>
      </c>
      <c r="V11" s="26">
        <v>1</v>
      </c>
      <c r="W11" s="26" t="s">
        <v>142</v>
      </c>
      <c r="X11" s="26" t="s">
        <v>143</v>
      </c>
      <c r="Y11" s="26" t="s">
        <v>102</v>
      </c>
      <c r="Z11" s="26" t="s">
        <v>144</v>
      </c>
      <c r="AA11" s="26" t="s">
        <v>145</v>
      </c>
      <c r="AB11" s="26" t="s">
        <v>20</v>
      </c>
      <c r="AC11" s="26" t="s">
        <v>146</v>
      </c>
      <c r="AD11" s="26" t="s">
        <v>147</v>
      </c>
      <c r="AE11" s="26" t="s">
        <v>148</v>
      </c>
      <c r="AF11" s="26">
        <v>2</v>
      </c>
      <c r="AG11" s="26" t="s">
        <v>90</v>
      </c>
      <c r="AH11" s="26" t="s">
        <v>149</v>
      </c>
      <c r="AI11" s="26" t="s">
        <v>150</v>
      </c>
      <c r="AJ11" s="26">
        <v>2</v>
      </c>
      <c r="AK11" s="26" t="s">
        <v>151</v>
      </c>
      <c r="AL11" s="26" t="s">
        <v>94</v>
      </c>
      <c r="AM11" s="26" t="s">
        <v>94</v>
      </c>
      <c r="AN11" s="26" t="s">
        <v>152</v>
      </c>
      <c r="AO11" s="26">
        <v>2</v>
      </c>
      <c r="AP11" s="26" t="s">
        <v>153</v>
      </c>
      <c r="AQ11" s="26" t="s">
        <v>123</v>
      </c>
      <c r="AR11" s="26" t="s">
        <v>114</v>
      </c>
      <c r="AS11" s="26" t="s">
        <v>124</v>
      </c>
      <c r="AT11" s="26" t="s">
        <v>116</v>
      </c>
      <c r="AU11" s="26" t="s">
        <v>154</v>
      </c>
      <c r="AV11" s="26">
        <v>3</v>
      </c>
      <c r="AW11" s="26" t="s">
        <v>155</v>
      </c>
      <c r="AX11" s="26" t="s">
        <v>119</v>
      </c>
      <c r="AY11" s="26" t="s">
        <v>120</v>
      </c>
      <c r="AZ11" s="26" t="s">
        <v>116</v>
      </c>
      <c r="BA11" s="26" t="s">
        <v>156</v>
      </c>
      <c r="BB11" s="26">
        <v>2</v>
      </c>
      <c r="BC11" s="26"/>
      <c r="BD11" s="26"/>
      <c r="BE11" s="26"/>
      <c r="BF11" s="26"/>
      <c r="BG11" s="26"/>
      <c r="BH11" s="26"/>
      <c r="BI11" s="26"/>
      <c r="BJ11" s="26"/>
      <c r="BK11" s="26"/>
      <c r="BL11" s="26"/>
      <c r="BM11" s="26"/>
      <c r="BN11" s="26"/>
      <c r="BO11" s="31" t="s">
        <v>157</v>
      </c>
      <c r="BP11" s="32" t="s">
        <v>167</v>
      </c>
      <c r="BQ11" s="31" t="s">
        <v>159</v>
      </c>
      <c r="BR11" s="31" t="s">
        <v>160</v>
      </c>
      <c r="BS11" s="31">
        <v>79.122993530000002</v>
      </c>
      <c r="BT11" s="31">
        <v>88.404761489999999</v>
      </c>
      <c r="BU11" s="31" t="s">
        <v>161</v>
      </c>
      <c r="BV11" s="31" t="s">
        <v>160</v>
      </c>
      <c r="BW11" s="31" t="s">
        <v>160</v>
      </c>
      <c r="BX11" s="31">
        <v>80.005107899999999</v>
      </c>
      <c r="BY11" s="31">
        <v>88.80091942</v>
      </c>
      <c r="BZ11" s="31" t="s">
        <v>161</v>
      </c>
      <c r="CA11" s="31" t="s">
        <v>160</v>
      </c>
      <c r="CB11" s="31" t="s">
        <v>162</v>
      </c>
      <c r="CC11" s="31" t="s">
        <v>163</v>
      </c>
      <c r="CD11" s="31" t="s">
        <v>164</v>
      </c>
      <c r="CE11" s="26"/>
    </row>
    <row r="12" spans="1:84" customFormat="1" ht="43.5">
      <c r="A12" s="26">
        <v>3</v>
      </c>
      <c r="B12" s="26" t="s">
        <v>133</v>
      </c>
      <c r="C12" s="26">
        <v>2009</v>
      </c>
      <c r="D12" s="26" t="s">
        <v>134</v>
      </c>
      <c r="E12" s="30">
        <v>44706</v>
      </c>
      <c r="F12" s="31" t="s">
        <v>97</v>
      </c>
      <c r="G12" s="31" t="s">
        <v>135</v>
      </c>
      <c r="H12" s="31">
        <v>1</v>
      </c>
      <c r="I12" s="31"/>
      <c r="J12" s="26" t="s">
        <v>136</v>
      </c>
      <c r="K12" s="26" t="s">
        <v>97</v>
      </c>
      <c r="L12" s="26" t="s">
        <v>137</v>
      </c>
      <c r="M12" s="26" t="s">
        <v>138</v>
      </c>
      <c r="N12" s="26" t="s">
        <v>139</v>
      </c>
      <c r="O12" s="26" t="s">
        <v>90</v>
      </c>
      <c r="P12" s="26" t="s">
        <v>97</v>
      </c>
      <c r="Q12" s="26" t="s">
        <v>140</v>
      </c>
      <c r="R12" s="26"/>
      <c r="S12" s="26" t="s">
        <v>90</v>
      </c>
      <c r="T12" s="26" t="s">
        <v>141</v>
      </c>
      <c r="U12" s="26" t="s">
        <v>99</v>
      </c>
      <c r="V12" s="26">
        <v>1</v>
      </c>
      <c r="W12" s="26" t="s">
        <v>142</v>
      </c>
      <c r="X12" s="26" t="s">
        <v>143</v>
      </c>
      <c r="Y12" s="26" t="s">
        <v>102</v>
      </c>
      <c r="Z12" s="26" t="s">
        <v>144</v>
      </c>
      <c r="AA12" s="26" t="s">
        <v>145</v>
      </c>
      <c r="AB12" s="26" t="s">
        <v>20</v>
      </c>
      <c r="AC12" s="26" t="s">
        <v>146</v>
      </c>
      <c r="AD12" s="26" t="s">
        <v>147</v>
      </c>
      <c r="AE12" s="26" t="s">
        <v>148</v>
      </c>
      <c r="AF12" s="26">
        <v>2</v>
      </c>
      <c r="AG12" s="26" t="s">
        <v>90</v>
      </c>
      <c r="AH12" s="26" t="s">
        <v>149</v>
      </c>
      <c r="AI12" s="26" t="s">
        <v>150</v>
      </c>
      <c r="AJ12" s="26">
        <v>2</v>
      </c>
      <c r="AK12" s="26" t="s">
        <v>151</v>
      </c>
      <c r="AL12" s="26" t="s">
        <v>94</v>
      </c>
      <c r="AM12" s="26" t="s">
        <v>94</v>
      </c>
      <c r="AN12" s="26" t="s">
        <v>152</v>
      </c>
      <c r="AO12" s="26">
        <v>2</v>
      </c>
      <c r="AP12" s="26" t="s">
        <v>153</v>
      </c>
      <c r="AQ12" s="26" t="s">
        <v>123</v>
      </c>
      <c r="AR12" s="26" t="s">
        <v>114</v>
      </c>
      <c r="AS12" s="26" t="s">
        <v>124</v>
      </c>
      <c r="AT12" s="26" t="s">
        <v>116</v>
      </c>
      <c r="AU12" s="26" t="s">
        <v>154</v>
      </c>
      <c r="AV12" s="26">
        <v>3</v>
      </c>
      <c r="AW12" s="26" t="s">
        <v>155</v>
      </c>
      <c r="AX12" s="26" t="s">
        <v>119</v>
      </c>
      <c r="AY12" s="26" t="s">
        <v>120</v>
      </c>
      <c r="AZ12" s="26" t="s">
        <v>116</v>
      </c>
      <c r="BA12" s="26" t="s">
        <v>156</v>
      </c>
      <c r="BB12" s="26">
        <v>2</v>
      </c>
      <c r="BC12" s="26"/>
      <c r="BD12" s="26"/>
      <c r="BE12" s="26"/>
      <c r="BF12" s="26"/>
      <c r="BG12" s="26"/>
      <c r="BH12" s="26"/>
      <c r="BI12" s="26"/>
      <c r="BJ12" s="26"/>
      <c r="BK12" s="26"/>
      <c r="BL12" s="26"/>
      <c r="BM12" s="26"/>
      <c r="BN12" s="26"/>
      <c r="BO12" s="31" t="s">
        <v>157</v>
      </c>
      <c r="BP12" s="32" t="s">
        <v>167</v>
      </c>
      <c r="BQ12" s="31" t="s">
        <v>159</v>
      </c>
      <c r="BR12" s="31" t="s">
        <v>160</v>
      </c>
      <c r="BS12" s="31">
        <v>28.01889259</v>
      </c>
      <c r="BT12" s="31">
        <v>33.322759990000002</v>
      </c>
      <c r="BU12" s="31" t="s">
        <v>161</v>
      </c>
      <c r="BV12" s="31" t="s">
        <v>160</v>
      </c>
      <c r="BW12" s="31" t="s">
        <v>160</v>
      </c>
      <c r="BX12" s="31">
        <v>42.257055289999997</v>
      </c>
      <c r="BY12" s="31">
        <v>47.283233299999999</v>
      </c>
      <c r="BZ12" s="31" t="s">
        <v>161</v>
      </c>
      <c r="CA12" s="31" t="s">
        <v>160</v>
      </c>
      <c r="CB12" s="31" t="s">
        <v>162</v>
      </c>
      <c r="CC12" s="31" t="s">
        <v>163</v>
      </c>
      <c r="CD12" s="31" t="s">
        <v>164</v>
      </c>
      <c r="CE12" s="26"/>
    </row>
    <row r="13" spans="1:84" customFormat="1" ht="43.5">
      <c r="A13" s="26">
        <v>3</v>
      </c>
      <c r="B13" s="26" t="s">
        <v>133</v>
      </c>
      <c r="C13" s="26">
        <v>2009</v>
      </c>
      <c r="D13" s="26" t="s">
        <v>134</v>
      </c>
      <c r="E13" s="30">
        <v>44706</v>
      </c>
      <c r="F13" s="31" t="s">
        <v>97</v>
      </c>
      <c r="G13" s="31" t="s">
        <v>135</v>
      </c>
      <c r="H13" s="31">
        <v>1</v>
      </c>
      <c r="I13" s="31"/>
      <c r="J13" s="26" t="s">
        <v>136</v>
      </c>
      <c r="K13" s="26" t="s">
        <v>97</v>
      </c>
      <c r="L13" s="26" t="s">
        <v>137</v>
      </c>
      <c r="M13" s="26" t="s">
        <v>138</v>
      </c>
      <c r="N13" s="26" t="s">
        <v>139</v>
      </c>
      <c r="O13" s="26" t="s">
        <v>90</v>
      </c>
      <c r="P13" s="26" t="s">
        <v>97</v>
      </c>
      <c r="Q13" s="26" t="s">
        <v>140</v>
      </c>
      <c r="R13" s="26"/>
      <c r="S13" s="26" t="s">
        <v>90</v>
      </c>
      <c r="T13" s="26" t="s">
        <v>141</v>
      </c>
      <c r="U13" s="26" t="s">
        <v>99</v>
      </c>
      <c r="V13" s="26">
        <v>1</v>
      </c>
      <c r="W13" s="26" t="s">
        <v>142</v>
      </c>
      <c r="X13" s="26" t="s">
        <v>143</v>
      </c>
      <c r="Y13" s="26" t="s">
        <v>102</v>
      </c>
      <c r="Z13" s="26" t="s">
        <v>144</v>
      </c>
      <c r="AA13" s="26" t="s">
        <v>145</v>
      </c>
      <c r="AB13" s="26" t="s">
        <v>20</v>
      </c>
      <c r="AC13" s="26" t="s">
        <v>146</v>
      </c>
      <c r="AD13" s="26" t="s">
        <v>147</v>
      </c>
      <c r="AE13" s="26" t="s">
        <v>148</v>
      </c>
      <c r="AF13" s="26">
        <v>2</v>
      </c>
      <c r="AG13" s="26" t="s">
        <v>90</v>
      </c>
      <c r="AH13" s="26" t="s">
        <v>149</v>
      </c>
      <c r="AI13" s="26" t="s">
        <v>150</v>
      </c>
      <c r="AJ13" s="26">
        <v>2</v>
      </c>
      <c r="AK13" s="26" t="s">
        <v>151</v>
      </c>
      <c r="AL13" s="26" t="s">
        <v>94</v>
      </c>
      <c r="AM13" s="26" t="s">
        <v>94</v>
      </c>
      <c r="AN13" s="26" t="s">
        <v>152</v>
      </c>
      <c r="AO13" s="26">
        <v>2</v>
      </c>
      <c r="AP13" s="26" t="s">
        <v>153</v>
      </c>
      <c r="AQ13" s="26" t="s">
        <v>123</v>
      </c>
      <c r="AR13" s="26" t="s">
        <v>114</v>
      </c>
      <c r="AS13" s="26" t="s">
        <v>124</v>
      </c>
      <c r="AT13" s="26" t="s">
        <v>116</v>
      </c>
      <c r="AU13" s="26" t="s">
        <v>154</v>
      </c>
      <c r="AV13" s="26">
        <v>3</v>
      </c>
      <c r="AW13" s="26" t="s">
        <v>155</v>
      </c>
      <c r="AX13" s="26" t="s">
        <v>119</v>
      </c>
      <c r="AY13" s="26" t="s">
        <v>120</v>
      </c>
      <c r="AZ13" s="26" t="s">
        <v>116</v>
      </c>
      <c r="BA13" s="26" t="s">
        <v>156</v>
      </c>
      <c r="BB13" s="26">
        <v>2</v>
      </c>
      <c r="BC13" s="26"/>
      <c r="BD13" s="26"/>
      <c r="BE13" s="26"/>
      <c r="BF13" s="26"/>
      <c r="BG13" s="26"/>
      <c r="BH13" s="26"/>
      <c r="BI13" s="26"/>
      <c r="BJ13" s="26"/>
      <c r="BK13" s="26"/>
      <c r="BL13" s="26"/>
      <c r="BM13" s="26"/>
      <c r="BN13" s="26"/>
      <c r="BO13" s="31" t="s">
        <v>157</v>
      </c>
      <c r="BP13" s="32" t="s">
        <v>168</v>
      </c>
      <c r="BQ13" s="31" t="s">
        <v>159</v>
      </c>
      <c r="BR13" s="31" t="s">
        <v>160</v>
      </c>
      <c r="BS13" s="31">
        <v>67.063806049999997</v>
      </c>
      <c r="BT13" s="31">
        <v>73.030656879999995</v>
      </c>
      <c r="BU13" s="31" t="s">
        <v>161</v>
      </c>
      <c r="BV13" s="31" t="s">
        <v>160</v>
      </c>
      <c r="BW13" s="31" t="s">
        <v>160</v>
      </c>
      <c r="BX13" s="31">
        <v>54.127186819999999</v>
      </c>
      <c r="BY13" s="31">
        <v>63.551270590000001</v>
      </c>
      <c r="BZ13" s="31" t="s">
        <v>161</v>
      </c>
      <c r="CA13" s="31" t="s">
        <v>160</v>
      </c>
      <c r="CB13" s="31" t="s">
        <v>162</v>
      </c>
      <c r="CC13" s="31" t="s">
        <v>163</v>
      </c>
      <c r="CD13" s="31" t="s">
        <v>164</v>
      </c>
      <c r="CE13" s="26"/>
    </row>
    <row r="14" spans="1:84" customFormat="1" ht="43.5">
      <c r="A14" s="26">
        <v>3</v>
      </c>
      <c r="B14" s="26" t="s">
        <v>133</v>
      </c>
      <c r="C14" s="26">
        <v>2009</v>
      </c>
      <c r="D14" s="26" t="s">
        <v>134</v>
      </c>
      <c r="E14" s="30">
        <v>44706</v>
      </c>
      <c r="F14" s="31" t="s">
        <v>97</v>
      </c>
      <c r="G14" s="31" t="s">
        <v>135</v>
      </c>
      <c r="H14" s="31">
        <v>1</v>
      </c>
      <c r="I14" s="31"/>
      <c r="J14" s="26" t="s">
        <v>136</v>
      </c>
      <c r="K14" s="26" t="s">
        <v>97</v>
      </c>
      <c r="L14" s="26" t="s">
        <v>137</v>
      </c>
      <c r="M14" s="26" t="s">
        <v>138</v>
      </c>
      <c r="N14" s="26" t="s">
        <v>139</v>
      </c>
      <c r="O14" s="26" t="s">
        <v>90</v>
      </c>
      <c r="P14" s="26" t="s">
        <v>97</v>
      </c>
      <c r="Q14" s="26" t="s">
        <v>140</v>
      </c>
      <c r="R14" s="26"/>
      <c r="S14" s="26" t="s">
        <v>90</v>
      </c>
      <c r="T14" s="26" t="s">
        <v>141</v>
      </c>
      <c r="U14" s="26" t="s">
        <v>99</v>
      </c>
      <c r="V14" s="26">
        <v>1</v>
      </c>
      <c r="W14" s="26" t="s">
        <v>142</v>
      </c>
      <c r="X14" s="26" t="s">
        <v>143</v>
      </c>
      <c r="Y14" s="26" t="s">
        <v>102</v>
      </c>
      <c r="Z14" s="26" t="s">
        <v>144</v>
      </c>
      <c r="AA14" s="26" t="s">
        <v>145</v>
      </c>
      <c r="AB14" s="26" t="s">
        <v>20</v>
      </c>
      <c r="AC14" s="26" t="s">
        <v>146</v>
      </c>
      <c r="AD14" s="26" t="s">
        <v>147</v>
      </c>
      <c r="AE14" s="26" t="s">
        <v>148</v>
      </c>
      <c r="AF14" s="26">
        <v>2</v>
      </c>
      <c r="AG14" s="26" t="s">
        <v>90</v>
      </c>
      <c r="AH14" s="26" t="s">
        <v>149</v>
      </c>
      <c r="AI14" s="26" t="s">
        <v>150</v>
      </c>
      <c r="AJ14" s="26">
        <v>2</v>
      </c>
      <c r="AK14" s="26" t="s">
        <v>151</v>
      </c>
      <c r="AL14" s="26" t="s">
        <v>94</v>
      </c>
      <c r="AM14" s="26" t="s">
        <v>94</v>
      </c>
      <c r="AN14" s="26" t="s">
        <v>152</v>
      </c>
      <c r="AO14" s="26">
        <v>2</v>
      </c>
      <c r="AP14" s="26" t="s">
        <v>153</v>
      </c>
      <c r="AQ14" s="26" t="s">
        <v>123</v>
      </c>
      <c r="AR14" s="26" t="s">
        <v>114</v>
      </c>
      <c r="AS14" s="26" t="s">
        <v>124</v>
      </c>
      <c r="AT14" s="26" t="s">
        <v>116</v>
      </c>
      <c r="AU14" s="26" t="s">
        <v>154</v>
      </c>
      <c r="AV14" s="26">
        <v>3</v>
      </c>
      <c r="AW14" s="26" t="s">
        <v>155</v>
      </c>
      <c r="AX14" s="26" t="s">
        <v>119</v>
      </c>
      <c r="AY14" s="26" t="s">
        <v>120</v>
      </c>
      <c r="AZ14" s="26" t="s">
        <v>116</v>
      </c>
      <c r="BA14" s="26" t="s">
        <v>156</v>
      </c>
      <c r="BB14" s="26">
        <v>2</v>
      </c>
      <c r="BC14" s="26"/>
      <c r="BD14" s="26"/>
      <c r="BE14" s="26"/>
      <c r="BF14" s="26"/>
      <c r="BG14" s="26"/>
      <c r="BH14" s="26"/>
      <c r="BI14" s="26"/>
      <c r="BJ14" s="26"/>
      <c r="BK14" s="26"/>
      <c r="BL14" s="26"/>
      <c r="BM14" s="26"/>
      <c r="BN14" s="26"/>
      <c r="BO14" s="31" t="s">
        <v>157</v>
      </c>
      <c r="BP14" s="32" t="s">
        <v>168</v>
      </c>
      <c r="BQ14" s="31" t="s">
        <v>159</v>
      </c>
      <c r="BR14" s="31" t="s">
        <v>160</v>
      </c>
      <c r="BS14" s="31">
        <v>31.208323889999999</v>
      </c>
      <c r="BT14" s="31">
        <v>35.849207870000001</v>
      </c>
      <c r="BU14" s="31" t="s">
        <v>161</v>
      </c>
      <c r="BV14" s="31" t="s">
        <v>160</v>
      </c>
      <c r="BW14" s="31" t="s">
        <v>160</v>
      </c>
      <c r="BX14" s="31">
        <v>51.562380279999999</v>
      </c>
      <c r="BY14" s="31">
        <v>59.101647300000003</v>
      </c>
      <c r="BZ14" s="31" t="s">
        <v>161</v>
      </c>
      <c r="CA14" s="31" t="s">
        <v>160</v>
      </c>
      <c r="CB14" s="31" t="s">
        <v>162</v>
      </c>
      <c r="CC14" s="31" t="s">
        <v>163</v>
      </c>
      <c r="CD14" s="31" t="s">
        <v>164</v>
      </c>
      <c r="CE14" s="26"/>
    </row>
    <row r="15" spans="1:84" customFormat="1" ht="43.5">
      <c r="A15" s="26">
        <v>3</v>
      </c>
      <c r="B15" s="26" t="s">
        <v>133</v>
      </c>
      <c r="C15" s="26">
        <v>2009</v>
      </c>
      <c r="D15" s="26" t="s">
        <v>134</v>
      </c>
      <c r="E15" s="30">
        <v>44706</v>
      </c>
      <c r="F15" s="31" t="s">
        <v>97</v>
      </c>
      <c r="G15" s="31" t="s">
        <v>135</v>
      </c>
      <c r="H15" s="31">
        <v>1</v>
      </c>
      <c r="I15" s="31"/>
      <c r="J15" s="26" t="s">
        <v>136</v>
      </c>
      <c r="K15" s="26" t="s">
        <v>97</v>
      </c>
      <c r="L15" s="26" t="s">
        <v>137</v>
      </c>
      <c r="M15" s="26" t="s">
        <v>138</v>
      </c>
      <c r="N15" s="26" t="s">
        <v>139</v>
      </c>
      <c r="O15" s="26" t="s">
        <v>90</v>
      </c>
      <c r="P15" s="26" t="s">
        <v>97</v>
      </c>
      <c r="Q15" s="26" t="s">
        <v>140</v>
      </c>
      <c r="R15" s="26"/>
      <c r="S15" s="26" t="s">
        <v>90</v>
      </c>
      <c r="T15" s="26" t="s">
        <v>141</v>
      </c>
      <c r="U15" s="26" t="s">
        <v>99</v>
      </c>
      <c r="V15" s="26">
        <v>1</v>
      </c>
      <c r="W15" s="26" t="s">
        <v>142</v>
      </c>
      <c r="X15" s="26" t="s">
        <v>143</v>
      </c>
      <c r="Y15" s="26" t="s">
        <v>102</v>
      </c>
      <c r="Z15" s="26" t="s">
        <v>144</v>
      </c>
      <c r="AA15" s="26" t="s">
        <v>145</v>
      </c>
      <c r="AB15" s="26" t="s">
        <v>20</v>
      </c>
      <c r="AC15" s="26" t="s">
        <v>146</v>
      </c>
      <c r="AD15" s="26" t="s">
        <v>147</v>
      </c>
      <c r="AE15" s="26" t="s">
        <v>148</v>
      </c>
      <c r="AF15" s="26">
        <v>2</v>
      </c>
      <c r="AG15" s="26" t="s">
        <v>90</v>
      </c>
      <c r="AH15" s="26" t="s">
        <v>149</v>
      </c>
      <c r="AI15" s="26" t="s">
        <v>150</v>
      </c>
      <c r="AJ15" s="26">
        <v>2</v>
      </c>
      <c r="AK15" s="26" t="s">
        <v>151</v>
      </c>
      <c r="AL15" s="26" t="s">
        <v>94</v>
      </c>
      <c r="AM15" s="26" t="s">
        <v>94</v>
      </c>
      <c r="AN15" s="26" t="s">
        <v>152</v>
      </c>
      <c r="AO15" s="26">
        <v>2</v>
      </c>
      <c r="AP15" s="26" t="s">
        <v>153</v>
      </c>
      <c r="AQ15" s="26" t="s">
        <v>123</v>
      </c>
      <c r="AR15" s="26" t="s">
        <v>114</v>
      </c>
      <c r="AS15" s="26" t="s">
        <v>124</v>
      </c>
      <c r="AT15" s="26" t="s">
        <v>116</v>
      </c>
      <c r="AU15" s="26" t="s">
        <v>154</v>
      </c>
      <c r="AV15" s="26">
        <v>3</v>
      </c>
      <c r="AW15" s="26" t="s">
        <v>155</v>
      </c>
      <c r="AX15" s="26" t="s">
        <v>119</v>
      </c>
      <c r="AY15" s="26" t="s">
        <v>120</v>
      </c>
      <c r="AZ15" s="26" t="s">
        <v>116</v>
      </c>
      <c r="BA15" s="26" t="s">
        <v>156</v>
      </c>
      <c r="BB15" s="26">
        <v>2</v>
      </c>
      <c r="BC15" s="26"/>
      <c r="BD15" s="26"/>
      <c r="BE15" s="26"/>
      <c r="BF15" s="26"/>
      <c r="BG15" s="26"/>
      <c r="BH15" s="26"/>
      <c r="BI15" s="26"/>
      <c r="BJ15" s="26"/>
      <c r="BK15" s="26"/>
      <c r="BL15" s="26"/>
      <c r="BM15" s="26"/>
      <c r="BN15" s="26"/>
      <c r="BO15" s="31" t="s">
        <v>157</v>
      </c>
      <c r="BP15" s="32" t="s">
        <v>169</v>
      </c>
      <c r="BQ15" s="31" t="s">
        <v>159</v>
      </c>
      <c r="BR15" s="31" t="s">
        <v>160</v>
      </c>
      <c r="BS15" s="31">
        <v>53.655645989999996</v>
      </c>
      <c r="BT15" s="31" t="s">
        <v>160</v>
      </c>
      <c r="BU15" s="31" t="s">
        <v>161</v>
      </c>
      <c r="BV15" s="31" t="s">
        <v>160</v>
      </c>
      <c r="BW15" s="31" t="s">
        <v>160</v>
      </c>
      <c r="BX15" s="31">
        <v>63.411441709999998</v>
      </c>
      <c r="BY15" s="31" t="s">
        <v>160</v>
      </c>
      <c r="BZ15" s="31" t="s">
        <v>161</v>
      </c>
      <c r="CA15" s="31" t="s">
        <v>160</v>
      </c>
      <c r="CB15" s="31" t="s">
        <v>162</v>
      </c>
      <c r="CC15" s="31" t="s">
        <v>163</v>
      </c>
      <c r="CD15" s="31" t="s">
        <v>164</v>
      </c>
      <c r="CE15" s="26"/>
    </row>
    <row r="16" spans="1:84" customFormat="1" ht="43.5">
      <c r="A16" s="26">
        <v>3</v>
      </c>
      <c r="B16" s="26" t="s">
        <v>133</v>
      </c>
      <c r="C16" s="26">
        <v>2009</v>
      </c>
      <c r="D16" s="26" t="s">
        <v>134</v>
      </c>
      <c r="E16" s="30">
        <v>44706</v>
      </c>
      <c r="F16" s="31" t="s">
        <v>97</v>
      </c>
      <c r="G16" s="31" t="s">
        <v>135</v>
      </c>
      <c r="H16" s="31">
        <v>1</v>
      </c>
      <c r="I16" s="31"/>
      <c r="J16" s="26" t="s">
        <v>136</v>
      </c>
      <c r="K16" s="26" t="s">
        <v>97</v>
      </c>
      <c r="L16" s="26" t="s">
        <v>137</v>
      </c>
      <c r="M16" s="26" t="s">
        <v>138</v>
      </c>
      <c r="N16" s="26" t="s">
        <v>139</v>
      </c>
      <c r="O16" s="26" t="s">
        <v>90</v>
      </c>
      <c r="P16" s="26" t="s">
        <v>97</v>
      </c>
      <c r="Q16" s="26" t="s">
        <v>140</v>
      </c>
      <c r="R16" s="26"/>
      <c r="S16" s="26" t="s">
        <v>90</v>
      </c>
      <c r="T16" s="26" t="s">
        <v>141</v>
      </c>
      <c r="U16" s="26" t="s">
        <v>99</v>
      </c>
      <c r="V16" s="26">
        <v>1</v>
      </c>
      <c r="W16" s="26" t="s">
        <v>142</v>
      </c>
      <c r="X16" s="26" t="s">
        <v>143</v>
      </c>
      <c r="Y16" s="26" t="s">
        <v>102</v>
      </c>
      <c r="Z16" s="26" t="s">
        <v>144</v>
      </c>
      <c r="AA16" s="26" t="s">
        <v>145</v>
      </c>
      <c r="AB16" s="26" t="s">
        <v>20</v>
      </c>
      <c r="AC16" s="26" t="s">
        <v>146</v>
      </c>
      <c r="AD16" s="26" t="s">
        <v>147</v>
      </c>
      <c r="AE16" s="26" t="s">
        <v>148</v>
      </c>
      <c r="AF16" s="26">
        <v>2</v>
      </c>
      <c r="AG16" s="26" t="s">
        <v>90</v>
      </c>
      <c r="AH16" s="26" t="s">
        <v>149</v>
      </c>
      <c r="AI16" s="26" t="s">
        <v>150</v>
      </c>
      <c r="AJ16" s="26">
        <v>2</v>
      </c>
      <c r="AK16" s="26" t="s">
        <v>151</v>
      </c>
      <c r="AL16" s="26" t="s">
        <v>94</v>
      </c>
      <c r="AM16" s="26" t="s">
        <v>94</v>
      </c>
      <c r="AN16" s="26" t="s">
        <v>152</v>
      </c>
      <c r="AO16" s="26">
        <v>2</v>
      </c>
      <c r="AP16" s="26" t="s">
        <v>153</v>
      </c>
      <c r="AQ16" s="26" t="s">
        <v>123</v>
      </c>
      <c r="AR16" s="26" t="s">
        <v>114</v>
      </c>
      <c r="AS16" s="26" t="s">
        <v>124</v>
      </c>
      <c r="AT16" s="26" t="s">
        <v>116</v>
      </c>
      <c r="AU16" s="26" t="s">
        <v>154</v>
      </c>
      <c r="AV16" s="26">
        <v>3</v>
      </c>
      <c r="AW16" s="26" t="s">
        <v>155</v>
      </c>
      <c r="AX16" s="26" t="s">
        <v>119</v>
      </c>
      <c r="AY16" s="26" t="s">
        <v>120</v>
      </c>
      <c r="AZ16" s="26" t="s">
        <v>116</v>
      </c>
      <c r="BA16" s="26" t="s">
        <v>156</v>
      </c>
      <c r="BB16" s="26">
        <v>2</v>
      </c>
      <c r="BC16" s="26"/>
      <c r="BD16" s="26"/>
      <c r="BE16" s="26"/>
      <c r="BF16" s="26"/>
      <c r="BG16" s="26"/>
      <c r="BH16" s="26"/>
      <c r="BI16" s="26"/>
      <c r="BJ16" s="26"/>
      <c r="BK16" s="26"/>
      <c r="BL16" s="26"/>
      <c r="BM16" s="26"/>
      <c r="BN16" s="26"/>
      <c r="BO16" s="31" t="s">
        <v>157</v>
      </c>
      <c r="BP16" s="32" t="s">
        <v>169</v>
      </c>
      <c r="BQ16" s="31" t="s">
        <v>159</v>
      </c>
      <c r="BR16" s="31" t="s">
        <v>160</v>
      </c>
      <c r="BS16" s="31">
        <v>42.307544839999998</v>
      </c>
      <c r="BT16" s="31" t="s">
        <v>160</v>
      </c>
      <c r="BU16" s="31" t="s">
        <v>161</v>
      </c>
      <c r="BV16" s="31" t="s">
        <v>160</v>
      </c>
      <c r="BW16" s="31" t="s">
        <v>160</v>
      </c>
      <c r="BX16" s="31">
        <v>49.516664540000001</v>
      </c>
      <c r="BY16" s="31" t="s">
        <v>160</v>
      </c>
      <c r="BZ16" s="31" t="s">
        <v>161</v>
      </c>
      <c r="CA16" s="31" t="s">
        <v>160</v>
      </c>
      <c r="CB16" s="31" t="s">
        <v>162</v>
      </c>
      <c r="CC16" s="31" t="s">
        <v>163</v>
      </c>
      <c r="CD16" s="31" t="s">
        <v>164</v>
      </c>
      <c r="CE16" s="26"/>
      <c r="CF16" s="40"/>
    </row>
    <row r="17" spans="1:84" ht="58">
      <c r="A17" s="26">
        <v>3</v>
      </c>
      <c r="B17" s="26" t="s">
        <v>133</v>
      </c>
      <c r="C17" s="26">
        <v>2009</v>
      </c>
      <c r="D17" s="26" t="s">
        <v>134</v>
      </c>
      <c r="E17" s="44">
        <v>44893</v>
      </c>
      <c r="F17" s="3" t="s">
        <v>97</v>
      </c>
      <c r="G17" s="3" t="s">
        <v>91</v>
      </c>
      <c r="I17" s="3" t="s">
        <v>170</v>
      </c>
      <c r="J17" s="26" t="s">
        <v>136</v>
      </c>
      <c r="K17" s="26" t="s">
        <v>97</v>
      </c>
      <c r="L17" s="26" t="s">
        <v>137</v>
      </c>
      <c r="M17" s="26" t="s">
        <v>138</v>
      </c>
      <c r="N17" s="26" t="s">
        <v>139</v>
      </c>
      <c r="O17" s="26" t="s">
        <v>90</v>
      </c>
      <c r="P17" s="26" t="s">
        <v>97</v>
      </c>
      <c r="Q17" s="26" t="s">
        <v>140</v>
      </c>
      <c r="R17" s="26"/>
      <c r="S17" s="26" t="s">
        <v>90</v>
      </c>
      <c r="T17" s="26" t="s">
        <v>141</v>
      </c>
      <c r="U17" s="26" t="s">
        <v>99</v>
      </c>
      <c r="V17" s="26">
        <v>1</v>
      </c>
      <c r="W17" s="26" t="s">
        <v>142</v>
      </c>
      <c r="X17" s="26" t="s">
        <v>143</v>
      </c>
      <c r="Y17" s="26" t="s">
        <v>102</v>
      </c>
      <c r="Z17" s="26" t="s">
        <v>144</v>
      </c>
      <c r="AA17" s="26" t="s">
        <v>145</v>
      </c>
      <c r="AB17" s="26" t="s">
        <v>20</v>
      </c>
      <c r="AC17" s="26" t="s">
        <v>146</v>
      </c>
      <c r="AD17" s="26" t="s">
        <v>147</v>
      </c>
      <c r="AE17" s="26" t="s">
        <v>148</v>
      </c>
      <c r="AF17" s="26">
        <v>2</v>
      </c>
      <c r="AG17" s="26" t="s">
        <v>90</v>
      </c>
      <c r="AH17" s="26" t="s">
        <v>149</v>
      </c>
      <c r="AI17" s="26" t="s">
        <v>150</v>
      </c>
      <c r="AJ17" s="26">
        <v>2</v>
      </c>
      <c r="AK17" s="26" t="s">
        <v>151</v>
      </c>
      <c r="AL17" s="26" t="s">
        <v>94</v>
      </c>
      <c r="AM17" s="26" t="s">
        <v>94</v>
      </c>
      <c r="AN17" s="26" t="s">
        <v>152</v>
      </c>
      <c r="AO17" s="26">
        <v>2</v>
      </c>
      <c r="AP17" s="26" t="s">
        <v>153</v>
      </c>
      <c r="AQ17" s="26" t="s">
        <v>123</v>
      </c>
      <c r="AR17" s="26" t="s">
        <v>114</v>
      </c>
      <c r="AS17" s="26" t="s">
        <v>124</v>
      </c>
      <c r="AT17" s="26" t="s">
        <v>116</v>
      </c>
      <c r="AU17" s="26" t="s">
        <v>154</v>
      </c>
      <c r="AV17" s="26">
        <v>3</v>
      </c>
      <c r="AW17" s="26" t="s">
        <v>155</v>
      </c>
      <c r="AX17" s="26" t="s">
        <v>119</v>
      </c>
      <c r="AY17" s="26" t="s">
        <v>120</v>
      </c>
      <c r="AZ17" s="26" t="s">
        <v>116</v>
      </c>
      <c r="BA17" s="26" t="s">
        <v>156</v>
      </c>
      <c r="BB17" s="26">
        <v>2</v>
      </c>
      <c r="BO17" s="3" t="s">
        <v>126</v>
      </c>
      <c r="BP17" s="3" t="s">
        <v>171</v>
      </c>
      <c r="BQ17" s="31" t="s">
        <v>159</v>
      </c>
      <c r="BR17" s="31" t="s">
        <v>160</v>
      </c>
      <c r="BS17" s="31"/>
      <c r="BT17" s="31"/>
      <c r="BU17" s="31" t="s">
        <v>161</v>
      </c>
      <c r="BV17" s="31" t="s">
        <v>160</v>
      </c>
      <c r="BW17" s="31" t="s">
        <v>160</v>
      </c>
      <c r="BX17" s="31"/>
      <c r="BY17" s="31"/>
      <c r="BZ17" s="31" t="s">
        <v>161</v>
      </c>
      <c r="CA17" s="31" t="s">
        <v>160</v>
      </c>
      <c r="CB17" s="31" t="s">
        <v>162</v>
      </c>
      <c r="CC17" s="31" t="s">
        <v>163</v>
      </c>
    </row>
    <row r="18" spans="1:84" ht="58">
      <c r="A18" s="26">
        <v>3</v>
      </c>
      <c r="B18" s="26" t="s">
        <v>133</v>
      </c>
      <c r="C18" s="26">
        <v>2009</v>
      </c>
      <c r="D18" s="26" t="s">
        <v>134</v>
      </c>
      <c r="E18" s="44">
        <v>44893</v>
      </c>
      <c r="F18" s="3" t="s">
        <v>97</v>
      </c>
      <c r="G18" s="3" t="s">
        <v>91</v>
      </c>
      <c r="I18" s="3" t="s">
        <v>170</v>
      </c>
      <c r="J18" s="26" t="s">
        <v>136</v>
      </c>
      <c r="K18" s="26" t="s">
        <v>97</v>
      </c>
      <c r="L18" s="26" t="s">
        <v>137</v>
      </c>
      <c r="M18" s="26" t="s">
        <v>138</v>
      </c>
      <c r="N18" s="26" t="s">
        <v>139</v>
      </c>
      <c r="O18" s="26" t="s">
        <v>90</v>
      </c>
      <c r="P18" s="26" t="s">
        <v>97</v>
      </c>
      <c r="Q18" s="26" t="s">
        <v>140</v>
      </c>
      <c r="R18" s="26"/>
      <c r="S18" s="26" t="s">
        <v>90</v>
      </c>
      <c r="T18" s="26" t="s">
        <v>141</v>
      </c>
      <c r="U18" s="26" t="s">
        <v>99</v>
      </c>
      <c r="V18" s="26">
        <v>1</v>
      </c>
      <c r="W18" s="26" t="s">
        <v>142</v>
      </c>
      <c r="X18" s="26" t="s">
        <v>143</v>
      </c>
      <c r="Y18" s="26" t="s">
        <v>102</v>
      </c>
      <c r="Z18" s="26" t="s">
        <v>144</v>
      </c>
      <c r="AA18" s="26" t="s">
        <v>145</v>
      </c>
      <c r="AB18" s="26" t="s">
        <v>20</v>
      </c>
      <c r="AC18" s="26" t="s">
        <v>146</v>
      </c>
      <c r="AD18" s="26" t="s">
        <v>147</v>
      </c>
      <c r="AE18" s="26" t="s">
        <v>148</v>
      </c>
      <c r="AF18" s="26">
        <v>2</v>
      </c>
      <c r="AG18" s="26" t="s">
        <v>90</v>
      </c>
      <c r="AH18" s="26" t="s">
        <v>149</v>
      </c>
      <c r="AI18" s="26" t="s">
        <v>150</v>
      </c>
      <c r="AJ18" s="26">
        <v>2</v>
      </c>
      <c r="AK18" s="26" t="s">
        <v>151</v>
      </c>
      <c r="AL18" s="26" t="s">
        <v>94</v>
      </c>
      <c r="AM18" s="26" t="s">
        <v>94</v>
      </c>
      <c r="AN18" s="26" t="s">
        <v>152</v>
      </c>
      <c r="AO18" s="26">
        <v>2</v>
      </c>
      <c r="AP18" s="26" t="s">
        <v>153</v>
      </c>
      <c r="AQ18" s="26" t="s">
        <v>123</v>
      </c>
      <c r="AR18" s="26" t="s">
        <v>114</v>
      </c>
      <c r="AS18" s="26" t="s">
        <v>124</v>
      </c>
      <c r="AT18" s="26" t="s">
        <v>116</v>
      </c>
      <c r="AU18" s="26" t="s">
        <v>154</v>
      </c>
      <c r="AV18" s="26">
        <v>3</v>
      </c>
      <c r="AW18" s="26" t="s">
        <v>155</v>
      </c>
      <c r="AX18" s="26" t="s">
        <v>119</v>
      </c>
      <c r="AY18" s="26" t="s">
        <v>120</v>
      </c>
      <c r="AZ18" s="26" t="s">
        <v>116</v>
      </c>
      <c r="BA18" s="26" t="s">
        <v>156</v>
      </c>
      <c r="BB18" s="26">
        <v>2</v>
      </c>
      <c r="BO18" s="3" t="s">
        <v>131</v>
      </c>
      <c r="BP18" s="3" t="s">
        <v>172</v>
      </c>
      <c r="BQ18" s="31" t="s">
        <v>159</v>
      </c>
      <c r="BR18" s="31" t="s">
        <v>160</v>
      </c>
      <c r="BS18" s="31"/>
      <c r="BT18" s="31"/>
      <c r="BU18" s="31" t="s">
        <v>161</v>
      </c>
      <c r="BV18" s="31" t="s">
        <v>160</v>
      </c>
      <c r="BW18" s="31" t="s">
        <v>160</v>
      </c>
      <c r="BX18" s="31"/>
      <c r="BY18" s="31"/>
      <c r="BZ18" s="31" t="s">
        <v>161</v>
      </c>
      <c r="CA18" s="31" t="s">
        <v>160</v>
      </c>
      <c r="CB18" s="31" t="s">
        <v>162</v>
      </c>
      <c r="CC18" s="31" t="s">
        <v>163</v>
      </c>
    </row>
    <row r="19" spans="1:84" ht="87">
      <c r="A19" s="26">
        <v>4</v>
      </c>
      <c r="B19" s="26" t="s">
        <v>173</v>
      </c>
      <c r="C19" s="26">
        <v>2011</v>
      </c>
      <c r="D19" s="26" t="s">
        <v>174</v>
      </c>
      <c r="E19" s="44">
        <v>44893</v>
      </c>
      <c r="F19" s="3" t="s">
        <v>90</v>
      </c>
      <c r="G19" s="3" t="s">
        <v>91</v>
      </c>
      <c r="H19" s="3">
        <v>1</v>
      </c>
      <c r="I19" s="3" t="s">
        <v>175</v>
      </c>
      <c r="J19" s="26" t="s">
        <v>176</v>
      </c>
      <c r="K19" s="26" t="s">
        <v>97</v>
      </c>
      <c r="L19" s="26" t="s">
        <v>90</v>
      </c>
      <c r="M19" s="26" t="s">
        <v>95</v>
      </c>
      <c r="N19" s="26" t="s">
        <v>177</v>
      </c>
      <c r="O19" s="26" t="s">
        <v>97</v>
      </c>
      <c r="P19" s="26" t="s">
        <v>97</v>
      </c>
      <c r="Q19" s="26"/>
      <c r="R19" s="26"/>
      <c r="S19" s="26" t="s">
        <v>90</v>
      </c>
      <c r="T19" s="26" t="s">
        <v>141</v>
      </c>
      <c r="U19" s="26" t="s">
        <v>99</v>
      </c>
      <c r="V19" s="26">
        <v>1</v>
      </c>
      <c r="W19" s="26">
        <v>1</v>
      </c>
      <c r="X19" s="26">
        <v>1</v>
      </c>
      <c r="Y19" s="26" t="s">
        <v>102</v>
      </c>
      <c r="Z19" s="26">
        <v>1</v>
      </c>
      <c r="AA19" s="26" t="s">
        <v>178</v>
      </c>
      <c r="AB19" s="26" t="s">
        <v>105</v>
      </c>
      <c r="AC19" s="26" t="s">
        <v>179</v>
      </c>
      <c r="AD19" s="26" t="s">
        <v>180</v>
      </c>
      <c r="AE19" s="26" t="s">
        <v>148</v>
      </c>
      <c r="AF19" s="26">
        <v>1</v>
      </c>
      <c r="AG19" s="26" t="s">
        <v>160</v>
      </c>
      <c r="AH19" s="26" t="s">
        <v>155</v>
      </c>
      <c r="AI19" s="26" t="s">
        <v>181</v>
      </c>
      <c r="AJ19" s="26">
        <v>2</v>
      </c>
      <c r="AK19" s="26" t="s">
        <v>151</v>
      </c>
      <c r="AL19" s="26" t="s">
        <v>97</v>
      </c>
      <c r="AM19" s="26" t="s">
        <v>97</v>
      </c>
      <c r="AN19" s="26" t="s">
        <v>152</v>
      </c>
      <c r="AO19" s="26">
        <v>2</v>
      </c>
      <c r="AP19" s="26" t="s">
        <v>155</v>
      </c>
      <c r="AQ19" s="26" t="s">
        <v>119</v>
      </c>
      <c r="AR19" s="26" t="s">
        <v>114</v>
      </c>
      <c r="AS19" s="26" t="s">
        <v>120</v>
      </c>
      <c r="AT19" s="26" t="s">
        <v>116</v>
      </c>
      <c r="AU19" s="26" t="s">
        <v>182</v>
      </c>
      <c r="AV19" s="26">
        <v>4</v>
      </c>
      <c r="AW19" s="26"/>
      <c r="AX19" s="26"/>
      <c r="AY19" s="26"/>
      <c r="AZ19" s="26"/>
      <c r="BA19" s="26"/>
      <c r="BB19" s="26"/>
      <c r="BC19" s="26"/>
      <c r="BD19" s="26"/>
      <c r="BE19" s="26"/>
      <c r="BF19" s="26"/>
      <c r="BG19" s="26"/>
      <c r="BH19" s="26"/>
      <c r="BI19" s="26"/>
      <c r="BJ19" s="26"/>
      <c r="BK19" s="26"/>
      <c r="BL19" s="26"/>
      <c r="BM19" s="26"/>
      <c r="BN19" s="26"/>
      <c r="BO19" s="31" t="s">
        <v>126</v>
      </c>
      <c r="BP19" s="3" t="s">
        <v>183</v>
      </c>
      <c r="BQ19" s="31" t="s">
        <v>184</v>
      </c>
      <c r="BR19" s="31" t="s">
        <v>160</v>
      </c>
      <c r="BS19" s="3">
        <v>1448.6146100000001</v>
      </c>
      <c r="BT19" s="3">
        <v>1514.3576825</v>
      </c>
      <c r="BU19" s="31" t="s">
        <v>161</v>
      </c>
      <c r="BV19" s="3">
        <v>12</v>
      </c>
      <c r="BW19" s="31" t="s">
        <v>160</v>
      </c>
      <c r="BX19" s="3">
        <v>1491.6876569999999</v>
      </c>
      <c r="BY19" s="3">
        <v>1573.2997479999999</v>
      </c>
      <c r="BZ19" s="31" t="s">
        <v>161</v>
      </c>
      <c r="CA19" s="31"/>
      <c r="CB19" s="3">
        <v>12</v>
      </c>
      <c r="CC19" s="3" t="s">
        <v>185</v>
      </c>
    </row>
    <row r="20" spans="1:84" ht="87">
      <c r="A20" s="26">
        <v>4</v>
      </c>
      <c r="B20" s="26" t="s">
        <v>173</v>
      </c>
      <c r="C20" s="26">
        <v>2011</v>
      </c>
      <c r="D20" s="26" t="s">
        <v>174</v>
      </c>
      <c r="E20" s="44">
        <v>44893</v>
      </c>
      <c r="F20" s="3" t="s">
        <v>90</v>
      </c>
      <c r="G20" s="3" t="s">
        <v>91</v>
      </c>
      <c r="H20" s="3">
        <v>1</v>
      </c>
      <c r="I20" s="3" t="s">
        <v>175</v>
      </c>
      <c r="J20" s="26" t="s">
        <v>176</v>
      </c>
      <c r="K20" s="26" t="s">
        <v>97</v>
      </c>
      <c r="L20" s="26" t="s">
        <v>90</v>
      </c>
      <c r="M20" s="26" t="s">
        <v>95</v>
      </c>
      <c r="N20" s="26" t="s">
        <v>177</v>
      </c>
      <c r="O20" s="26" t="s">
        <v>97</v>
      </c>
      <c r="P20" s="26" t="s">
        <v>97</v>
      </c>
      <c r="Q20" s="26"/>
      <c r="R20" s="26"/>
      <c r="S20" s="26" t="s">
        <v>90</v>
      </c>
      <c r="T20" s="26" t="s">
        <v>141</v>
      </c>
      <c r="U20" s="26" t="s">
        <v>99</v>
      </c>
      <c r="V20" s="26">
        <v>1</v>
      </c>
      <c r="W20" s="26">
        <v>1</v>
      </c>
      <c r="X20" s="26">
        <v>1</v>
      </c>
      <c r="Y20" s="26" t="s">
        <v>102</v>
      </c>
      <c r="Z20" s="26">
        <v>1</v>
      </c>
      <c r="AA20" s="26" t="s">
        <v>178</v>
      </c>
      <c r="AB20" s="26" t="s">
        <v>105</v>
      </c>
      <c r="AC20" s="26" t="s">
        <v>179</v>
      </c>
      <c r="AD20" s="26" t="s">
        <v>180</v>
      </c>
      <c r="AE20" s="26" t="s">
        <v>148</v>
      </c>
      <c r="AF20" s="26">
        <v>1</v>
      </c>
      <c r="AG20" s="26" t="s">
        <v>160</v>
      </c>
      <c r="AH20" s="26" t="s">
        <v>155</v>
      </c>
      <c r="AI20" s="26" t="s">
        <v>181</v>
      </c>
      <c r="AJ20" s="26">
        <v>2</v>
      </c>
      <c r="AK20" s="26" t="s">
        <v>151</v>
      </c>
      <c r="AL20" s="26" t="s">
        <v>97</v>
      </c>
      <c r="AM20" s="26" t="s">
        <v>97</v>
      </c>
      <c r="AN20" s="26" t="s">
        <v>152</v>
      </c>
      <c r="AO20" s="26">
        <v>2</v>
      </c>
      <c r="AP20" s="26" t="s">
        <v>155</v>
      </c>
      <c r="AQ20" s="26" t="s">
        <v>119</v>
      </c>
      <c r="AR20" s="26" t="s">
        <v>114</v>
      </c>
      <c r="AS20" s="26" t="s">
        <v>120</v>
      </c>
      <c r="AT20" s="26" t="s">
        <v>116</v>
      </c>
      <c r="AU20" s="26" t="s">
        <v>182</v>
      </c>
      <c r="AV20" s="26">
        <v>4</v>
      </c>
      <c r="AW20" s="26"/>
      <c r="AX20" s="26"/>
      <c r="AY20" s="26"/>
      <c r="AZ20" s="26"/>
      <c r="BA20" s="26"/>
      <c r="BB20" s="26"/>
      <c r="BC20" s="26"/>
      <c r="BD20" s="26"/>
      <c r="BE20" s="26"/>
      <c r="BF20" s="26"/>
      <c r="BG20" s="26"/>
      <c r="BH20" s="26"/>
      <c r="BI20" s="26"/>
      <c r="BJ20" s="26"/>
      <c r="BK20" s="26"/>
      <c r="BL20" s="26"/>
      <c r="BM20" s="26"/>
      <c r="BN20" s="26"/>
      <c r="BO20" s="31" t="s">
        <v>131</v>
      </c>
      <c r="BP20" s="3" t="s">
        <v>186</v>
      </c>
      <c r="BQ20" s="31" t="s">
        <v>184</v>
      </c>
      <c r="BR20" s="31" t="s">
        <v>160</v>
      </c>
      <c r="BS20" s="3">
        <v>1181.1083120000001</v>
      </c>
      <c r="BT20" s="3">
        <v>1233.2493705000002</v>
      </c>
      <c r="BU20" s="31" t="s">
        <v>161</v>
      </c>
      <c r="BV20" s="3">
        <v>12</v>
      </c>
      <c r="BW20" s="31" t="s">
        <v>160</v>
      </c>
      <c r="BX20" s="3">
        <v>1360.2015114999999</v>
      </c>
      <c r="BY20" s="3">
        <v>1410.0755665000001</v>
      </c>
      <c r="BZ20" s="31" t="s">
        <v>161</v>
      </c>
      <c r="CA20" s="31"/>
      <c r="CB20" s="3">
        <v>12</v>
      </c>
      <c r="CC20" s="3" t="s">
        <v>185</v>
      </c>
    </row>
    <row r="21" spans="1:84" customFormat="1" ht="43.5">
      <c r="A21" s="26">
        <v>10</v>
      </c>
      <c r="B21" s="26" t="s">
        <v>187</v>
      </c>
      <c r="C21" s="26">
        <v>2015</v>
      </c>
      <c r="D21" s="26" t="s">
        <v>188</v>
      </c>
      <c r="E21" s="30">
        <v>44895</v>
      </c>
      <c r="F21" s="31" t="s">
        <v>90</v>
      </c>
      <c r="G21" s="31" t="s">
        <v>91</v>
      </c>
      <c r="H21" s="31"/>
      <c r="I21" s="32" t="s">
        <v>189</v>
      </c>
      <c r="J21" s="26"/>
      <c r="K21" s="26" t="s">
        <v>97</v>
      </c>
      <c r="L21" s="26" t="s">
        <v>97</v>
      </c>
      <c r="M21" s="26" t="s">
        <v>95</v>
      </c>
      <c r="N21" s="26" t="s">
        <v>190</v>
      </c>
      <c r="O21" s="26" t="s">
        <v>97</v>
      </c>
      <c r="P21" s="26" t="s">
        <v>97</v>
      </c>
      <c r="Q21" s="26"/>
      <c r="R21" s="26"/>
      <c r="S21" s="26" t="s">
        <v>90</v>
      </c>
      <c r="T21" s="26" t="s">
        <v>191</v>
      </c>
      <c r="U21" s="26" t="s">
        <v>99</v>
      </c>
      <c r="V21" s="26">
        <v>1</v>
      </c>
      <c r="W21" s="26" t="s">
        <v>192</v>
      </c>
      <c r="X21" s="26" t="s">
        <v>193</v>
      </c>
      <c r="Y21" s="26" t="s">
        <v>102</v>
      </c>
      <c r="Z21" s="26"/>
      <c r="AA21" s="26" t="s">
        <v>194</v>
      </c>
      <c r="AB21" s="26" t="s">
        <v>105</v>
      </c>
      <c r="AC21" s="26" t="s">
        <v>195</v>
      </c>
      <c r="AD21" s="26" t="s">
        <v>196</v>
      </c>
      <c r="AE21" s="26" t="s">
        <v>197</v>
      </c>
      <c r="AF21" s="26">
        <v>1</v>
      </c>
      <c r="AG21" s="26" t="s">
        <v>160</v>
      </c>
      <c r="AH21" s="26" t="s">
        <v>155</v>
      </c>
      <c r="AI21" s="26" t="s">
        <v>110</v>
      </c>
      <c r="AJ21" s="26">
        <v>2</v>
      </c>
      <c r="AK21" s="26" t="s">
        <v>99</v>
      </c>
      <c r="AL21" s="26" t="s">
        <v>94</v>
      </c>
      <c r="AM21" s="26" t="s">
        <v>94</v>
      </c>
      <c r="AN21" s="26" t="s">
        <v>111</v>
      </c>
      <c r="AO21" s="26" t="s">
        <v>111</v>
      </c>
      <c r="AP21" s="26" t="s">
        <v>155</v>
      </c>
      <c r="AQ21" s="26" t="s">
        <v>119</v>
      </c>
      <c r="AR21" s="26" t="s">
        <v>114</v>
      </c>
      <c r="AS21" s="26" t="s">
        <v>120</v>
      </c>
      <c r="AT21" s="26" t="s">
        <v>116</v>
      </c>
      <c r="AU21" s="26" t="s">
        <v>198</v>
      </c>
      <c r="AV21" s="26">
        <v>2</v>
      </c>
      <c r="AW21" s="26"/>
      <c r="AX21" s="26"/>
      <c r="AY21" s="26"/>
      <c r="AZ21" s="26"/>
      <c r="BA21" s="26"/>
      <c r="BB21" s="26"/>
      <c r="BC21" s="26"/>
      <c r="BD21" s="26"/>
      <c r="BE21" s="26"/>
      <c r="BF21" s="26"/>
      <c r="BG21" s="26"/>
      <c r="BH21" s="26"/>
      <c r="BI21" s="26"/>
      <c r="BJ21" s="26"/>
      <c r="BK21" s="26"/>
      <c r="BL21" s="26"/>
      <c r="BM21" s="26"/>
      <c r="BN21" s="26"/>
      <c r="BO21" s="32" t="s">
        <v>126</v>
      </c>
      <c r="BP21" s="32" t="s">
        <v>199</v>
      </c>
      <c r="BQ21" s="32" t="s">
        <v>200</v>
      </c>
      <c r="BR21" s="32" t="s">
        <v>111</v>
      </c>
      <c r="BS21" s="32">
        <v>9.2999999999999992E-3</v>
      </c>
      <c r="BT21" s="32">
        <v>9.8099999999999993E-3</v>
      </c>
      <c r="BU21" s="32" t="s">
        <v>129</v>
      </c>
      <c r="BV21" s="32">
        <v>45</v>
      </c>
      <c r="BW21" s="32" t="s">
        <v>111</v>
      </c>
      <c r="BX21" s="32">
        <v>1.18E-2</v>
      </c>
      <c r="BY21" s="32">
        <v>1.23E-3</v>
      </c>
      <c r="BZ21" s="32" t="s">
        <v>129</v>
      </c>
      <c r="CA21" s="32">
        <v>45</v>
      </c>
      <c r="CB21" s="32" t="s">
        <v>201</v>
      </c>
      <c r="CC21" s="32" t="s">
        <v>202</v>
      </c>
      <c r="CD21" s="32"/>
      <c r="CE21" s="26"/>
    </row>
    <row r="22" spans="1:84" customFormat="1" ht="43.5">
      <c r="A22" s="26">
        <v>10</v>
      </c>
      <c r="B22" s="26" t="s">
        <v>187</v>
      </c>
      <c r="C22" s="26">
        <v>2015</v>
      </c>
      <c r="D22" s="26" t="s">
        <v>188</v>
      </c>
      <c r="E22" s="30">
        <v>44895</v>
      </c>
      <c r="F22" s="31" t="s">
        <v>90</v>
      </c>
      <c r="G22" s="31" t="s">
        <v>91</v>
      </c>
      <c r="H22" s="31"/>
      <c r="I22" s="32" t="s">
        <v>189</v>
      </c>
      <c r="J22" s="26"/>
      <c r="K22" s="26" t="s">
        <v>97</v>
      </c>
      <c r="L22" s="26" t="s">
        <v>97</v>
      </c>
      <c r="M22" s="26" t="s">
        <v>95</v>
      </c>
      <c r="N22" s="26" t="s">
        <v>190</v>
      </c>
      <c r="O22" s="26" t="s">
        <v>97</v>
      </c>
      <c r="P22" s="26" t="s">
        <v>97</v>
      </c>
      <c r="Q22" s="26"/>
      <c r="R22" s="26"/>
      <c r="S22" s="26" t="s">
        <v>90</v>
      </c>
      <c r="T22" s="26" t="s">
        <v>191</v>
      </c>
      <c r="U22" s="26" t="s">
        <v>99</v>
      </c>
      <c r="V22" s="26">
        <v>1</v>
      </c>
      <c r="W22" s="26" t="s">
        <v>192</v>
      </c>
      <c r="X22" s="26" t="s">
        <v>193</v>
      </c>
      <c r="Y22" s="26" t="s">
        <v>102</v>
      </c>
      <c r="Z22" s="26"/>
      <c r="AA22" s="26" t="s">
        <v>194</v>
      </c>
      <c r="AB22" s="26" t="s">
        <v>105</v>
      </c>
      <c r="AC22" s="26" t="s">
        <v>195</v>
      </c>
      <c r="AD22" s="26" t="s">
        <v>196</v>
      </c>
      <c r="AE22" s="26" t="s">
        <v>197</v>
      </c>
      <c r="AF22" s="26">
        <v>1</v>
      </c>
      <c r="AG22" s="26" t="s">
        <v>160</v>
      </c>
      <c r="AH22" s="26" t="s">
        <v>155</v>
      </c>
      <c r="AI22" s="26" t="s">
        <v>110</v>
      </c>
      <c r="AJ22" s="26">
        <v>2</v>
      </c>
      <c r="AK22" s="26" t="s">
        <v>99</v>
      </c>
      <c r="AL22" s="26" t="s">
        <v>94</v>
      </c>
      <c r="AM22" s="26" t="s">
        <v>94</v>
      </c>
      <c r="AN22" s="26" t="s">
        <v>111</v>
      </c>
      <c r="AO22" s="26" t="s">
        <v>111</v>
      </c>
      <c r="AP22" s="26" t="s">
        <v>155</v>
      </c>
      <c r="AQ22" s="26" t="s">
        <v>119</v>
      </c>
      <c r="AR22" s="26" t="s">
        <v>114</v>
      </c>
      <c r="AS22" s="26" t="s">
        <v>120</v>
      </c>
      <c r="AT22" s="26" t="s">
        <v>116</v>
      </c>
      <c r="AU22" s="26" t="s">
        <v>198</v>
      </c>
      <c r="AV22" s="26">
        <v>2</v>
      </c>
      <c r="AW22" s="26"/>
      <c r="AX22" s="26"/>
      <c r="AY22" s="26"/>
      <c r="AZ22" s="26"/>
      <c r="BA22" s="26"/>
      <c r="BB22" s="26"/>
      <c r="BC22" s="26"/>
      <c r="BD22" s="26"/>
      <c r="BE22" s="26"/>
      <c r="BF22" s="26"/>
      <c r="BG22" s="26"/>
      <c r="BH22" s="26"/>
      <c r="BI22" s="26"/>
      <c r="BJ22" s="26"/>
      <c r="BK22" s="26"/>
      <c r="BL22" s="26"/>
      <c r="BM22" s="26"/>
      <c r="BN22" s="26"/>
      <c r="BO22" s="32" t="s">
        <v>131</v>
      </c>
      <c r="BP22" s="32" t="s">
        <v>203</v>
      </c>
      <c r="BQ22" s="32" t="s">
        <v>200</v>
      </c>
      <c r="BR22" s="32" t="s">
        <v>111</v>
      </c>
      <c r="BS22" s="32">
        <v>8.0800000000000004E-3</v>
      </c>
      <c r="BT22" s="32">
        <v>8.6199999999999992E-3</v>
      </c>
      <c r="BU22" s="32" t="s">
        <v>129</v>
      </c>
      <c r="BV22" s="32">
        <v>45</v>
      </c>
      <c r="BW22" s="32" t="s">
        <v>111</v>
      </c>
      <c r="BX22" s="32">
        <v>1.43E-2</v>
      </c>
      <c r="BY22" s="32">
        <v>1.5100000000000001E-2</v>
      </c>
      <c r="BZ22" s="32" t="s">
        <v>129</v>
      </c>
      <c r="CA22" s="32">
        <v>45</v>
      </c>
      <c r="CB22" s="32" t="s">
        <v>201</v>
      </c>
      <c r="CC22" s="32" t="s">
        <v>202</v>
      </c>
      <c r="CD22" s="32"/>
      <c r="CE22" s="26"/>
    </row>
    <row r="23" spans="1:84" ht="116">
      <c r="A23" s="26">
        <v>7</v>
      </c>
      <c r="B23" s="26" t="s">
        <v>204</v>
      </c>
      <c r="C23" s="26">
        <v>2014</v>
      </c>
      <c r="D23" s="26" t="s">
        <v>205</v>
      </c>
      <c r="E23" s="30">
        <v>44895</v>
      </c>
      <c r="F23" s="31" t="s">
        <v>90</v>
      </c>
      <c r="G23" s="31" t="s">
        <v>91</v>
      </c>
      <c r="H23" s="31"/>
      <c r="I23" s="3" t="s">
        <v>206</v>
      </c>
      <c r="J23" s="32" t="s">
        <v>207</v>
      </c>
      <c r="K23" s="26" t="s">
        <v>97</v>
      </c>
      <c r="L23" s="26" t="s">
        <v>97</v>
      </c>
      <c r="M23" s="26" t="s">
        <v>95</v>
      </c>
      <c r="N23" s="26" t="s">
        <v>208</v>
      </c>
      <c r="O23" s="26" t="s">
        <v>97</v>
      </c>
      <c r="P23" s="26" t="s">
        <v>97</v>
      </c>
      <c r="Q23" s="26"/>
      <c r="R23" s="26"/>
      <c r="S23" s="26" t="s">
        <v>90</v>
      </c>
      <c r="T23" s="26" t="s">
        <v>191</v>
      </c>
      <c r="U23" s="26" t="s">
        <v>99</v>
      </c>
      <c r="V23" s="26">
        <v>1</v>
      </c>
      <c r="W23" s="26" t="s">
        <v>209</v>
      </c>
      <c r="X23" s="26" t="s">
        <v>210</v>
      </c>
      <c r="Y23" s="26" t="s">
        <v>102</v>
      </c>
      <c r="Z23" s="26" t="s">
        <v>211</v>
      </c>
      <c r="AA23" s="26" t="s">
        <v>212</v>
      </c>
      <c r="AB23" s="26" t="s">
        <v>105</v>
      </c>
      <c r="AC23" s="26" t="s">
        <v>213</v>
      </c>
      <c r="AD23" s="26" t="s">
        <v>214</v>
      </c>
      <c r="AE23" s="26" t="s">
        <v>108</v>
      </c>
      <c r="AF23" s="26">
        <v>1</v>
      </c>
      <c r="AG23" s="26" t="s">
        <v>160</v>
      </c>
      <c r="AH23" s="26" t="s">
        <v>155</v>
      </c>
      <c r="AI23" s="26" t="s">
        <v>110</v>
      </c>
      <c r="AJ23" s="26">
        <v>2</v>
      </c>
      <c r="AK23" s="26" t="s">
        <v>99</v>
      </c>
      <c r="AL23" s="26" t="s">
        <v>94</v>
      </c>
      <c r="AM23" s="26" t="s">
        <v>94</v>
      </c>
      <c r="AN23" s="26" t="s">
        <v>111</v>
      </c>
      <c r="AO23" s="26" t="s">
        <v>111</v>
      </c>
      <c r="AP23" s="26" t="s">
        <v>155</v>
      </c>
      <c r="AQ23" s="26" t="s">
        <v>119</v>
      </c>
      <c r="AR23" s="26" t="s">
        <v>114</v>
      </c>
      <c r="AS23" s="26" t="s">
        <v>120</v>
      </c>
      <c r="AT23" s="26" t="s">
        <v>116</v>
      </c>
      <c r="AU23" s="26" t="s">
        <v>215</v>
      </c>
      <c r="AV23" s="26">
        <v>5</v>
      </c>
      <c r="BO23" s="3" t="s">
        <v>126</v>
      </c>
      <c r="BP23" s="32" t="s">
        <v>216</v>
      </c>
      <c r="BQ23" s="32" t="s">
        <v>217</v>
      </c>
      <c r="BR23" s="32">
        <v>0</v>
      </c>
      <c r="BS23" s="32">
        <v>6.4200000000000004E-3</v>
      </c>
      <c r="BT23" s="32">
        <v>1.41E-2</v>
      </c>
      <c r="BU23" s="32" t="s">
        <v>129</v>
      </c>
      <c r="BV23" s="32" t="s">
        <v>218</v>
      </c>
      <c r="BW23" s="32">
        <v>1.5299999999999999E-2</v>
      </c>
      <c r="BX23" s="32">
        <v>0.02</v>
      </c>
      <c r="BY23" s="32">
        <v>2.4799999999999999E-2</v>
      </c>
      <c r="BZ23" s="32" t="s">
        <v>129</v>
      </c>
      <c r="CA23" s="32" t="s">
        <v>218</v>
      </c>
      <c r="CB23" s="32" t="s">
        <v>219</v>
      </c>
      <c r="CC23" s="32" t="s">
        <v>202</v>
      </c>
    </row>
    <row r="24" spans="1:84" ht="116">
      <c r="A24" s="26">
        <v>7</v>
      </c>
      <c r="B24" s="26" t="s">
        <v>204</v>
      </c>
      <c r="C24" s="26">
        <v>2014</v>
      </c>
      <c r="D24" s="26" t="s">
        <v>205</v>
      </c>
      <c r="E24" s="30">
        <v>44895</v>
      </c>
      <c r="F24" s="31" t="s">
        <v>90</v>
      </c>
      <c r="G24" s="31" t="s">
        <v>91</v>
      </c>
      <c r="H24" s="31"/>
      <c r="I24" s="3" t="s">
        <v>206</v>
      </c>
      <c r="J24" s="32" t="s">
        <v>207</v>
      </c>
      <c r="K24" s="26" t="s">
        <v>97</v>
      </c>
      <c r="L24" s="26" t="s">
        <v>97</v>
      </c>
      <c r="M24" s="26" t="s">
        <v>95</v>
      </c>
      <c r="N24" s="26" t="s">
        <v>208</v>
      </c>
      <c r="O24" s="26" t="s">
        <v>97</v>
      </c>
      <c r="P24" s="26" t="s">
        <v>97</v>
      </c>
      <c r="Q24" s="26"/>
      <c r="R24" s="26"/>
      <c r="S24" s="26" t="s">
        <v>90</v>
      </c>
      <c r="T24" s="26" t="s">
        <v>191</v>
      </c>
      <c r="U24" s="26" t="s">
        <v>99</v>
      </c>
      <c r="V24" s="26">
        <v>1</v>
      </c>
      <c r="W24" s="26" t="s">
        <v>209</v>
      </c>
      <c r="X24" s="26" t="s">
        <v>210</v>
      </c>
      <c r="Y24" s="26" t="s">
        <v>102</v>
      </c>
      <c r="Z24" s="26" t="s">
        <v>211</v>
      </c>
      <c r="AA24" s="26" t="s">
        <v>212</v>
      </c>
      <c r="AB24" s="26" t="s">
        <v>105</v>
      </c>
      <c r="AC24" s="26" t="s">
        <v>213</v>
      </c>
      <c r="AD24" s="26" t="s">
        <v>214</v>
      </c>
      <c r="AE24" s="26" t="s">
        <v>108</v>
      </c>
      <c r="AF24" s="26">
        <v>1</v>
      </c>
      <c r="AG24" s="26" t="s">
        <v>160</v>
      </c>
      <c r="AH24" s="26" t="s">
        <v>155</v>
      </c>
      <c r="AI24" s="26" t="s">
        <v>110</v>
      </c>
      <c r="AJ24" s="26">
        <v>2</v>
      </c>
      <c r="AK24" s="26" t="s">
        <v>99</v>
      </c>
      <c r="AL24" s="26" t="s">
        <v>94</v>
      </c>
      <c r="AM24" s="26" t="s">
        <v>94</v>
      </c>
      <c r="AN24" s="26" t="s">
        <v>111</v>
      </c>
      <c r="AO24" s="26" t="s">
        <v>111</v>
      </c>
      <c r="AP24" s="26" t="s">
        <v>155</v>
      </c>
      <c r="AQ24" s="26" t="s">
        <v>119</v>
      </c>
      <c r="AR24" s="26" t="s">
        <v>114</v>
      </c>
      <c r="AS24" s="26" t="s">
        <v>120</v>
      </c>
      <c r="AT24" s="26" t="s">
        <v>116</v>
      </c>
      <c r="AU24" s="26" t="s">
        <v>215</v>
      </c>
      <c r="AV24" s="26">
        <v>5</v>
      </c>
      <c r="BO24" s="3" t="s">
        <v>131</v>
      </c>
      <c r="BP24" s="3" t="s">
        <v>220</v>
      </c>
      <c r="BQ24" s="32" t="s">
        <v>217</v>
      </c>
      <c r="BR24" s="32">
        <v>1.4274999999999999E-2</v>
      </c>
      <c r="BS24" s="32">
        <v>2.0275000000000001E-2</v>
      </c>
      <c r="BT24" s="32">
        <v>2.6624999999999999E-2</v>
      </c>
      <c r="BU24" s="32" t="s">
        <v>129</v>
      </c>
      <c r="BV24" s="32" t="s">
        <v>221</v>
      </c>
      <c r="BW24" s="32">
        <v>2.5849999999999998E-2</v>
      </c>
      <c r="BX24" s="32">
        <v>3.1949999999999999E-2</v>
      </c>
      <c r="BY24" s="32">
        <v>3.7900000000000003E-2</v>
      </c>
      <c r="BZ24" s="32" t="s">
        <v>129</v>
      </c>
      <c r="CA24" s="32" t="s">
        <v>221</v>
      </c>
      <c r="CB24" s="32" t="s">
        <v>219</v>
      </c>
      <c r="CC24" s="32" t="s">
        <v>202</v>
      </c>
    </row>
    <row r="25" spans="1:84" ht="116">
      <c r="A25" s="26">
        <v>7</v>
      </c>
      <c r="B25" s="26" t="s">
        <v>204</v>
      </c>
      <c r="C25" s="26">
        <v>2014</v>
      </c>
      <c r="D25" s="26" t="s">
        <v>205</v>
      </c>
      <c r="E25" s="30">
        <v>44895</v>
      </c>
      <c r="F25" s="31" t="s">
        <v>90</v>
      </c>
      <c r="G25" s="31" t="s">
        <v>222</v>
      </c>
      <c r="H25" s="31"/>
      <c r="I25" s="3" t="s">
        <v>206</v>
      </c>
      <c r="J25" s="32" t="s">
        <v>207</v>
      </c>
      <c r="K25" s="26" t="s">
        <v>97</v>
      </c>
      <c r="L25" s="26" t="s">
        <v>97</v>
      </c>
      <c r="M25" s="26" t="s">
        <v>95</v>
      </c>
      <c r="N25" s="26" t="s">
        <v>208</v>
      </c>
      <c r="O25" s="26" t="s">
        <v>97</v>
      </c>
      <c r="P25" s="26" t="s">
        <v>97</v>
      </c>
      <c r="Q25" s="26"/>
      <c r="R25" s="26"/>
      <c r="S25" s="26" t="s">
        <v>90</v>
      </c>
      <c r="T25" s="26" t="s">
        <v>191</v>
      </c>
      <c r="U25" s="26" t="s">
        <v>99</v>
      </c>
      <c r="V25" s="26">
        <v>1</v>
      </c>
      <c r="W25" s="26" t="s">
        <v>209</v>
      </c>
      <c r="X25" s="26" t="s">
        <v>210</v>
      </c>
      <c r="Y25" s="26" t="s">
        <v>102</v>
      </c>
      <c r="Z25" s="26" t="s">
        <v>211</v>
      </c>
      <c r="AA25" s="26" t="s">
        <v>212</v>
      </c>
      <c r="AB25" s="26" t="s">
        <v>105</v>
      </c>
      <c r="AC25" s="26" t="s">
        <v>213</v>
      </c>
      <c r="AD25" s="26" t="s">
        <v>214</v>
      </c>
      <c r="AE25" s="26" t="s">
        <v>108</v>
      </c>
      <c r="AF25" s="26">
        <v>1</v>
      </c>
      <c r="AG25" s="26" t="s">
        <v>160</v>
      </c>
      <c r="AH25" s="26" t="s">
        <v>155</v>
      </c>
      <c r="AI25" s="26" t="s">
        <v>110</v>
      </c>
      <c r="AJ25" s="26">
        <v>2</v>
      </c>
      <c r="AK25" s="26" t="s">
        <v>99</v>
      </c>
      <c r="AL25" s="26" t="s">
        <v>94</v>
      </c>
      <c r="AM25" s="26" t="s">
        <v>94</v>
      </c>
      <c r="AN25" s="26" t="s">
        <v>111</v>
      </c>
      <c r="AO25" s="26" t="s">
        <v>111</v>
      </c>
      <c r="AP25" s="26" t="s">
        <v>155</v>
      </c>
      <c r="AQ25" s="26" t="s">
        <v>119</v>
      </c>
      <c r="AR25" s="26" t="s">
        <v>114</v>
      </c>
      <c r="AS25" s="26" t="s">
        <v>120</v>
      </c>
      <c r="AT25" s="26" t="s">
        <v>116</v>
      </c>
      <c r="AU25" s="26" t="s">
        <v>215</v>
      </c>
      <c r="AV25" s="26">
        <v>5</v>
      </c>
      <c r="BO25" s="3" t="s">
        <v>126</v>
      </c>
      <c r="BP25" s="37" t="s">
        <v>223</v>
      </c>
      <c r="BQ25" s="38" t="s">
        <v>217</v>
      </c>
      <c r="BR25" s="37">
        <v>1.5299999999999999E-2</v>
      </c>
      <c r="BS25" s="37">
        <v>0.02</v>
      </c>
      <c r="BT25" s="37">
        <v>2.47E-2</v>
      </c>
      <c r="BU25" s="37" t="s">
        <v>161</v>
      </c>
      <c r="BV25" s="37">
        <v>5</v>
      </c>
      <c r="BW25" s="37">
        <v>-1.6999999999999999E-3</v>
      </c>
      <c r="BX25" s="37">
        <v>6.0000000000000001E-3</v>
      </c>
      <c r="BY25" s="37">
        <v>1.4E-2</v>
      </c>
      <c r="BZ25" s="37" t="s">
        <v>161</v>
      </c>
      <c r="CA25" s="37">
        <v>4</v>
      </c>
      <c r="CB25" s="38" t="s">
        <v>224</v>
      </c>
      <c r="CC25" s="37">
        <v>1</v>
      </c>
      <c r="CD25" s="37"/>
    </row>
    <row r="26" spans="1:84" ht="116">
      <c r="A26" s="26">
        <v>7</v>
      </c>
      <c r="B26" s="26" t="s">
        <v>204</v>
      </c>
      <c r="C26" s="26">
        <v>2014</v>
      </c>
      <c r="D26" s="26" t="s">
        <v>205</v>
      </c>
      <c r="E26" s="30">
        <v>44895</v>
      </c>
      <c r="F26" s="31" t="s">
        <v>90</v>
      </c>
      <c r="G26" s="31" t="s">
        <v>222</v>
      </c>
      <c r="H26" s="31"/>
      <c r="I26" s="3" t="s">
        <v>206</v>
      </c>
      <c r="J26" s="32" t="s">
        <v>207</v>
      </c>
      <c r="K26" s="26" t="s">
        <v>97</v>
      </c>
      <c r="L26" s="26" t="s">
        <v>97</v>
      </c>
      <c r="M26" s="26" t="s">
        <v>95</v>
      </c>
      <c r="N26" s="26" t="s">
        <v>208</v>
      </c>
      <c r="O26" s="26" t="s">
        <v>97</v>
      </c>
      <c r="P26" s="26" t="s">
        <v>97</v>
      </c>
      <c r="Q26" s="26"/>
      <c r="R26" s="26"/>
      <c r="S26" s="26" t="s">
        <v>90</v>
      </c>
      <c r="T26" s="26" t="s">
        <v>191</v>
      </c>
      <c r="U26" s="26" t="s">
        <v>99</v>
      </c>
      <c r="V26" s="26">
        <v>1</v>
      </c>
      <c r="W26" s="26" t="s">
        <v>209</v>
      </c>
      <c r="X26" s="26" t="s">
        <v>210</v>
      </c>
      <c r="Y26" s="26" t="s">
        <v>102</v>
      </c>
      <c r="Z26" s="26" t="s">
        <v>211</v>
      </c>
      <c r="AA26" s="26" t="s">
        <v>212</v>
      </c>
      <c r="AB26" s="26" t="s">
        <v>105</v>
      </c>
      <c r="AC26" s="26" t="s">
        <v>213</v>
      </c>
      <c r="AD26" s="26" t="s">
        <v>214</v>
      </c>
      <c r="AE26" s="26" t="s">
        <v>108</v>
      </c>
      <c r="AF26" s="26">
        <v>1</v>
      </c>
      <c r="AG26" s="26" t="s">
        <v>160</v>
      </c>
      <c r="AH26" s="26" t="s">
        <v>155</v>
      </c>
      <c r="AI26" s="26" t="s">
        <v>110</v>
      </c>
      <c r="AJ26" s="26">
        <v>2</v>
      </c>
      <c r="AK26" s="26" t="s">
        <v>99</v>
      </c>
      <c r="AL26" s="26" t="s">
        <v>94</v>
      </c>
      <c r="AM26" s="26" t="s">
        <v>94</v>
      </c>
      <c r="AN26" s="26" t="s">
        <v>111</v>
      </c>
      <c r="AO26" s="26" t="s">
        <v>111</v>
      </c>
      <c r="AP26" s="26" t="s">
        <v>155</v>
      </c>
      <c r="AQ26" s="26" t="s">
        <v>119</v>
      </c>
      <c r="AR26" s="26" t="s">
        <v>114</v>
      </c>
      <c r="AS26" s="26" t="s">
        <v>120</v>
      </c>
      <c r="AT26" s="26" t="s">
        <v>116</v>
      </c>
      <c r="AU26" s="26" t="s">
        <v>215</v>
      </c>
      <c r="AV26" s="26">
        <v>5</v>
      </c>
      <c r="BO26" s="3" t="s">
        <v>131</v>
      </c>
      <c r="BP26" s="3" t="s">
        <v>225</v>
      </c>
      <c r="BQ26" s="3" t="s">
        <v>217</v>
      </c>
      <c r="BR26" s="3">
        <v>7.3599999999999999E-2</v>
      </c>
      <c r="BS26" s="3">
        <v>3.1774999999999998E-2</v>
      </c>
      <c r="BT26" s="3">
        <v>3.8449999999999998E-2</v>
      </c>
      <c r="BU26" s="37" t="s">
        <v>161</v>
      </c>
      <c r="BV26" s="3">
        <v>20</v>
      </c>
      <c r="BW26" s="3">
        <v>0.30026818181818182</v>
      </c>
      <c r="BX26" s="3">
        <v>0.21465482608695652</v>
      </c>
      <c r="BY26" s="3">
        <v>0.22325526315789471</v>
      </c>
      <c r="BZ26" s="37" t="s">
        <v>161</v>
      </c>
      <c r="CA26" s="3">
        <v>20</v>
      </c>
      <c r="CB26" s="38" t="s">
        <v>224</v>
      </c>
      <c r="CC26" s="37">
        <v>1</v>
      </c>
    </row>
    <row r="27" spans="1:84" ht="72.5">
      <c r="A27" s="33">
        <v>13</v>
      </c>
      <c r="B27" s="26" t="s">
        <v>226</v>
      </c>
      <c r="C27" s="26">
        <v>2016</v>
      </c>
      <c r="D27" s="26" t="s">
        <v>227</v>
      </c>
      <c r="E27" s="30">
        <v>44895</v>
      </c>
      <c r="F27" s="31" t="s">
        <v>90</v>
      </c>
      <c r="G27" s="31" t="s">
        <v>91</v>
      </c>
      <c r="H27" s="31"/>
      <c r="I27" s="32" t="s">
        <v>228</v>
      </c>
      <c r="J27" s="26" t="s">
        <v>229</v>
      </c>
      <c r="K27" s="26" t="s">
        <v>97</v>
      </c>
      <c r="L27" s="26" t="s">
        <v>97</v>
      </c>
      <c r="M27" s="26" t="s">
        <v>95</v>
      </c>
      <c r="N27" s="26" t="s">
        <v>230</v>
      </c>
      <c r="O27" s="26" t="s">
        <v>97</v>
      </c>
      <c r="P27" s="26" t="s">
        <v>97</v>
      </c>
      <c r="Q27" s="26"/>
      <c r="R27" s="26"/>
      <c r="S27" s="26" t="s">
        <v>90</v>
      </c>
      <c r="T27" s="26" t="s">
        <v>141</v>
      </c>
      <c r="U27" s="26" t="s">
        <v>99</v>
      </c>
      <c r="V27" s="26">
        <v>1</v>
      </c>
      <c r="W27" s="26" t="s">
        <v>231</v>
      </c>
      <c r="X27" s="26" t="s">
        <v>232</v>
      </c>
      <c r="Y27" s="26" t="s">
        <v>102</v>
      </c>
      <c r="Z27" s="26" t="s">
        <v>233</v>
      </c>
      <c r="AA27" s="26" t="s">
        <v>234</v>
      </c>
      <c r="AB27" s="26" t="s">
        <v>105</v>
      </c>
      <c r="AC27" s="26" t="s">
        <v>235</v>
      </c>
      <c r="AD27" s="26" t="s">
        <v>236</v>
      </c>
      <c r="AE27" s="26" t="s">
        <v>148</v>
      </c>
      <c r="AF27" s="26">
        <v>1</v>
      </c>
      <c r="AG27" s="26" t="s">
        <v>160</v>
      </c>
      <c r="AH27" s="26" t="s">
        <v>155</v>
      </c>
      <c r="AI27" s="26" t="s">
        <v>110</v>
      </c>
      <c r="AJ27" s="26">
        <v>2</v>
      </c>
      <c r="AK27" s="26" t="s">
        <v>99</v>
      </c>
      <c r="AL27" s="26" t="s">
        <v>94</v>
      </c>
      <c r="AM27" s="26" t="s">
        <v>94</v>
      </c>
      <c r="AN27" s="26" t="s">
        <v>111</v>
      </c>
      <c r="AO27" s="26" t="s">
        <v>111</v>
      </c>
      <c r="AP27" s="26" t="s">
        <v>155</v>
      </c>
      <c r="AQ27" s="26" t="s">
        <v>119</v>
      </c>
      <c r="AR27" s="26" t="s">
        <v>114</v>
      </c>
      <c r="AS27" s="26" t="s">
        <v>120</v>
      </c>
      <c r="AT27" s="26" t="s">
        <v>116</v>
      </c>
      <c r="AU27" s="26" t="s">
        <v>237</v>
      </c>
      <c r="AV27" s="26">
        <v>3</v>
      </c>
      <c r="AW27" s="31" t="s">
        <v>238</v>
      </c>
      <c r="AX27" s="31" t="s">
        <v>239</v>
      </c>
      <c r="AY27" s="31" t="s">
        <v>240</v>
      </c>
      <c r="AZ27" s="31" t="s">
        <v>111</v>
      </c>
      <c r="BA27" s="31">
        <v>0.63863000000000003</v>
      </c>
      <c r="BB27" s="31" t="s">
        <v>111</v>
      </c>
      <c r="BC27" s="31" t="s">
        <v>111</v>
      </c>
      <c r="BD27" s="31">
        <v>10</v>
      </c>
      <c r="BE27" s="31" t="s">
        <v>111</v>
      </c>
      <c r="BF27" s="31">
        <v>0.63863000000000003</v>
      </c>
      <c r="BG27" s="31" t="s">
        <v>111</v>
      </c>
      <c r="BH27" s="31" t="s">
        <v>111</v>
      </c>
      <c r="BI27" s="31">
        <v>10</v>
      </c>
      <c r="BJ27" s="31" t="s">
        <v>241</v>
      </c>
      <c r="BK27" s="31" t="s">
        <v>242</v>
      </c>
      <c r="BL27" s="31"/>
      <c r="BM27" s="26"/>
      <c r="BN27"/>
      <c r="BO27" s="31" t="s">
        <v>126</v>
      </c>
      <c r="BP27" s="31" t="s">
        <v>243</v>
      </c>
      <c r="BQ27" s="31" t="s">
        <v>240</v>
      </c>
      <c r="BR27" s="31" t="s">
        <v>111</v>
      </c>
      <c r="BS27" s="31">
        <v>0.63863000000000003</v>
      </c>
      <c r="BT27" s="31" t="s">
        <v>111</v>
      </c>
      <c r="BU27" s="31" t="s">
        <v>111</v>
      </c>
      <c r="BV27" s="31">
        <v>10</v>
      </c>
      <c r="BW27" s="31" t="s">
        <v>111</v>
      </c>
      <c r="BX27" s="31">
        <v>0.63863000000000003</v>
      </c>
      <c r="BY27" s="31" t="s">
        <v>111</v>
      </c>
      <c r="BZ27" s="31" t="s">
        <v>111</v>
      </c>
      <c r="CA27" s="31">
        <v>10</v>
      </c>
      <c r="CB27" s="31" t="s">
        <v>244</v>
      </c>
      <c r="CC27" s="31" t="s">
        <v>245</v>
      </c>
      <c r="CD27" s="31"/>
      <c r="CE27"/>
      <c r="CF27"/>
    </row>
    <row r="28" spans="1:84" ht="72.5">
      <c r="A28" s="33">
        <v>13</v>
      </c>
      <c r="B28" s="26" t="s">
        <v>226</v>
      </c>
      <c r="C28" s="26">
        <v>2016</v>
      </c>
      <c r="D28" s="26" t="s">
        <v>227</v>
      </c>
      <c r="E28" s="30">
        <v>44895</v>
      </c>
      <c r="F28" s="31" t="s">
        <v>90</v>
      </c>
      <c r="G28" s="31" t="s">
        <v>91</v>
      </c>
      <c r="H28" s="31"/>
      <c r="I28" s="32" t="s">
        <v>228</v>
      </c>
      <c r="J28" s="26" t="s">
        <v>229</v>
      </c>
      <c r="K28" s="26" t="s">
        <v>97</v>
      </c>
      <c r="L28" s="26" t="s">
        <v>97</v>
      </c>
      <c r="M28" s="26" t="s">
        <v>95</v>
      </c>
      <c r="N28" s="26" t="s">
        <v>230</v>
      </c>
      <c r="O28" s="26" t="s">
        <v>97</v>
      </c>
      <c r="P28" s="26" t="s">
        <v>97</v>
      </c>
      <c r="Q28" s="26"/>
      <c r="R28" s="26"/>
      <c r="S28" s="26" t="s">
        <v>90</v>
      </c>
      <c r="T28" s="26" t="s">
        <v>141</v>
      </c>
      <c r="U28" s="26" t="s">
        <v>99</v>
      </c>
      <c r="V28" s="26">
        <v>1</v>
      </c>
      <c r="W28" s="26" t="s">
        <v>231</v>
      </c>
      <c r="X28" s="26" t="s">
        <v>232</v>
      </c>
      <c r="Y28" s="26" t="s">
        <v>102</v>
      </c>
      <c r="Z28" s="26" t="s">
        <v>233</v>
      </c>
      <c r="AA28" s="26" t="s">
        <v>234</v>
      </c>
      <c r="AB28" s="26" t="s">
        <v>105</v>
      </c>
      <c r="AC28" s="26" t="s">
        <v>235</v>
      </c>
      <c r="AD28" s="26" t="s">
        <v>236</v>
      </c>
      <c r="AE28" s="26" t="s">
        <v>148</v>
      </c>
      <c r="AF28" s="26">
        <v>1</v>
      </c>
      <c r="AG28" s="26" t="s">
        <v>160</v>
      </c>
      <c r="AH28" s="26" t="s">
        <v>155</v>
      </c>
      <c r="AI28" s="26" t="s">
        <v>110</v>
      </c>
      <c r="AJ28" s="26">
        <v>2</v>
      </c>
      <c r="AK28" s="26" t="s">
        <v>99</v>
      </c>
      <c r="AL28" s="26" t="s">
        <v>94</v>
      </c>
      <c r="AM28" s="26" t="s">
        <v>94</v>
      </c>
      <c r="AN28" s="26" t="s">
        <v>111</v>
      </c>
      <c r="AO28" s="26" t="s">
        <v>111</v>
      </c>
      <c r="AP28" s="26" t="s">
        <v>155</v>
      </c>
      <c r="AQ28" s="26" t="s">
        <v>119</v>
      </c>
      <c r="AR28" s="26" t="s">
        <v>114</v>
      </c>
      <c r="AS28" s="26" t="s">
        <v>120</v>
      </c>
      <c r="AT28" s="26" t="s">
        <v>116</v>
      </c>
      <c r="AU28" s="26" t="s">
        <v>237</v>
      </c>
      <c r="AV28" s="26">
        <v>3</v>
      </c>
      <c r="AW28" s="31" t="s">
        <v>238</v>
      </c>
      <c r="AX28" s="31" t="s">
        <v>243</v>
      </c>
      <c r="AY28" s="31" t="s">
        <v>240</v>
      </c>
      <c r="AZ28" s="31" t="s">
        <v>111</v>
      </c>
      <c r="BA28" s="31">
        <v>0.28383999999999998</v>
      </c>
      <c r="BB28" s="31" t="s">
        <v>111</v>
      </c>
      <c r="BC28" s="31" t="s">
        <v>111</v>
      </c>
      <c r="BD28" s="31">
        <v>10</v>
      </c>
      <c r="BE28" s="31" t="s">
        <v>111</v>
      </c>
      <c r="BF28" s="31">
        <v>0.17068</v>
      </c>
      <c r="BG28" s="31" t="s">
        <v>111</v>
      </c>
      <c r="BH28" s="31" t="s">
        <v>111</v>
      </c>
      <c r="BI28" s="31">
        <v>10</v>
      </c>
      <c r="BJ28" s="31" t="s">
        <v>241</v>
      </c>
      <c r="BK28" s="31" t="s">
        <v>242</v>
      </c>
      <c r="BL28" s="31"/>
      <c r="BM28" s="26"/>
      <c r="BN28"/>
      <c r="BO28" s="31" t="s">
        <v>131</v>
      </c>
      <c r="BP28" s="31" t="s">
        <v>246</v>
      </c>
      <c r="BQ28" s="31" t="s">
        <v>240</v>
      </c>
      <c r="BR28" s="31" t="s">
        <v>111</v>
      </c>
      <c r="BS28" s="31">
        <v>0.15822149999999999</v>
      </c>
      <c r="BT28" s="31" t="s">
        <v>111</v>
      </c>
      <c r="BU28" s="31" t="s">
        <v>111</v>
      </c>
      <c r="BV28" s="31">
        <v>20</v>
      </c>
      <c r="BW28" s="31" t="s">
        <v>111</v>
      </c>
      <c r="BX28" s="31">
        <v>0.102121</v>
      </c>
      <c r="BY28" s="31" t="s">
        <v>111</v>
      </c>
      <c r="BZ28" s="31" t="s">
        <v>111</v>
      </c>
      <c r="CA28" s="31">
        <v>20</v>
      </c>
      <c r="CB28" s="31" t="s">
        <v>244</v>
      </c>
      <c r="CC28" s="31" t="s">
        <v>245</v>
      </c>
      <c r="CD28" s="31"/>
      <c r="CE28"/>
      <c r="CF28"/>
    </row>
    <row r="29" spans="1:84" ht="72.5">
      <c r="A29" s="33">
        <v>13</v>
      </c>
      <c r="B29" s="26" t="s">
        <v>226</v>
      </c>
      <c r="C29" s="26">
        <v>2016</v>
      </c>
      <c r="D29" s="26" t="s">
        <v>227</v>
      </c>
      <c r="E29" s="30">
        <v>44895</v>
      </c>
      <c r="F29" s="31" t="s">
        <v>90</v>
      </c>
      <c r="G29" s="31" t="s">
        <v>91</v>
      </c>
      <c r="H29" s="31"/>
      <c r="I29" s="32" t="s">
        <v>228</v>
      </c>
      <c r="J29" s="26" t="s">
        <v>229</v>
      </c>
      <c r="K29" s="26" t="s">
        <v>97</v>
      </c>
      <c r="L29" s="26" t="s">
        <v>97</v>
      </c>
      <c r="M29" s="26" t="s">
        <v>95</v>
      </c>
      <c r="N29" s="26" t="s">
        <v>230</v>
      </c>
      <c r="O29" s="26" t="s">
        <v>97</v>
      </c>
      <c r="P29" s="26" t="s">
        <v>97</v>
      </c>
      <c r="Q29" s="26"/>
      <c r="R29" s="26"/>
      <c r="S29" s="26" t="s">
        <v>90</v>
      </c>
      <c r="T29" s="26" t="s">
        <v>141</v>
      </c>
      <c r="U29" s="26" t="s">
        <v>99</v>
      </c>
      <c r="V29" s="26">
        <v>1</v>
      </c>
      <c r="W29" s="26" t="s">
        <v>231</v>
      </c>
      <c r="X29" s="26" t="s">
        <v>232</v>
      </c>
      <c r="Y29" s="26" t="s">
        <v>102</v>
      </c>
      <c r="Z29" s="26" t="s">
        <v>233</v>
      </c>
      <c r="AA29" s="26" t="s">
        <v>234</v>
      </c>
      <c r="AB29" s="26" t="s">
        <v>105</v>
      </c>
      <c r="AC29" s="26" t="s">
        <v>235</v>
      </c>
      <c r="AD29" s="26" t="s">
        <v>236</v>
      </c>
      <c r="AE29" s="26" t="s">
        <v>148</v>
      </c>
      <c r="AF29" s="26">
        <v>1</v>
      </c>
      <c r="AG29" s="26" t="s">
        <v>160</v>
      </c>
      <c r="AH29" s="26" t="s">
        <v>155</v>
      </c>
      <c r="AI29" s="26" t="s">
        <v>110</v>
      </c>
      <c r="AJ29" s="26">
        <v>2</v>
      </c>
      <c r="AK29" s="26" t="s">
        <v>99</v>
      </c>
      <c r="AL29" s="26" t="s">
        <v>94</v>
      </c>
      <c r="AM29" s="26" t="s">
        <v>94</v>
      </c>
      <c r="AN29" s="26" t="s">
        <v>111</v>
      </c>
      <c r="AO29" s="26" t="s">
        <v>111</v>
      </c>
      <c r="AP29" s="26" t="s">
        <v>155</v>
      </c>
      <c r="AQ29" s="26" t="s">
        <v>119</v>
      </c>
      <c r="AR29" s="26" t="s">
        <v>114</v>
      </c>
      <c r="AS29" s="26" t="s">
        <v>120</v>
      </c>
      <c r="AT29" s="26" t="s">
        <v>116</v>
      </c>
      <c r="AU29" s="26" t="s">
        <v>237</v>
      </c>
      <c r="AV29" s="26">
        <v>3</v>
      </c>
      <c r="AW29" s="31" t="s">
        <v>126</v>
      </c>
      <c r="AX29" s="31" t="s">
        <v>243</v>
      </c>
      <c r="AY29" s="31" t="s">
        <v>247</v>
      </c>
      <c r="AZ29" s="31" t="s">
        <v>111</v>
      </c>
      <c r="BA29" s="31"/>
      <c r="BB29" s="31"/>
      <c r="BC29" s="31"/>
      <c r="BD29" s="31"/>
      <c r="BE29" s="31" t="s">
        <v>111</v>
      </c>
      <c r="BF29" s="31"/>
      <c r="BG29" s="31"/>
      <c r="BH29" s="31"/>
      <c r="BI29" s="31"/>
      <c r="BJ29" s="31" t="s">
        <v>244</v>
      </c>
      <c r="BK29" s="31" t="s">
        <v>245</v>
      </c>
      <c r="BL29" s="31"/>
      <c r="BM29"/>
      <c r="BN29"/>
      <c r="BO29" s="31" t="s">
        <v>126</v>
      </c>
      <c r="BP29" s="31" t="s">
        <v>126</v>
      </c>
      <c r="BQ29" s="31" t="s">
        <v>247</v>
      </c>
      <c r="BR29" s="31" t="s">
        <v>111</v>
      </c>
      <c r="BS29" s="31">
        <v>6.1430999999999999E-2</v>
      </c>
      <c r="BT29" s="31" t="s">
        <v>111</v>
      </c>
      <c r="BU29" s="31" t="s">
        <v>129</v>
      </c>
      <c r="BV29" s="31">
        <v>10</v>
      </c>
      <c r="BW29" s="31" t="s">
        <v>111</v>
      </c>
      <c r="BX29" s="31">
        <v>4.0488999999999997E-2</v>
      </c>
      <c r="BY29" s="31" t="s">
        <v>111</v>
      </c>
      <c r="BZ29" s="31" t="s">
        <v>129</v>
      </c>
      <c r="CA29" s="31">
        <v>10</v>
      </c>
      <c r="CB29" s="31" t="s">
        <v>244</v>
      </c>
      <c r="CC29" s="31" t="s">
        <v>245</v>
      </c>
      <c r="CD29" s="31"/>
      <c r="CE29"/>
      <c r="CF29"/>
    </row>
    <row r="30" spans="1:84" ht="72.5">
      <c r="A30" s="33">
        <v>13</v>
      </c>
      <c r="B30" s="26" t="s">
        <v>226</v>
      </c>
      <c r="C30" s="26">
        <v>2016</v>
      </c>
      <c r="D30" s="26" t="s">
        <v>227</v>
      </c>
      <c r="E30" s="30">
        <v>44895</v>
      </c>
      <c r="F30" s="31" t="s">
        <v>90</v>
      </c>
      <c r="G30" s="31" t="s">
        <v>91</v>
      </c>
      <c r="H30" s="31"/>
      <c r="I30" s="32" t="s">
        <v>228</v>
      </c>
      <c r="J30" s="26" t="s">
        <v>229</v>
      </c>
      <c r="K30" s="26" t="s">
        <v>97</v>
      </c>
      <c r="L30" s="26" t="s">
        <v>97</v>
      </c>
      <c r="M30" s="26" t="s">
        <v>95</v>
      </c>
      <c r="N30" s="26" t="s">
        <v>230</v>
      </c>
      <c r="O30" s="26" t="s">
        <v>97</v>
      </c>
      <c r="P30" s="26" t="s">
        <v>97</v>
      </c>
      <c r="Q30" s="26"/>
      <c r="R30" s="26"/>
      <c r="S30" s="26" t="s">
        <v>90</v>
      </c>
      <c r="T30" s="26" t="s">
        <v>141</v>
      </c>
      <c r="U30" s="26" t="s">
        <v>99</v>
      </c>
      <c r="V30" s="26">
        <v>1</v>
      </c>
      <c r="W30" s="26" t="s">
        <v>231</v>
      </c>
      <c r="X30" s="26" t="s">
        <v>232</v>
      </c>
      <c r="Y30" s="26" t="s">
        <v>102</v>
      </c>
      <c r="Z30" s="26" t="s">
        <v>233</v>
      </c>
      <c r="AA30" s="26" t="s">
        <v>234</v>
      </c>
      <c r="AB30" s="26" t="s">
        <v>105</v>
      </c>
      <c r="AC30" s="26" t="s">
        <v>235</v>
      </c>
      <c r="AD30" s="26" t="s">
        <v>236</v>
      </c>
      <c r="AE30" s="26" t="s">
        <v>148</v>
      </c>
      <c r="AF30" s="26">
        <v>1</v>
      </c>
      <c r="AG30" s="26" t="s">
        <v>160</v>
      </c>
      <c r="AH30" s="26" t="s">
        <v>155</v>
      </c>
      <c r="AI30" s="26" t="s">
        <v>110</v>
      </c>
      <c r="AJ30" s="26">
        <v>2</v>
      </c>
      <c r="AK30" s="26" t="s">
        <v>99</v>
      </c>
      <c r="AL30" s="26" t="s">
        <v>94</v>
      </c>
      <c r="AM30" s="26" t="s">
        <v>94</v>
      </c>
      <c r="AN30" s="26" t="s">
        <v>111</v>
      </c>
      <c r="AO30" s="26" t="s">
        <v>111</v>
      </c>
      <c r="AP30" s="26" t="s">
        <v>155</v>
      </c>
      <c r="AQ30" s="26" t="s">
        <v>119</v>
      </c>
      <c r="AR30" s="26" t="s">
        <v>114</v>
      </c>
      <c r="AS30" s="26" t="s">
        <v>120</v>
      </c>
      <c r="AT30" s="26" t="s">
        <v>116</v>
      </c>
      <c r="AU30" s="26" t="s">
        <v>237</v>
      </c>
      <c r="AV30" s="26">
        <v>3</v>
      </c>
      <c r="AW30" s="31" t="s">
        <v>131</v>
      </c>
      <c r="AX30" s="31" t="s">
        <v>246</v>
      </c>
      <c r="AY30" s="31" t="s">
        <v>247</v>
      </c>
      <c r="AZ30" s="31" t="s">
        <v>111</v>
      </c>
      <c r="BA30" s="31"/>
      <c r="BB30" s="31"/>
      <c r="BC30" s="31"/>
      <c r="BD30" s="31"/>
      <c r="BE30" s="31" t="s">
        <v>111</v>
      </c>
      <c r="BF30" s="31"/>
      <c r="BG30" s="31"/>
      <c r="BH30" s="31"/>
      <c r="BI30" s="31"/>
      <c r="BJ30" s="31" t="s">
        <v>244</v>
      </c>
      <c r="BK30" s="31" t="s">
        <v>245</v>
      </c>
      <c r="BL30" s="31"/>
      <c r="BM30"/>
      <c r="BN30"/>
      <c r="BO30" s="31" t="s">
        <v>131</v>
      </c>
      <c r="BP30" s="31" t="s">
        <v>131</v>
      </c>
      <c r="BQ30" s="31" t="s">
        <v>247</v>
      </c>
      <c r="BR30" s="31" t="s">
        <v>111</v>
      </c>
      <c r="BS30" s="31">
        <v>0.202095</v>
      </c>
      <c r="BT30" s="31">
        <v>0.22198999999999999</v>
      </c>
      <c r="BU30" s="31" t="s">
        <v>129</v>
      </c>
      <c r="BV30" s="31">
        <v>20</v>
      </c>
      <c r="BW30" s="31" t="s">
        <v>111</v>
      </c>
      <c r="BX30" s="31">
        <v>0.20977499999999999</v>
      </c>
      <c r="BY30" s="31">
        <v>0.23210999999999998</v>
      </c>
      <c r="BZ30" s="31" t="s">
        <v>129</v>
      </c>
      <c r="CA30" s="31">
        <v>20</v>
      </c>
      <c r="CB30" s="31" t="s">
        <v>244</v>
      </c>
      <c r="CC30" s="31" t="s">
        <v>245</v>
      </c>
      <c r="CD30" s="31"/>
      <c r="CE30"/>
      <c r="CF30"/>
    </row>
    <row r="31" spans="1:84" ht="72.5">
      <c r="A31" s="26">
        <v>18</v>
      </c>
      <c r="B31" s="26" t="s">
        <v>248</v>
      </c>
      <c r="C31" s="26">
        <v>2017</v>
      </c>
      <c r="D31" s="26" t="s">
        <v>249</v>
      </c>
      <c r="E31" s="30">
        <v>44895</v>
      </c>
      <c r="F31" s="31" t="s">
        <v>90</v>
      </c>
      <c r="G31" s="31" t="s">
        <v>91</v>
      </c>
      <c r="H31" s="31"/>
      <c r="I31" s="31" t="s">
        <v>250</v>
      </c>
      <c r="J31" s="26" t="s">
        <v>251</v>
      </c>
      <c r="K31" s="26" t="s">
        <v>97</v>
      </c>
      <c r="L31" s="26" t="s">
        <v>137</v>
      </c>
      <c r="M31" s="26" t="s">
        <v>95</v>
      </c>
      <c r="N31" s="26" t="s">
        <v>252</v>
      </c>
      <c r="O31" s="26" t="s">
        <v>97</v>
      </c>
      <c r="P31" s="26" t="s">
        <v>97</v>
      </c>
      <c r="Q31" s="26"/>
      <c r="R31" s="26"/>
      <c r="S31" s="26" t="s">
        <v>90</v>
      </c>
      <c r="T31" s="26" t="s">
        <v>141</v>
      </c>
      <c r="U31" s="26" t="s">
        <v>99</v>
      </c>
      <c r="V31" s="26">
        <v>1</v>
      </c>
      <c r="W31" s="26" t="s">
        <v>253</v>
      </c>
      <c r="X31" s="26" t="s">
        <v>254</v>
      </c>
      <c r="Y31" s="26" t="s">
        <v>102</v>
      </c>
      <c r="Z31" s="26" t="s">
        <v>255</v>
      </c>
      <c r="AA31" s="26" t="s">
        <v>256</v>
      </c>
      <c r="AB31" s="26" t="s">
        <v>105</v>
      </c>
      <c r="AC31" s="26" t="s">
        <v>257</v>
      </c>
      <c r="AD31" s="26" t="s">
        <v>258</v>
      </c>
      <c r="AE31" s="26" t="s">
        <v>148</v>
      </c>
      <c r="AF31" s="26">
        <v>1</v>
      </c>
      <c r="AG31" s="26" t="s">
        <v>160</v>
      </c>
      <c r="AH31" s="26" t="s">
        <v>155</v>
      </c>
      <c r="AI31" s="26" t="s">
        <v>150</v>
      </c>
      <c r="AJ31" s="26">
        <v>2</v>
      </c>
      <c r="AK31" s="26" t="s">
        <v>151</v>
      </c>
      <c r="AL31" s="26" t="s">
        <v>94</v>
      </c>
      <c r="AM31" s="26" t="s">
        <v>94</v>
      </c>
      <c r="AN31" s="26" t="s">
        <v>152</v>
      </c>
      <c r="AO31" s="26">
        <v>2</v>
      </c>
      <c r="AP31" s="26" t="s">
        <v>155</v>
      </c>
      <c r="AQ31" s="26" t="s">
        <v>119</v>
      </c>
      <c r="AR31" s="26" t="s">
        <v>114</v>
      </c>
      <c r="AS31" s="26" t="s">
        <v>120</v>
      </c>
      <c r="AT31" s="26" t="s">
        <v>116</v>
      </c>
      <c r="AU31" s="26" t="s">
        <v>259</v>
      </c>
      <c r="AV31" s="26">
        <v>5</v>
      </c>
      <c r="AW31" s="31" t="s">
        <v>238</v>
      </c>
      <c r="AX31" s="31" t="s">
        <v>260</v>
      </c>
      <c r="AY31" s="31" t="s">
        <v>261</v>
      </c>
      <c r="AZ31" s="31">
        <v>0.46200000000000002</v>
      </c>
      <c r="BA31" s="31">
        <v>0.48399999999999999</v>
      </c>
      <c r="BB31" s="31">
        <v>0.50700000000000001</v>
      </c>
      <c r="BC31" s="31" t="s">
        <v>129</v>
      </c>
      <c r="BD31" s="31">
        <v>13</v>
      </c>
      <c r="BE31" s="31">
        <v>0.61899999999999999</v>
      </c>
      <c r="BF31" s="31">
        <v>0.63200000000000001</v>
      </c>
      <c r="BG31" s="31">
        <v>0.64500000000000002</v>
      </c>
      <c r="BH31" s="31" t="s">
        <v>129</v>
      </c>
      <c r="BI31" s="31">
        <v>13</v>
      </c>
      <c r="BJ31" s="31" t="s">
        <v>262</v>
      </c>
      <c r="BK31" s="31">
        <v>1</v>
      </c>
      <c r="BL31" s="31"/>
      <c r="BM31" s="26"/>
      <c r="BN31" s="39"/>
      <c r="BO31" s="46" t="s">
        <v>126</v>
      </c>
      <c r="BP31" s="43" t="s">
        <v>263</v>
      </c>
      <c r="BQ31" s="31" t="s">
        <v>261</v>
      </c>
      <c r="BR31" s="31">
        <v>0.503</v>
      </c>
      <c r="BS31" s="31">
        <v>0.51900000000000002</v>
      </c>
      <c r="BT31" s="31">
        <v>0.53699999999999992</v>
      </c>
      <c r="BU31" s="31" t="s">
        <v>129</v>
      </c>
      <c r="BV31" s="31">
        <v>26</v>
      </c>
      <c r="BW31" s="31">
        <v>0.64900000000000002</v>
      </c>
      <c r="BX31" s="31">
        <v>0.66599999999999993</v>
      </c>
      <c r="BY31" s="31">
        <v>0.68199999999999994</v>
      </c>
      <c r="BZ31" s="31" t="s">
        <v>129</v>
      </c>
      <c r="CA31" s="31">
        <v>26</v>
      </c>
      <c r="CB31" s="31" t="s">
        <v>262</v>
      </c>
      <c r="CC31" s="31">
        <v>1</v>
      </c>
      <c r="CD31"/>
      <c r="CE31"/>
      <c r="CF31"/>
    </row>
    <row r="32" spans="1:84" ht="72.5">
      <c r="A32" s="26">
        <v>18</v>
      </c>
      <c r="B32" s="26" t="s">
        <v>248</v>
      </c>
      <c r="C32" s="26">
        <v>2017</v>
      </c>
      <c r="D32" s="26" t="s">
        <v>249</v>
      </c>
      <c r="E32" s="30">
        <v>44895</v>
      </c>
      <c r="F32" s="31" t="s">
        <v>90</v>
      </c>
      <c r="G32" s="31" t="s">
        <v>91</v>
      </c>
      <c r="H32" s="31"/>
      <c r="I32" s="31" t="s">
        <v>250</v>
      </c>
      <c r="J32" s="26" t="s">
        <v>251</v>
      </c>
      <c r="K32" s="26" t="s">
        <v>97</v>
      </c>
      <c r="L32" s="26" t="s">
        <v>137</v>
      </c>
      <c r="M32" s="26" t="s">
        <v>95</v>
      </c>
      <c r="N32" s="26" t="s">
        <v>252</v>
      </c>
      <c r="O32" s="26" t="s">
        <v>97</v>
      </c>
      <c r="P32" s="26" t="s">
        <v>97</v>
      </c>
      <c r="Q32" s="26"/>
      <c r="R32" s="26"/>
      <c r="S32" s="26" t="s">
        <v>90</v>
      </c>
      <c r="T32" s="26" t="s">
        <v>141</v>
      </c>
      <c r="U32" s="26" t="s">
        <v>99</v>
      </c>
      <c r="V32" s="26">
        <v>1</v>
      </c>
      <c r="W32" s="26" t="s">
        <v>253</v>
      </c>
      <c r="X32" s="26" t="s">
        <v>254</v>
      </c>
      <c r="Y32" s="26" t="s">
        <v>102</v>
      </c>
      <c r="Z32" s="26" t="s">
        <v>255</v>
      </c>
      <c r="AA32" s="26" t="s">
        <v>256</v>
      </c>
      <c r="AB32" s="26" t="s">
        <v>105</v>
      </c>
      <c r="AC32" s="26" t="s">
        <v>257</v>
      </c>
      <c r="AD32" s="26" t="s">
        <v>258</v>
      </c>
      <c r="AE32" s="26" t="s">
        <v>148</v>
      </c>
      <c r="AF32" s="26">
        <v>1</v>
      </c>
      <c r="AG32" s="26" t="s">
        <v>160</v>
      </c>
      <c r="AH32" s="26" t="s">
        <v>155</v>
      </c>
      <c r="AI32" s="26" t="s">
        <v>150</v>
      </c>
      <c r="AJ32" s="26">
        <v>2</v>
      </c>
      <c r="AK32" s="26" t="s">
        <v>151</v>
      </c>
      <c r="AL32" s="26" t="s">
        <v>94</v>
      </c>
      <c r="AM32" s="26" t="s">
        <v>94</v>
      </c>
      <c r="AN32" s="26" t="s">
        <v>152</v>
      </c>
      <c r="AO32" s="26">
        <v>2</v>
      </c>
      <c r="AP32" s="26" t="s">
        <v>155</v>
      </c>
      <c r="AQ32" s="26" t="s">
        <v>119</v>
      </c>
      <c r="AR32" s="26" t="s">
        <v>114</v>
      </c>
      <c r="AS32" s="26" t="s">
        <v>120</v>
      </c>
      <c r="AT32" s="26" t="s">
        <v>116</v>
      </c>
      <c r="AU32" s="26" t="s">
        <v>259</v>
      </c>
      <c r="AV32" s="26">
        <v>5</v>
      </c>
      <c r="AW32" s="31" t="s">
        <v>238</v>
      </c>
      <c r="AX32" s="31" t="s">
        <v>264</v>
      </c>
      <c r="AY32" s="31" t="s">
        <v>261</v>
      </c>
      <c r="AZ32" s="31">
        <v>0.54400000000000004</v>
      </c>
      <c r="BA32" s="31">
        <v>0.55400000000000005</v>
      </c>
      <c r="BB32" s="31">
        <v>0.56699999999999995</v>
      </c>
      <c r="BC32" s="31" t="s">
        <v>129</v>
      </c>
      <c r="BD32" s="31">
        <v>13</v>
      </c>
      <c r="BE32" s="31">
        <v>0.67900000000000005</v>
      </c>
      <c r="BF32" s="31">
        <v>0.7</v>
      </c>
      <c r="BG32" s="31">
        <v>0.71899999999999997</v>
      </c>
      <c r="BH32" s="31" t="s">
        <v>129</v>
      </c>
      <c r="BI32" s="31">
        <v>13</v>
      </c>
      <c r="BJ32" s="31" t="s">
        <v>262</v>
      </c>
      <c r="BK32" s="31">
        <v>1</v>
      </c>
      <c r="BL32" s="31"/>
      <c r="BM32" s="26"/>
      <c r="BN32" s="39"/>
      <c r="BO32" s="46" t="s">
        <v>131</v>
      </c>
      <c r="BP32" s="43" t="s">
        <v>265</v>
      </c>
      <c r="BQ32" s="31" t="s">
        <v>261</v>
      </c>
      <c r="BR32" s="31">
        <v>0.51649999999999996</v>
      </c>
      <c r="BS32" s="31">
        <v>0.52449999999999997</v>
      </c>
      <c r="BT32" s="31">
        <v>0.54100000000000004</v>
      </c>
      <c r="BU32" s="31" t="s">
        <v>129</v>
      </c>
      <c r="BV32" s="31">
        <v>26</v>
      </c>
      <c r="BW32" s="31">
        <v>0.64200000000000002</v>
      </c>
      <c r="BX32" s="31">
        <v>0.65</v>
      </c>
      <c r="BY32" s="31">
        <v>0.66149999999999998</v>
      </c>
      <c r="BZ32" s="31" t="s">
        <v>129</v>
      </c>
      <c r="CA32" s="31">
        <v>26</v>
      </c>
      <c r="CB32" s="31" t="s">
        <v>262</v>
      </c>
      <c r="CC32" s="31">
        <v>1</v>
      </c>
      <c r="CD32"/>
      <c r="CE32"/>
      <c r="CF32"/>
    </row>
    <row r="33" spans="1:84" ht="159.5">
      <c r="A33" s="26">
        <v>19</v>
      </c>
      <c r="B33" s="26" t="s">
        <v>266</v>
      </c>
      <c r="C33" s="26">
        <v>2017</v>
      </c>
      <c r="D33" s="26" t="s">
        <v>267</v>
      </c>
      <c r="E33" s="30">
        <v>44895</v>
      </c>
      <c r="F33" s="31" t="s">
        <v>90</v>
      </c>
      <c r="G33" s="31" t="s">
        <v>91</v>
      </c>
      <c r="H33" s="31"/>
      <c r="I33" s="32" t="s">
        <v>268</v>
      </c>
      <c r="J33" s="26" t="s">
        <v>269</v>
      </c>
      <c r="K33" s="26" t="s">
        <v>97</v>
      </c>
      <c r="L33" s="26" t="s">
        <v>137</v>
      </c>
      <c r="M33" s="26" t="s">
        <v>138</v>
      </c>
      <c r="N33" s="26" t="s">
        <v>270</v>
      </c>
      <c r="O33" s="26" t="s">
        <v>90</v>
      </c>
      <c r="P33" s="26" t="s">
        <v>97</v>
      </c>
      <c r="Q33" s="26" t="s">
        <v>271</v>
      </c>
      <c r="R33" s="26"/>
      <c r="S33" s="26" t="s">
        <v>90</v>
      </c>
      <c r="T33" s="26" t="s">
        <v>98</v>
      </c>
      <c r="U33" s="26" t="s">
        <v>99</v>
      </c>
      <c r="V33" s="26">
        <v>1</v>
      </c>
      <c r="W33" s="26" t="s">
        <v>272</v>
      </c>
      <c r="X33" s="26" t="s">
        <v>273</v>
      </c>
      <c r="Y33" s="26" t="s">
        <v>102</v>
      </c>
      <c r="Z33" s="26" t="s">
        <v>274</v>
      </c>
      <c r="AA33" s="26" t="s">
        <v>256</v>
      </c>
      <c r="AB33" s="26" t="s">
        <v>20</v>
      </c>
      <c r="AC33" s="26" t="s">
        <v>275</v>
      </c>
      <c r="AD33" s="26" t="s">
        <v>276</v>
      </c>
      <c r="AE33" s="26" t="s">
        <v>148</v>
      </c>
      <c r="AF33" s="26">
        <v>1</v>
      </c>
      <c r="AG33" s="26" t="s">
        <v>160</v>
      </c>
      <c r="AH33" s="26" t="s">
        <v>155</v>
      </c>
      <c r="AI33" s="26" t="s">
        <v>110</v>
      </c>
      <c r="AJ33" s="26">
        <v>2</v>
      </c>
      <c r="AK33" s="26" t="s">
        <v>151</v>
      </c>
      <c r="AL33" s="26" t="s">
        <v>94</v>
      </c>
      <c r="AM33" s="26" t="s">
        <v>94</v>
      </c>
      <c r="AN33" s="26" t="s">
        <v>152</v>
      </c>
      <c r="AO33" s="26">
        <v>2</v>
      </c>
      <c r="AP33" s="26" t="s">
        <v>155</v>
      </c>
      <c r="AQ33" s="26" t="s">
        <v>119</v>
      </c>
      <c r="AR33" s="26" t="s">
        <v>114</v>
      </c>
      <c r="AS33" s="26" t="s">
        <v>120</v>
      </c>
      <c r="AT33" s="26" t="s">
        <v>116</v>
      </c>
      <c r="AU33" s="26" t="s">
        <v>277</v>
      </c>
      <c r="AV33" s="26">
        <v>2</v>
      </c>
      <c r="AW33" s="31" t="s">
        <v>238</v>
      </c>
      <c r="AX33" s="31">
        <v>21.326000000000001</v>
      </c>
      <c r="AY33" s="31" t="s">
        <v>278</v>
      </c>
      <c r="AZ33" s="31" t="s">
        <v>111</v>
      </c>
      <c r="BA33" s="31">
        <v>0.218</v>
      </c>
      <c r="BB33" s="31">
        <v>0.313</v>
      </c>
      <c r="BC33" s="31" t="s">
        <v>129</v>
      </c>
      <c r="BD33" s="31">
        <v>5</v>
      </c>
      <c r="BE33" s="31" t="s">
        <v>111</v>
      </c>
      <c r="BF33" s="31">
        <v>0.13200000000000001</v>
      </c>
      <c r="BG33" s="31">
        <v>0.16300000000000001</v>
      </c>
      <c r="BH33" s="31" t="s">
        <v>129</v>
      </c>
      <c r="BI33" s="31">
        <v>5</v>
      </c>
      <c r="BJ33" s="31" t="s">
        <v>279</v>
      </c>
      <c r="BK33" s="31">
        <v>4</v>
      </c>
      <c r="BL33" s="31" t="s">
        <v>280</v>
      </c>
      <c r="BM33" s="25">
        <v>21.3264</v>
      </c>
      <c r="BN33" s="25"/>
      <c r="BO33" s="31" t="s">
        <v>126</v>
      </c>
      <c r="BP33" s="31" t="s">
        <v>281</v>
      </c>
      <c r="BQ33" s="31" t="s">
        <v>278</v>
      </c>
      <c r="BR33" s="31" t="s">
        <v>111</v>
      </c>
      <c r="BS33" s="31">
        <v>0.04</v>
      </c>
      <c r="BT33" s="31">
        <v>5.8500000000000003E-2</v>
      </c>
      <c r="BU33" s="31" t="s">
        <v>129</v>
      </c>
      <c r="BV33" s="31">
        <v>10</v>
      </c>
      <c r="BW33" s="31" t="s">
        <v>111</v>
      </c>
      <c r="BX33" s="31">
        <v>3.2500000000000001E-2</v>
      </c>
      <c r="BY33" s="31">
        <v>4.3500000000000004E-2</v>
      </c>
      <c r="BZ33" s="31" t="s">
        <v>129</v>
      </c>
      <c r="CA33" s="31">
        <v>10</v>
      </c>
      <c r="CB33" s="31" t="s">
        <v>279</v>
      </c>
      <c r="CC33" s="31">
        <v>4</v>
      </c>
      <c r="CD33" s="31" t="s">
        <v>280</v>
      </c>
      <c r="CE33" s="25"/>
    </row>
    <row r="34" spans="1:84" ht="159.5">
      <c r="A34" s="26">
        <v>19</v>
      </c>
      <c r="B34" s="26" t="s">
        <v>266</v>
      </c>
      <c r="C34" s="26">
        <v>2017</v>
      </c>
      <c r="D34" s="26" t="s">
        <v>267</v>
      </c>
      <c r="E34" s="30">
        <v>44895</v>
      </c>
      <c r="F34" s="31" t="s">
        <v>90</v>
      </c>
      <c r="G34" s="31" t="s">
        <v>91</v>
      </c>
      <c r="H34" s="31"/>
      <c r="I34" s="32" t="s">
        <v>268</v>
      </c>
      <c r="J34" s="26" t="s">
        <v>269</v>
      </c>
      <c r="K34" s="26" t="s">
        <v>97</v>
      </c>
      <c r="L34" s="26" t="s">
        <v>137</v>
      </c>
      <c r="M34" s="26" t="s">
        <v>138</v>
      </c>
      <c r="N34" s="26" t="s">
        <v>270</v>
      </c>
      <c r="O34" s="26" t="s">
        <v>90</v>
      </c>
      <c r="P34" s="26" t="s">
        <v>97</v>
      </c>
      <c r="Q34" s="26" t="s">
        <v>271</v>
      </c>
      <c r="R34" s="26"/>
      <c r="S34" s="26" t="s">
        <v>90</v>
      </c>
      <c r="T34" s="26" t="s">
        <v>98</v>
      </c>
      <c r="U34" s="26" t="s">
        <v>99</v>
      </c>
      <c r="V34" s="26">
        <v>1</v>
      </c>
      <c r="W34" s="26" t="s">
        <v>272</v>
      </c>
      <c r="X34" s="26" t="s">
        <v>273</v>
      </c>
      <c r="Y34" s="26" t="s">
        <v>102</v>
      </c>
      <c r="Z34" s="26" t="s">
        <v>274</v>
      </c>
      <c r="AA34" s="26" t="s">
        <v>256</v>
      </c>
      <c r="AB34" s="26" t="s">
        <v>20</v>
      </c>
      <c r="AC34" s="26" t="s">
        <v>275</v>
      </c>
      <c r="AD34" s="26" t="s">
        <v>276</v>
      </c>
      <c r="AE34" s="26" t="s">
        <v>148</v>
      </c>
      <c r="AF34" s="26">
        <v>1</v>
      </c>
      <c r="AG34" s="26" t="s">
        <v>160</v>
      </c>
      <c r="AH34" s="26" t="s">
        <v>155</v>
      </c>
      <c r="AI34" s="26" t="s">
        <v>110</v>
      </c>
      <c r="AJ34" s="26">
        <v>2</v>
      </c>
      <c r="AK34" s="26" t="s">
        <v>151</v>
      </c>
      <c r="AL34" s="26" t="s">
        <v>94</v>
      </c>
      <c r="AM34" s="26" t="s">
        <v>94</v>
      </c>
      <c r="AN34" s="26" t="s">
        <v>152</v>
      </c>
      <c r="AO34" s="26">
        <v>2</v>
      </c>
      <c r="AP34" s="26" t="s">
        <v>155</v>
      </c>
      <c r="AQ34" s="26" t="s">
        <v>119</v>
      </c>
      <c r="AR34" s="26" t="s">
        <v>114</v>
      </c>
      <c r="AS34" s="26" t="s">
        <v>120</v>
      </c>
      <c r="AT34" s="26" t="s">
        <v>116</v>
      </c>
      <c r="AU34" s="26" t="s">
        <v>277</v>
      </c>
      <c r="AV34" s="26">
        <v>2</v>
      </c>
      <c r="AW34" s="31" t="s">
        <v>238</v>
      </c>
      <c r="AX34" s="31">
        <v>22.777999999999999</v>
      </c>
      <c r="AY34" s="31" t="s">
        <v>278</v>
      </c>
      <c r="AZ34" s="31" t="s">
        <v>111</v>
      </c>
      <c r="BA34" s="31">
        <v>0.27400000000000002</v>
      </c>
      <c r="BB34" s="31">
        <v>0.30299999999999999</v>
      </c>
      <c r="BC34" s="31" t="s">
        <v>129</v>
      </c>
      <c r="BD34" s="31">
        <v>4</v>
      </c>
      <c r="BE34" s="31" t="s">
        <v>111</v>
      </c>
      <c r="BF34" s="31">
        <v>1.0999999999999999E-2</v>
      </c>
      <c r="BG34" s="31">
        <v>1.2E-2</v>
      </c>
      <c r="BH34" s="31" t="s">
        <v>129</v>
      </c>
      <c r="BI34" s="31">
        <v>4</v>
      </c>
      <c r="BJ34" s="31" t="s">
        <v>279</v>
      </c>
      <c r="BK34" s="31">
        <v>4</v>
      </c>
      <c r="BL34" s="31" t="s">
        <v>280</v>
      </c>
      <c r="BM34" s="25">
        <v>22.777999999999999</v>
      </c>
      <c r="BN34" s="25"/>
      <c r="BO34" s="31" t="s">
        <v>131</v>
      </c>
      <c r="BP34" s="31" t="s">
        <v>282</v>
      </c>
      <c r="BQ34" s="31" t="s">
        <v>278</v>
      </c>
      <c r="BR34" s="31" t="s">
        <v>111</v>
      </c>
      <c r="BS34" s="31">
        <v>0.246</v>
      </c>
      <c r="BT34" s="31">
        <v>0.308</v>
      </c>
      <c r="BU34" s="31" t="s">
        <v>129</v>
      </c>
      <c r="BV34" s="31">
        <v>9</v>
      </c>
      <c r="BW34" s="31" t="s">
        <v>111</v>
      </c>
      <c r="BX34" s="31">
        <v>7.1500000000000008E-2</v>
      </c>
      <c r="BY34" s="31">
        <v>8.7500000000000008E-2</v>
      </c>
      <c r="BZ34" s="31" t="s">
        <v>129</v>
      </c>
      <c r="CA34" s="31">
        <v>9</v>
      </c>
      <c r="CB34" s="31" t="s">
        <v>279</v>
      </c>
      <c r="CC34" s="31">
        <v>4</v>
      </c>
      <c r="CD34" s="31" t="s">
        <v>280</v>
      </c>
      <c r="CE34" s="25"/>
    </row>
    <row r="35" spans="1:84" customFormat="1" ht="72.5">
      <c r="A35" s="26">
        <v>2</v>
      </c>
      <c r="B35" s="47">
        <v>2.006E+26</v>
      </c>
      <c r="C35" s="26">
        <v>2006</v>
      </c>
      <c r="D35" s="26" t="s">
        <v>283</v>
      </c>
      <c r="E35" s="30">
        <v>44704</v>
      </c>
      <c r="F35" s="31" t="s">
        <v>97</v>
      </c>
      <c r="G35" s="31" t="s">
        <v>135</v>
      </c>
      <c r="H35" s="31">
        <v>1</v>
      </c>
      <c r="I35" s="31" t="s">
        <v>284</v>
      </c>
      <c r="J35" s="26" t="s">
        <v>285</v>
      </c>
      <c r="K35" s="26" t="s">
        <v>97</v>
      </c>
      <c r="L35" s="26" t="s">
        <v>90</v>
      </c>
      <c r="M35" s="26" t="s">
        <v>95</v>
      </c>
      <c r="N35" s="26" t="s">
        <v>286</v>
      </c>
      <c r="O35" s="26" t="s">
        <v>97</v>
      </c>
      <c r="P35" s="26" t="s">
        <v>97</v>
      </c>
      <c r="Q35" s="26"/>
      <c r="R35" s="26"/>
      <c r="S35" s="26" t="s">
        <v>90</v>
      </c>
      <c r="T35" s="26" t="s">
        <v>191</v>
      </c>
      <c r="U35" s="26" t="s">
        <v>99</v>
      </c>
      <c r="V35" s="26"/>
      <c r="W35" s="26">
        <v>2</v>
      </c>
      <c r="X35" s="26">
        <v>2</v>
      </c>
      <c r="Y35" s="26" t="s">
        <v>102</v>
      </c>
      <c r="Z35" s="26"/>
      <c r="AA35" s="26" t="s">
        <v>287</v>
      </c>
      <c r="AB35" s="26" t="s">
        <v>105</v>
      </c>
      <c r="AC35" s="26" t="s">
        <v>288</v>
      </c>
      <c r="AD35" s="26" t="s">
        <v>289</v>
      </c>
      <c r="AE35" s="26" t="s">
        <v>148</v>
      </c>
      <c r="AF35" s="26">
        <v>1</v>
      </c>
      <c r="AG35" s="26" t="s">
        <v>160</v>
      </c>
      <c r="AH35" s="26" t="s">
        <v>155</v>
      </c>
      <c r="AI35" s="26" t="s">
        <v>110</v>
      </c>
      <c r="AJ35" s="26">
        <v>2</v>
      </c>
      <c r="AK35" s="26" t="s">
        <v>151</v>
      </c>
      <c r="AL35" s="26" t="s">
        <v>97</v>
      </c>
      <c r="AM35" s="26" t="s">
        <v>97</v>
      </c>
      <c r="AN35" s="26" t="s">
        <v>152</v>
      </c>
      <c r="AO35" s="26">
        <v>2</v>
      </c>
      <c r="AP35" s="26" t="s">
        <v>290</v>
      </c>
      <c r="AQ35" s="26" t="s">
        <v>119</v>
      </c>
      <c r="AR35" s="26" t="s">
        <v>114</v>
      </c>
      <c r="AS35" s="26" t="s">
        <v>120</v>
      </c>
      <c r="AT35" s="26" t="s">
        <v>116</v>
      </c>
      <c r="AU35" s="26" t="s">
        <v>291</v>
      </c>
      <c r="AV35" s="26">
        <v>3</v>
      </c>
      <c r="AW35" s="26"/>
      <c r="AX35" s="26"/>
      <c r="AY35" s="26"/>
      <c r="AZ35" s="26"/>
      <c r="BA35" s="26"/>
      <c r="BB35" s="26"/>
      <c r="BC35" s="26"/>
      <c r="BD35" s="26"/>
      <c r="BE35" s="26"/>
      <c r="BF35" s="26"/>
      <c r="BG35" s="26"/>
      <c r="BH35" s="26"/>
      <c r="BI35" s="26"/>
      <c r="BJ35" s="26"/>
      <c r="BK35" s="26"/>
      <c r="BL35" s="26"/>
      <c r="BM35" s="26"/>
      <c r="BN35" s="26"/>
      <c r="BO35" s="31"/>
      <c r="BP35" s="31"/>
      <c r="BQ35" s="31"/>
      <c r="BR35" s="31"/>
      <c r="BS35" s="31"/>
      <c r="BT35" s="31"/>
      <c r="BU35" s="31"/>
      <c r="BV35" s="31"/>
      <c r="BW35" s="31"/>
      <c r="BX35" s="31"/>
      <c r="BY35" s="31"/>
      <c r="BZ35" s="31"/>
      <c r="CA35" s="31"/>
      <c r="CB35" s="31"/>
      <c r="CC35" s="31"/>
      <c r="CD35" s="31"/>
      <c r="CE35" s="26"/>
    </row>
    <row r="36" spans="1:84" customFormat="1" ht="72.5">
      <c r="A36" s="26">
        <v>8</v>
      </c>
      <c r="B36" s="26" t="s">
        <v>292</v>
      </c>
      <c r="C36" s="26">
        <v>2014</v>
      </c>
      <c r="D36" s="26" t="s">
        <v>293</v>
      </c>
      <c r="E36" s="30">
        <v>44706</v>
      </c>
      <c r="F36" s="31" t="s">
        <v>90</v>
      </c>
      <c r="G36" s="31" t="s">
        <v>91</v>
      </c>
      <c r="H36" s="31"/>
      <c r="I36" s="32" t="s">
        <v>294</v>
      </c>
      <c r="J36" s="26" t="s">
        <v>295</v>
      </c>
      <c r="K36" s="26" t="s">
        <v>94</v>
      </c>
      <c r="L36" s="26" t="s">
        <v>94</v>
      </c>
      <c r="M36" s="26" t="s">
        <v>95</v>
      </c>
      <c r="N36" s="26" t="s">
        <v>296</v>
      </c>
      <c r="O36" s="26" t="s">
        <v>97</v>
      </c>
      <c r="P36" s="26" t="s">
        <v>97</v>
      </c>
      <c r="Q36" s="26"/>
      <c r="R36" s="26"/>
      <c r="S36" s="26" t="s">
        <v>90</v>
      </c>
      <c r="T36" s="26" t="s">
        <v>98</v>
      </c>
      <c r="U36" s="26" t="s">
        <v>99</v>
      </c>
      <c r="V36" s="26">
        <v>1</v>
      </c>
      <c r="W36" s="26" t="s">
        <v>297</v>
      </c>
      <c r="X36" s="26" t="s">
        <v>298</v>
      </c>
      <c r="Y36" s="26" t="s">
        <v>102</v>
      </c>
      <c r="Z36" s="26" t="s">
        <v>299</v>
      </c>
      <c r="AA36" s="26" t="s">
        <v>300</v>
      </c>
      <c r="AB36" s="26" t="s">
        <v>105</v>
      </c>
      <c r="AC36" s="26" t="s">
        <v>301</v>
      </c>
      <c r="AD36" s="26" t="s">
        <v>302</v>
      </c>
      <c r="AE36" s="26" t="s">
        <v>108</v>
      </c>
      <c r="AF36" s="26">
        <v>1</v>
      </c>
      <c r="AG36" s="26" t="s">
        <v>160</v>
      </c>
      <c r="AH36" s="26" t="s">
        <v>155</v>
      </c>
      <c r="AI36" s="26" t="s">
        <v>110</v>
      </c>
      <c r="AJ36" s="26">
        <v>2</v>
      </c>
      <c r="AK36" s="26" t="s">
        <v>99</v>
      </c>
      <c r="AL36" s="26" t="s">
        <v>94</v>
      </c>
      <c r="AM36" s="26" t="s">
        <v>94</v>
      </c>
      <c r="AN36" s="26" t="s">
        <v>111</v>
      </c>
      <c r="AO36" s="26" t="s">
        <v>111</v>
      </c>
      <c r="AP36" s="26" t="s">
        <v>155</v>
      </c>
      <c r="AQ36" s="26" t="s">
        <v>119</v>
      </c>
      <c r="AR36" s="26" t="s">
        <v>114</v>
      </c>
      <c r="AS36" s="26" t="s">
        <v>120</v>
      </c>
      <c r="AT36" s="26" t="s">
        <v>116</v>
      </c>
      <c r="AU36" s="26" t="s">
        <v>303</v>
      </c>
      <c r="AV36" s="26">
        <v>2</v>
      </c>
      <c r="AW36" s="26"/>
      <c r="AX36" s="26"/>
      <c r="AY36" s="26"/>
      <c r="AZ36" s="26"/>
      <c r="BA36" s="26"/>
      <c r="BB36" s="26"/>
      <c r="BC36" s="26"/>
      <c r="BD36" s="26"/>
      <c r="BE36" s="26"/>
      <c r="BF36" s="26"/>
      <c r="BG36" s="26"/>
      <c r="BH36" s="26"/>
      <c r="BI36" s="26"/>
      <c r="BJ36" s="26"/>
      <c r="BK36" s="26"/>
      <c r="BL36" s="26"/>
      <c r="BM36" s="26"/>
      <c r="BN36" s="26"/>
      <c r="BO36" s="32" t="s">
        <v>126</v>
      </c>
      <c r="BP36" s="32" t="s">
        <v>126</v>
      </c>
      <c r="BQ36" s="32" t="s">
        <v>304</v>
      </c>
      <c r="BR36" s="32">
        <v>7.3280000000000003</v>
      </c>
      <c r="BS36" s="32">
        <v>8.8130000000000006</v>
      </c>
      <c r="BT36" s="32">
        <v>10.111000000000001</v>
      </c>
      <c r="BU36" s="32" t="s">
        <v>161</v>
      </c>
      <c r="BV36" s="32">
        <v>14</v>
      </c>
      <c r="BW36" s="32">
        <v>33.488</v>
      </c>
      <c r="BX36" s="32">
        <v>37.57</v>
      </c>
      <c r="BY36" s="32">
        <v>41.837000000000003</v>
      </c>
      <c r="BZ36" s="32" t="s">
        <v>161</v>
      </c>
      <c r="CA36" s="32">
        <v>14</v>
      </c>
      <c r="CB36" s="32" t="s">
        <v>305</v>
      </c>
      <c r="CC36" s="32" t="s">
        <v>306</v>
      </c>
      <c r="CD36" s="32"/>
      <c r="CE36" s="26"/>
    </row>
    <row r="37" spans="1:84" customFormat="1" ht="72.5">
      <c r="A37" s="26">
        <v>8</v>
      </c>
      <c r="B37" s="26" t="s">
        <v>292</v>
      </c>
      <c r="C37" s="26">
        <v>2014</v>
      </c>
      <c r="D37" s="26" t="s">
        <v>293</v>
      </c>
      <c r="E37" s="30">
        <v>44706</v>
      </c>
      <c r="F37" s="31" t="s">
        <v>90</v>
      </c>
      <c r="G37" s="31" t="s">
        <v>91</v>
      </c>
      <c r="H37" s="31"/>
      <c r="I37" s="32" t="s">
        <v>294</v>
      </c>
      <c r="J37" s="26" t="s">
        <v>295</v>
      </c>
      <c r="K37" s="26" t="s">
        <v>94</v>
      </c>
      <c r="L37" s="26" t="s">
        <v>94</v>
      </c>
      <c r="M37" s="26" t="s">
        <v>95</v>
      </c>
      <c r="N37" s="26" t="s">
        <v>296</v>
      </c>
      <c r="O37" s="26" t="s">
        <v>97</v>
      </c>
      <c r="P37" s="26" t="s">
        <v>97</v>
      </c>
      <c r="Q37" s="26"/>
      <c r="R37" s="26"/>
      <c r="S37" s="26" t="s">
        <v>90</v>
      </c>
      <c r="T37" s="26" t="s">
        <v>98</v>
      </c>
      <c r="U37" s="26" t="s">
        <v>99</v>
      </c>
      <c r="V37" s="26">
        <v>1</v>
      </c>
      <c r="W37" s="26" t="s">
        <v>297</v>
      </c>
      <c r="X37" s="26" t="s">
        <v>298</v>
      </c>
      <c r="Y37" s="26" t="s">
        <v>102</v>
      </c>
      <c r="Z37" s="26" t="s">
        <v>299</v>
      </c>
      <c r="AA37" s="26" t="s">
        <v>300</v>
      </c>
      <c r="AB37" s="26" t="s">
        <v>105</v>
      </c>
      <c r="AC37" s="26" t="s">
        <v>301</v>
      </c>
      <c r="AD37" s="26" t="s">
        <v>302</v>
      </c>
      <c r="AE37" s="26" t="s">
        <v>108</v>
      </c>
      <c r="AF37" s="26">
        <v>1</v>
      </c>
      <c r="AG37" s="26" t="s">
        <v>160</v>
      </c>
      <c r="AH37" s="26" t="s">
        <v>155</v>
      </c>
      <c r="AI37" s="26" t="s">
        <v>110</v>
      </c>
      <c r="AJ37" s="26">
        <v>2</v>
      </c>
      <c r="AK37" s="26" t="s">
        <v>99</v>
      </c>
      <c r="AL37" s="26" t="s">
        <v>94</v>
      </c>
      <c r="AM37" s="26" t="s">
        <v>94</v>
      </c>
      <c r="AN37" s="26" t="s">
        <v>111</v>
      </c>
      <c r="AO37" s="26" t="s">
        <v>111</v>
      </c>
      <c r="AP37" s="26" t="s">
        <v>155</v>
      </c>
      <c r="AQ37" s="26" t="s">
        <v>119</v>
      </c>
      <c r="AR37" s="26" t="s">
        <v>114</v>
      </c>
      <c r="AS37" s="26" t="s">
        <v>120</v>
      </c>
      <c r="AT37" s="26" t="s">
        <v>116</v>
      </c>
      <c r="AU37" s="26" t="s">
        <v>303</v>
      </c>
      <c r="AV37" s="26">
        <v>2</v>
      </c>
      <c r="AW37" s="26"/>
      <c r="AX37" s="26"/>
      <c r="AY37" s="26"/>
      <c r="AZ37" s="26"/>
      <c r="BA37" s="26"/>
      <c r="BB37" s="26"/>
      <c r="BC37" s="26"/>
      <c r="BD37" s="26"/>
      <c r="BE37" s="26"/>
      <c r="BF37" s="26"/>
      <c r="BG37" s="26"/>
      <c r="BH37" s="26"/>
      <c r="BI37" s="26"/>
      <c r="BJ37" s="26"/>
      <c r="BK37" s="26"/>
      <c r="BL37" s="26"/>
      <c r="BM37" s="26"/>
      <c r="BN37" s="26"/>
      <c r="BO37" s="32" t="s">
        <v>131</v>
      </c>
      <c r="BP37" s="32" t="s">
        <v>307</v>
      </c>
      <c r="BQ37" s="32" t="s">
        <v>304</v>
      </c>
      <c r="BR37" s="32">
        <v>-1.113</v>
      </c>
      <c r="BS37" s="32">
        <v>0.27800000000000002</v>
      </c>
      <c r="BT37" s="32">
        <v>1.7629999999999999</v>
      </c>
      <c r="BU37" s="32" t="s">
        <v>161</v>
      </c>
      <c r="BV37" s="32">
        <v>11</v>
      </c>
      <c r="BW37" s="32">
        <v>12.616</v>
      </c>
      <c r="BX37" s="32">
        <v>15.584</v>
      </c>
      <c r="BY37" s="32">
        <v>18.831</v>
      </c>
      <c r="BZ37" s="32" t="s">
        <v>161</v>
      </c>
      <c r="CA37" s="32">
        <v>13</v>
      </c>
      <c r="CB37" s="32" t="s">
        <v>305</v>
      </c>
      <c r="CC37" s="32" t="s">
        <v>306</v>
      </c>
      <c r="CD37" s="32"/>
      <c r="CE37" s="26"/>
    </row>
    <row r="38" spans="1:84" customFormat="1" ht="72.5">
      <c r="A38" s="26">
        <v>8</v>
      </c>
      <c r="B38" s="26" t="s">
        <v>292</v>
      </c>
      <c r="C38" s="26">
        <v>2014</v>
      </c>
      <c r="D38" s="26" t="s">
        <v>293</v>
      </c>
      <c r="E38" s="30">
        <v>44706</v>
      </c>
      <c r="F38" s="31" t="s">
        <v>90</v>
      </c>
      <c r="G38" s="31" t="s">
        <v>91</v>
      </c>
      <c r="H38" s="31"/>
      <c r="I38" s="32" t="s">
        <v>294</v>
      </c>
      <c r="J38" s="26" t="s">
        <v>295</v>
      </c>
      <c r="K38" s="26" t="s">
        <v>94</v>
      </c>
      <c r="L38" s="26" t="s">
        <v>94</v>
      </c>
      <c r="M38" s="26" t="s">
        <v>95</v>
      </c>
      <c r="N38" s="26" t="s">
        <v>296</v>
      </c>
      <c r="O38" s="26" t="s">
        <v>97</v>
      </c>
      <c r="P38" s="26" t="s">
        <v>97</v>
      </c>
      <c r="Q38" s="26"/>
      <c r="R38" s="26"/>
      <c r="S38" s="26" t="s">
        <v>90</v>
      </c>
      <c r="T38" s="26" t="s">
        <v>98</v>
      </c>
      <c r="U38" s="26" t="s">
        <v>99</v>
      </c>
      <c r="V38" s="26">
        <v>1</v>
      </c>
      <c r="W38" s="26" t="s">
        <v>297</v>
      </c>
      <c r="X38" s="26" t="s">
        <v>298</v>
      </c>
      <c r="Y38" s="26" t="s">
        <v>102</v>
      </c>
      <c r="Z38" s="26" t="s">
        <v>299</v>
      </c>
      <c r="AA38" s="26" t="s">
        <v>300</v>
      </c>
      <c r="AB38" s="26" t="s">
        <v>105</v>
      </c>
      <c r="AC38" s="26" t="s">
        <v>301</v>
      </c>
      <c r="AD38" s="26" t="s">
        <v>302</v>
      </c>
      <c r="AE38" s="26" t="s">
        <v>108</v>
      </c>
      <c r="AF38" s="26">
        <v>1</v>
      </c>
      <c r="AG38" s="26" t="s">
        <v>160</v>
      </c>
      <c r="AH38" s="26" t="s">
        <v>155</v>
      </c>
      <c r="AI38" s="26" t="s">
        <v>110</v>
      </c>
      <c r="AJ38" s="26">
        <v>2</v>
      </c>
      <c r="AK38" s="26" t="s">
        <v>99</v>
      </c>
      <c r="AL38" s="26" t="s">
        <v>94</v>
      </c>
      <c r="AM38" s="26" t="s">
        <v>94</v>
      </c>
      <c r="AN38" s="26" t="s">
        <v>111</v>
      </c>
      <c r="AO38" s="26" t="s">
        <v>111</v>
      </c>
      <c r="AP38" s="26" t="s">
        <v>155</v>
      </c>
      <c r="AQ38" s="26" t="s">
        <v>119</v>
      </c>
      <c r="AR38" s="26" t="s">
        <v>114</v>
      </c>
      <c r="AS38" s="26" t="s">
        <v>120</v>
      </c>
      <c r="AT38" s="26" t="s">
        <v>116</v>
      </c>
      <c r="AU38" s="26" t="s">
        <v>303</v>
      </c>
      <c r="AV38" s="26">
        <v>2</v>
      </c>
      <c r="AW38" s="26"/>
      <c r="AX38" s="26"/>
      <c r="AY38" s="26"/>
      <c r="AZ38" s="26"/>
      <c r="BA38" s="26"/>
      <c r="BB38" s="26"/>
      <c r="BC38" s="26"/>
      <c r="BD38" s="26"/>
      <c r="BE38" s="26"/>
      <c r="BF38" s="26"/>
      <c r="BG38" s="26"/>
      <c r="BH38" s="26"/>
      <c r="BI38" s="26"/>
      <c r="BJ38" s="26"/>
      <c r="BK38" s="26"/>
      <c r="BL38" s="26"/>
      <c r="BM38" s="26"/>
      <c r="BN38" s="26"/>
      <c r="BO38" s="32" t="s">
        <v>126</v>
      </c>
      <c r="BP38" s="32" t="s">
        <v>126</v>
      </c>
      <c r="BQ38" s="32" t="s">
        <v>308</v>
      </c>
      <c r="BR38" s="32">
        <v>5.67E-2</v>
      </c>
      <c r="BS38" s="32">
        <v>6.59E-2</v>
      </c>
      <c r="BT38" s="32">
        <v>7.2599999999999998E-2</v>
      </c>
      <c r="BU38" s="32" t="s">
        <v>161</v>
      </c>
      <c r="BV38" s="32">
        <v>14</v>
      </c>
      <c r="BW38" s="32">
        <v>0.14599999999999999</v>
      </c>
      <c r="BX38" s="32">
        <v>0.16</v>
      </c>
      <c r="BY38" s="32">
        <v>0.17599999999999999</v>
      </c>
      <c r="BZ38" s="32" t="s">
        <v>161</v>
      </c>
      <c r="CA38" s="32">
        <v>14</v>
      </c>
      <c r="CB38" s="32" t="s">
        <v>111</v>
      </c>
      <c r="CC38" s="32" t="s">
        <v>309</v>
      </c>
      <c r="CD38" s="32" t="s">
        <v>310</v>
      </c>
      <c r="CE38" s="26"/>
    </row>
    <row r="39" spans="1:84" customFormat="1" ht="72.5">
      <c r="A39" s="26">
        <v>8</v>
      </c>
      <c r="B39" s="26" t="s">
        <v>292</v>
      </c>
      <c r="C39" s="26">
        <v>2014</v>
      </c>
      <c r="D39" s="26" t="s">
        <v>293</v>
      </c>
      <c r="E39" s="30">
        <v>44706</v>
      </c>
      <c r="F39" s="31" t="s">
        <v>90</v>
      </c>
      <c r="G39" s="31" t="s">
        <v>91</v>
      </c>
      <c r="H39" s="31"/>
      <c r="I39" s="32" t="s">
        <v>294</v>
      </c>
      <c r="J39" s="26" t="s">
        <v>295</v>
      </c>
      <c r="K39" s="26" t="s">
        <v>94</v>
      </c>
      <c r="L39" s="26" t="s">
        <v>94</v>
      </c>
      <c r="M39" s="26" t="s">
        <v>95</v>
      </c>
      <c r="N39" s="26" t="s">
        <v>296</v>
      </c>
      <c r="O39" s="26" t="s">
        <v>97</v>
      </c>
      <c r="P39" s="26" t="s">
        <v>97</v>
      </c>
      <c r="Q39" s="26"/>
      <c r="R39" s="26"/>
      <c r="S39" s="26" t="s">
        <v>90</v>
      </c>
      <c r="T39" s="26" t="s">
        <v>98</v>
      </c>
      <c r="U39" s="26" t="s">
        <v>99</v>
      </c>
      <c r="V39" s="26">
        <v>1</v>
      </c>
      <c r="W39" s="26" t="s">
        <v>297</v>
      </c>
      <c r="X39" s="26" t="s">
        <v>298</v>
      </c>
      <c r="Y39" s="26" t="s">
        <v>102</v>
      </c>
      <c r="Z39" s="26" t="s">
        <v>299</v>
      </c>
      <c r="AA39" s="26" t="s">
        <v>300</v>
      </c>
      <c r="AB39" s="26" t="s">
        <v>105</v>
      </c>
      <c r="AC39" s="26" t="s">
        <v>301</v>
      </c>
      <c r="AD39" s="26" t="s">
        <v>302</v>
      </c>
      <c r="AE39" s="26" t="s">
        <v>108</v>
      </c>
      <c r="AF39" s="26">
        <v>1</v>
      </c>
      <c r="AG39" s="26" t="s">
        <v>160</v>
      </c>
      <c r="AH39" s="26" t="s">
        <v>155</v>
      </c>
      <c r="AI39" s="26" t="s">
        <v>110</v>
      </c>
      <c r="AJ39" s="26">
        <v>2</v>
      </c>
      <c r="AK39" s="26" t="s">
        <v>99</v>
      </c>
      <c r="AL39" s="26" t="s">
        <v>94</v>
      </c>
      <c r="AM39" s="26" t="s">
        <v>94</v>
      </c>
      <c r="AN39" s="26" t="s">
        <v>111</v>
      </c>
      <c r="AO39" s="26" t="s">
        <v>111</v>
      </c>
      <c r="AP39" s="26" t="s">
        <v>155</v>
      </c>
      <c r="AQ39" s="26" t="s">
        <v>119</v>
      </c>
      <c r="AR39" s="26" t="s">
        <v>114</v>
      </c>
      <c r="AS39" s="26" t="s">
        <v>120</v>
      </c>
      <c r="AT39" s="26" t="s">
        <v>116</v>
      </c>
      <c r="AU39" s="26" t="s">
        <v>303</v>
      </c>
      <c r="AV39" s="26">
        <v>2</v>
      </c>
      <c r="AW39" s="26"/>
      <c r="AX39" s="26"/>
      <c r="AY39" s="26"/>
      <c r="AZ39" s="26"/>
      <c r="BA39" s="26"/>
      <c r="BB39" s="26"/>
      <c r="BC39" s="26"/>
      <c r="BD39" s="26"/>
      <c r="BE39" s="26"/>
      <c r="BF39" s="26"/>
      <c r="BG39" s="26"/>
      <c r="BH39" s="26"/>
      <c r="BI39" s="26"/>
      <c r="BJ39" s="26"/>
      <c r="BK39" s="26"/>
      <c r="BL39" s="26"/>
      <c r="BM39" s="26"/>
      <c r="BN39" s="26"/>
      <c r="BO39" s="32" t="s">
        <v>131</v>
      </c>
      <c r="BP39" s="32" t="s">
        <v>307</v>
      </c>
      <c r="BQ39" s="32" t="s">
        <v>308</v>
      </c>
      <c r="BR39" s="32">
        <v>-3.1800000000000002E-2</v>
      </c>
      <c r="BS39" s="32">
        <v>-1.34E-2</v>
      </c>
      <c r="BT39" s="32">
        <v>3.0100000000000001E-3</v>
      </c>
      <c r="BU39" s="32" t="s">
        <v>161</v>
      </c>
      <c r="BV39" s="32">
        <v>11</v>
      </c>
      <c r="BW39" s="32">
        <v>6.1199999999999997E-2</v>
      </c>
      <c r="BX39" s="32">
        <v>7.7899999999999997E-2</v>
      </c>
      <c r="BY39" s="32">
        <v>9.0899999999999995E-2</v>
      </c>
      <c r="BZ39" s="32" t="s">
        <v>161</v>
      </c>
      <c r="CA39" s="32">
        <v>13</v>
      </c>
      <c r="CB39" s="32" t="s">
        <v>111</v>
      </c>
      <c r="CC39" s="32" t="s">
        <v>309</v>
      </c>
      <c r="CD39" s="32" t="s">
        <v>310</v>
      </c>
      <c r="CE39" s="26"/>
    </row>
    <row r="40" spans="1:84" customFormat="1" ht="145">
      <c r="A40" s="26">
        <v>11</v>
      </c>
      <c r="B40" s="26" t="s">
        <v>311</v>
      </c>
      <c r="C40" s="26">
        <v>2016</v>
      </c>
      <c r="D40" s="26" t="s">
        <v>312</v>
      </c>
      <c r="E40" s="31"/>
      <c r="F40" s="31" t="s">
        <v>97</v>
      </c>
      <c r="G40" s="31"/>
      <c r="H40" s="31"/>
      <c r="I40" s="32" t="s">
        <v>313</v>
      </c>
      <c r="J40" s="26" t="s">
        <v>314</v>
      </c>
      <c r="K40" s="26" t="s">
        <v>97</v>
      </c>
      <c r="L40" s="26" t="s">
        <v>137</v>
      </c>
      <c r="M40" s="26" t="s">
        <v>138</v>
      </c>
      <c r="N40" s="26" t="s">
        <v>315</v>
      </c>
      <c r="O40" s="26" t="s">
        <v>97</v>
      </c>
      <c r="P40" s="26" t="s">
        <v>97</v>
      </c>
      <c r="Q40" s="26"/>
      <c r="R40" s="26"/>
      <c r="S40" s="26" t="s">
        <v>90</v>
      </c>
      <c r="T40" s="26" t="s">
        <v>141</v>
      </c>
      <c r="U40" s="26" t="s">
        <v>99</v>
      </c>
      <c r="V40" s="26">
        <v>1</v>
      </c>
      <c r="W40" s="26" t="s">
        <v>316</v>
      </c>
      <c r="X40" s="26" t="s">
        <v>317</v>
      </c>
      <c r="Y40" s="26" t="s">
        <v>102</v>
      </c>
      <c r="Z40" s="26" t="s">
        <v>318</v>
      </c>
      <c r="AA40" s="26" t="s">
        <v>319</v>
      </c>
      <c r="AB40" s="26" t="s">
        <v>105</v>
      </c>
      <c r="AC40" s="26" t="s">
        <v>320</v>
      </c>
      <c r="AD40" s="26" t="s">
        <v>321</v>
      </c>
      <c r="AE40" s="26" t="s">
        <v>108</v>
      </c>
      <c r="AF40" s="26">
        <v>1</v>
      </c>
      <c r="AG40" s="26" t="s">
        <v>160</v>
      </c>
      <c r="AH40" s="26" t="s">
        <v>155</v>
      </c>
      <c r="AI40" s="26" t="s">
        <v>150</v>
      </c>
      <c r="AJ40" s="26">
        <v>2</v>
      </c>
      <c r="AK40" s="26" t="s">
        <v>151</v>
      </c>
      <c r="AL40" s="26" t="s">
        <v>97</v>
      </c>
      <c r="AM40" s="26" t="s">
        <v>97</v>
      </c>
      <c r="AN40" s="26">
        <v>2</v>
      </c>
      <c r="AO40" s="26" t="s">
        <v>152</v>
      </c>
      <c r="AP40" s="26" t="s">
        <v>155</v>
      </c>
      <c r="AQ40" s="26" t="s">
        <v>119</v>
      </c>
      <c r="AR40" s="26" t="s">
        <v>114</v>
      </c>
      <c r="AS40" s="26" t="s">
        <v>120</v>
      </c>
      <c r="AT40" s="26" t="s">
        <v>116</v>
      </c>
      <c r="AU40" s="26" t="s">
        <v>322</v>
      </c>
      <c r="AV40" s="26">
        <v>10</v>
      </c>
      <c r="AW40" s="26"/>
      <c r="AX40" s="26"/>
      <c r="AY40" s="26"/>
      <c r="AZ40" s="26"/>
      <c r="BA40" s="26"/>
      <c r="BB40" s="26"/>
      <c r="BC40" s="26"/>
      <c r="BD40" s="26"/>
      <c r="BE40" s="26"/>
      <c r="BF40" s="26"/>
      <c r="BG40" s="26"/>
      <c r="BH40" s="26"/>
      <c r="BI40" s="26"/>
      <c r="BJ40" s="26"/>
      <c r="BK40" s="26"/>
      <c r="BL40" s="26"/>
      <c r="BM40" s="26"/>
      <c r="BN40" s="26"/>
      <c r="BO40" s="43" t="s">
        <v>126</v>
      </c>
      <c r="BP40" s="32"/>
      <c r="BQ40" s="32"/>
      <c r="BR40" s="32"/>
      <c r="BS40" s="32"/>
      <c r="BT40" s="32"/>
      <c r="BU40" s="32"/>
      <c r="BV40" s="32"/>
      <c r="BW40" s="32"/>
      <c r="BX40" s="32"/>
      <c r="BY40" s="32"/>
      <c r="BZ40" s="32"/>
      <c r="CA40" s="32"/>
      <c r="CB40" s="32"/>
      <c r="CC40" s="32"/>
      <c r="CD40" s="32"/>
      <c r="CE40" s="26"/>
    </row>
    <row r="41" spans="1:84" ht="217.5">
      <c r="A41" s="26">
        <v>9</v>
      </c>
      <c r="B41" s="26" t="s">
        <v>323</v>
      </c>
      <c r="C41" s="26">
        <v>2015</v>
      </c>
      <c r="D41" s="26" t="s">
        <v>324</v>
      </c>
      <c r="E41" s="30">
        <v>44712</v>
      </c>
      <c r="F41" s="31" t="s">
        <v>90</v>
      </c>
      <c r="G41" s="31" t="s">
        <v>91</v>
      </c>
      <c r="H41" s="31"/>
      <c r="I41" s="32" t="s">
        <v>325</v>
      </c>
      <c r="J41" s="26" t="s">
        <v>326</v>
      </c>
      <c r="K41" s="26" t="s">
        <v>97</v>
      </c>
      <c r="L41" s="26" t="s">
        <v>97</v>
      </c>
      <c r="M41" s="26" t="s">
        <v>95</v>
      </c>
      <c r="N41" s="26" t="s">
        <v>327</v>
      </c>
      <c r="O41" s="26" t="s">
        <v>90</v>
      </c>
      <c r="P41" s="26" t="s">
        <v>97</v>
      </c>
      <c r="Q41" s="26" t="s">
        <v>328</v>
      </c>
      <c r="R41" s="26"/>
      <c r="S41" s="26" t="s">
        <v>90</v>
      </c>
      <c r="T41" s="26" t="s">
        <v>98</v>
      </c>
      <c r="U41" s="26" t="s">
        <v>99</v>
      </c>
      <c r="V41" s="26">
        <v>1</v>
      </c>
      <c r="W41" s="26" t="s">
        <v>329</v>
      </c>
      <c r="X41" s="26" t="s">
        <v>330</v>
      </c>
      <c r="Y41" s="26" t="s">
        <v>102</v>
      </c>
      <c r="Z41" s="26" t="s">
        <v>331</v>
      </c>
      <c r="AA41" s="26" t="s">
        <v>332</v>
      </c>
      <c r="AB41" s="26" t="s">
        <v>20</v>
      </c>
      <c r="AC41" s="26" t="s">
        <v>333</v>
      </c>
      <c r="AD41" s="26" t="s">
        <v>334</v>
      </c>
      <c r="AE41" s="26" t="s">
        <v>108</v>
      </c>
      <c r="AF41" s="26">
        <v>1</v>
      </c>
      <c r="AG41" s="26" t="s">
        <v>160</v>
      </c>
      <c r="AH41" s="26" t="s">
        <v>155</v>
      </c>
      <c r="AI41" s="26" t="s">
        <v>110</v>
      </c>
      <c r="AJ41" s="26">
        <v>2</v>
      </c>
      <c r="AK41" s="26" t="s">
        <v>99</v>
      </c>
      <c r="AL41" s="26" t="s">
        <v>94</v>
      </c>
      <c r="AM41" s="26" t="s">
        <v>94</v>
      </c>
      <c r="AN41" s="26" t="s">
        <v>111</v>
      </c>
      <c r="AO41" s="26" t="s">
        <v>111</v>
      </c>
      <c r="AP41" s="26" t="s">
        <v>155</v>
      </c>
      <c r="AQ41" s="26" t="s">
        <v>119</v>
      </c>
      <c r="AR41" s="26" t="s">
        <v>114</v>
      </c>
      <c r="AS41" s="26" t="s">
        <v>120</v>
      </c>
      <c r="AT41" s="26" t="s">
        <v>116</v>
      </c>
      <c r="AU41" s="26" t="s">
        <v>335</v>
      </c>
      <c r="AV41" s="26">
        <v>3</v>
      </c>
      <c r="AW41" s="32" t="s">
        <v>155</v>
      </c>
      <c r="AX41" s="32" t="s">
        <v>336</v>
      </c>
      <c r="AY41" s="32" t="s">
        <v>308</v>
      </c>
      <c r="AZ41" s="32">
        <v>0.222</v>
      </c>
      <c r="BA41" s="32">
        <v>0.24299999999999999</v>
      </c>
      <c r="BB41" s="32">
        <v>0.26300000000000001</v>
      </c>
      <c r="BC41" s="32" t="s">
        <v>129</v>
      </c>
      <c r="BD41" s="32">
        <v>9</v>
      </c>
      <c r="BE41" s="32">
        <v>0.32100000000000001</v>
      </c>
      <c r="BF41" s="32">
        <v>0.34</v>
      </c>
      <c r="BG41" s="32">
        <v>0.36</v>
      </c>
      <c r="BH41" s="32" t="s">
        <v>129</v>
      </c>
      <c r="BI41" s="32">
        <v>10</v>
      </c>
      <c r="BJ41" s="32" t="s">
        <v>111</v>
      </c>
      <c r="BK41" s="32" t="s">
        <v>337</v>
      </c>
      <c r="BL41" s="32" t="s">
        <v>338</v>
      </c>
      <c r="BM41" s="26"/>
      <c r="BN41"/>
      <c r="BO41" s="43" t="s">
        <v>126</v>
      </c>
      <c r="BP41" s="43" t="s">
        <v>126</v>
      </c>
      <c r="BQ41" s="32" t="s">
        <v>339</v>
      </c>
      <c r="BR41" s="32">
        <v>104.749</v>
      </c>
      <c r="BS41" s="32">
        <v>115.922</v>
      </c>
      <c r="BT41" s="32">
        <v>129.88800000000001</v>
      </c>
      <c r="BU41" s="32" t="s">
        <v>129</v>
      </c>
      <c r="BV41" s="32">
        <v>9</v>
      </c>
      <c r="BW41" s="32">
        <v>192.73699999999999</v>
      </c>
      <c r="BX41" s="32">
        <v>201.11699999999999</v>
      </c>
      <c r="BY41" s="32">
        <v>213.68700000000001</v>
      </c>
      <c r="BZ41" s="32" t="s">
        <v>129</v>
      </c>
      <c r="CA41" s="32">
        <v>10</v>
      </c>
      <c r="CB41" s="32" t="s">
        <v>340</v>
      </c>
      <c r="CC41" s="32" t="s">
        <v>309</v>
      </c>
      <c r="CD41" s="32"/>
      <c r="CE41"/>
      <c r="CF41"/>
    </row>
    <row r="42" spans="1:84" ht="217.5">
      <c r="A42" s="26">
        <v>9</v>
      </c>
      <c r="B42" s="26" t="s">
        <v>323</v>
      </c>
      <c r="C42" s="26">
        <v>2015</v>
      </c>
      <c r="D42" s="26" t="s">
        <v>324</v>
      </c>
      <c r="E42" s="30">
        <v>44712</v>
      </c>
      <c r="F42" s="31" t="s">
        <v>90</v>
      </c>
      <c r="G42" s="31" t="s">
        <v>91</v>
      </c>
      <c r="H42" s="31"/>
      <c r="I42" s="32" t="s">
        <v>325</v>
      </c>
      <c r="J42" s="26" t="s">
        <v>326</v>
      </c>
      <c r="K42" s="26" t="s">
        <v>97</v>
      </c>
      <c r="L42" s="26" t="s">
        <v>97</v>
      </c>
      <c r="M42" s="26" t="s">
        <v>95</v>
      </c>
      <c r="N42" s="26" t="s">
        <v>327</v>
      </c>
      <c r="O42" s="26" t="s">
        <v>90</v>
      </c>
      <c r="P42" s="26" t="s">
        <v>97</v>
      </c>
      <c r="Q42" s="26" t="s">
        <v>328</v>
      </c>
      <c r="R42" s="26"/>
      <c r="S42" s="26" t="s">
        <v>90</v>
      </c>
      <c r="T42" s="26" t="s">
        <v>98</v>
      </c>
      <c r="U42" s="26" t="s">
        <v>99</v>
      </c>
      <c r="V42" s="26">
        <v>1</v>
      </c>
      <c r="W42" s="26" t="s">
        <v>329</v>
      </c>
      <c r="X42" s="26" t="s">
        <v>330</v>
      </c>
      <c r="Y42" s="26" t="s">
        <v>102</v>
      </c>
      <c r="Z42" s="26" t="s">
        <v>331</v>
      </c>
      <c r="AA42" s="26" t="s">
        <v>332</v>
      </c>
      <c r="AB42" s="26" t="s">
        <v>20</v>
      </c>
      <c r="AC42" s="26" t="s">
        <v>333</v>
      </c>
      <c r="AD42" s="26" t="s">
        <v>334</v>
      </c>
      <c r="AE42" s="26" t="s">
        <v>108</v>
      </c>
      <c r="AF42" s="26">
        <v>1</v>
      </c>
      <c r="AG42" s="26" t="s">
        <v>160</v>
      </c>
      <c r="AH42" s="26" t="s">
        <v>155</v>
      </c>
      <c r="AI42" s="26" t="s">
        <v>110</v>
      </c>
      <c r="AJ42" s="26">
        <v>2</v>
      </c>
      <c r="AK42" s="26" t="s">
        <v>99</v>
      </c>
      <c r="AL42" s="26" t="s">
        <v>94</v>
      </c>
      <c r="AM42" s="26" t="s">
        <v>94</v>
      </c>
      <c r="AN42" s="26" t="s">
        <v>111</v>
      </c>
      <c r="AO42" s="26" t="s">
        <v>111</v>
      </c>
      <c r="AP42" s="26" t="s">
        <v>155</v>
      </c>
      <c r="AQ42" s="26" t="s">
        <v>119</v>
      </c>
      <c r="AR42" s="26" t="s">
        <v>114</v>
      </c>
      <c r="AS42" s="26" t="s">
        <v>120</v>
      </c>
      <c r="AT42" s="26" t="s">
        <v>116</v>
      </c>
      <c r="AU42" s="26" t="s">
        <v>335</v>
      </c>
      <c r="AV42" s="26">
        <v>3</v>
      </c>
      <c r="AW42" s="32" t="s">
        <v>155</v>
      </c>
      <c r="AX42" s="32" t="s">
        <v>341</v>
      </c>
      <c r="AY42" s="32" t="s">
        <v>308</v>
      </c>
      <c r="AZ42" s="32">
        <v>0.254</v>
      </c>
      <c r="BA42" s="32">
        <v>0.27300000000000002</v>
      </c>
      <c r="BB42" s="32">
        <v>0.29099999999999998</v>
      </c>
      <c r="BC42" s="32" t="s">
        <v>129</v>
      </c>
      <c r="BD42" s="32">
        <v>9</v>
      </c>
      <c r="BE42" s="32">
        <v>0.35</v>
      </c>
      <c r="BF42" s="32">
        <v>0.36599999999999999</v>
      </c>
      <c r="BG42" s="32">
        <v>0.377</v>
      </c>
      <c r="BH42" s="32" t="s">
        <v>129</v>
      </c>
      <c r="BI42" s="32">
        <v>10</v>
      </c>
      <c r="BJ42" s="32" t="s">
        <v>111</v>
      </c>
      <c r="BK42" s="32" t="s">
        <v>337</v>
      </c>
      <c r="BL42" s="32" t="s">
        <v>338</v>
      </c>
      <c r="BM42" s="26"/>
      <c r="BN42"/>
      <c r="BO42" s="43" t="s">
        <v>131</v>
      </c>
      <c r="BP42" s="43" t="s">
        <v>342</v>
      </c>
      <c r="BQ42" s="32" t="s">
        <v>339</v>
      </c>
      <c r="BR42">
        <v>161.31299999999999</v>
      </c>
      <c r="BS42">
        <v>185.05600000000001</v>
      </c>
      <c r="BT42">
        <v>207.40199999999999</v>
      </c>
      <c r="BU42" s="43" t="s">
        <v>129</v>
      </c>
      <c r="BV42" s="43">
        <v>18</v>
      </c>
      <c r="BW42">
        <v>304.46950000000004</v>
      </c>
      <c r="BX42">
        <v>331.70349999999996</v>
      </c>
      <c r="BY42">
        <v>363.12850000000003</v>
      </c>
      <c r="BZ42" s="43" t="s">
        <v>129</v>
      </c>
      <c r="CA42" s="43">
        <v>19</v>
      </c>
      <c r="CB42" s="32" t="s">
        <v>340</v>
      </c>
      <c r="CC42" s="32" t="s">
        <v>309</v>
      </c>
      <c r="CD42" s="32"/>
      <c r="CE42"/>
      <c r="CF42"/>
    </row>
    <row r="43" spans="1:84" ht="217.5">
      <c r="A43" s="26">
        <v>9</v>
      </c>
      <c r="B43" s="26" t="s">
        <v>323</v>
      </c>
      <c r="C43" s="26">
        <v>2015</v>
      </c>
      <c r="D43" s="26" t="s">
        <v>324</v>
      </c>
      <c r="E43" s="30">
        <v>44712</v>
      </c>
      <c r="F43" s="31" t="s">
        <v>90</v>
      </c>
      <c r="G43" s="31" t="s">
        <v>91</v>
      </c>
      <c r="H43" s="31"/>
      <c r="I43" s="32" t="s">
        <v>325</v>
      </c>
      <c r="J43" s="26" t="s">
        <v>326</v>
      </c>
      <c r="K43" s="26" t="s">
        <v>97</v>
      </c>
      <c r="L43" s="26" t="s">
        <v>97</v>
      </c>
      <c r="M43" s="26" t="s">
        <v>95</v>
      </c>
      <c r="N43" s="26" t="s">
        <v>327</v>
      </c>
      <c r="O43" s="26" t="s">
        <v>90</v>
      </c>
      <c r="P43" s="26" t="s">
        <v>97</v>
      </c>
      <c r="Q43" s="26" t="s">
        <v>328</v>
      </c>
      <c r="R43" s="26"/>
      <c r="S43" s="26" t="s">
        <v>90</v>
      </c>
      <c r="T43" s="26" t="s">
        <v>98</v>
      </c>
      <c r="U43" s="26" t="s">
        <v>99</v>
      </c>
      <c r="V43" s="26">
        <v>1</v>
      </c>
      <c r="W43" s="26" t="s">
        <v>329</v>
      </c>
      <c r="X43" s="26" t="s">
        <v>330</v>
      </c>
      <c r="Y43" s="26" t="s">
        <v>102</v>
      </c>
      <c r="Z43" s="26" t="s">
        <v>331</v>
      </c>
      <c r="AA43" s="26" t="s">
        <v>332</v>
      </c>
      <c r="AB43" s="26" t="s">
        <v>20</v>
      </c>
      <c r="AC43" s="26" t="s">
        <v>333</v>
      </c>
      <c r="AD43" s="26" t="s">
        <v>334</v>
      </c>
      <c r="AE43" s="26" t="s">
        <v>108</v>
      </c>
      <c r="AF43" s="26">
        <v>1</v>
      </c>
      <c r="AG43" s="26" t="s">
        <v>160</v>
      </c>
      <c r="AH43" s="26" t="s">
        <v>155</v>
      </c>
      <c r="AI43" s="26" t="s">
        <v>110</v>
      </c>
      <c r="AJ43" s="26">
        <v>2</v>
      </c>
      <c r="AK43" s="26" t="s">
        <v>99</v>
      </c>
      <c r="AL43" s="26" t="s">
        <v>94</v>
      </c>
      <c r="AM43" s="26" t="s">
        <v>94</v>
      </c>
      <c r="AN43" s="26" t="s">
        <v>111</v>
      </c>
      <c r="AO43" s="26" t="s">
        <v>111</v>
      </c>
      <c r="AP43" s="26" t="s">
        <v>155</v>
      </c>
      <c r="AQ43" s="26" t="s">
        <v>119</v>
      </c>
      <c r="AR43" s="26" t="s">
        <v>114</v>
      </c>
      <c r="AS43" s="26" t="s">
        <v>120</v>
      </c>
      <c r="AT43" s="26" t="s">
        <v>116</v>
      </c>
      <c r="AU43" s="26" t="s">
        <v>335</v>
      </c>
      <c r="AV43" s="26">
        <v>3</v>
      </c>
      <c r="AW43"/>
      <c r="AX43"/>
      <c r="AY43"/>
      <c r="AZ43"/>
      <c r="BA43"/>
      <c r="BB43"/>
      <c r="BC43"/>
      <c r="BD43"/>
      <c r="BE43"/>
      <c r="BF43"/>
      <c r="BG43"/>
      <c r="BH43"/>
      <c r="BI43"/>
      <c r="BJ43"/>
      <c r="BK43"/>
      <c r="BL43"/>
      <c r="BM43"/>
      <c r="BN43"/>
      <c r="BO43" s="43" t="s">
        <v>126</v>
      </c>
      <c r="BP43" s="43" t="s">
        <v>126</v>
      </c>
      <c r="BQ43" s="32" t="s">
        <v>308</v>
      </c>
      <c r="BR43" s="32">
        <v>0.254</v>
      </c>
      <c r="BS43" s="32">
        <v>0.27300000000000002</v>
      </c>
      <c r="BT43" s="32">
        <v>0.29099999999999998</v>
      </c>
      <c r="BU43" s="32" t="s">
        <v>129</v>
      </c>
      <c r="BV43" s="32">
        <v>9</v>
      </c>
      <c r="BW43" s="32">
        <v>0.35</v>
      </c>
      <c r="BX43" s="32">
        <v>0.36599999999999999</v>
      </c>
      <c r="BY43" s="32">
        <v>0.377</v>
      </c>
      <c r="BZ43" s="32" t="s">
        <v>129</v>
      </c>
      <c r="CA43" s="32">
        <v>10</v>
      </c>
      <c r="CB43" s="32" t="s">
        <v>111</v>
      </c>
      <c r="CC43" s="32" t="s">
        <v>337</v>
      </c>
      <c r="CD43" s="32" t="s">
        <v>338</v>
      </c>
      <c r="CE43"/>
      <c r="CF43"/>
    </row>
    <row r="44" spans="1:84" ht="217.5">
      <c r="A44" s="26">
        <v>9</v>
      </c>
      <c r="B44" s="26" t="s">
        <v>323</v>
      </c>
      <c r="C44" s="26">
        <v>2015</v>
      </c>
      <c r="D44" s="26" t="s">
        <v>324</v>
      </c>
      <c r="E44" s="30">
        <v>44712</v>
      </c>
      <c r="F44" s="31" t="s">
        <v>90</v>
      </c>
      <c r="G44" s="31" t="s">
        <v>91</v>
      </c>
      <c r="H44" s="31"/>
      <c r="I44" s="32" t="s">
        <v>325</v>
      </c>
      <c r="J44" s="26" t="s">
        <v>326</v>
      </c>
      <c r="K44" s="26" t="s">
        <v>97</v>
      </c>
      <c r="L44" s="26" t="s">
        <v>97</v>
      </c>
      <c r="M44" s="26" t="s">
        <v>95</v>
      </c>
      <c r="N44" s="26" t="s">
        <v>327</v>
      </c>
      <c r="O44" s="26" t="s">
        <v>90</v>
      </c>
      <c r="P44" s="26" t="s">
        <v>97</v>
      </c>
      <c r="Q44" s="26" t="s">
        <v>328</v>
      </c>
      <c r="R44" s="26"/>
      <c r="S44" s="26" t="s">
        <v>90</v>
      </c>
      <c r="T44" s="26" t="s">
        <v>98</v>
      </c>
      <c r="U44" s="26" t="s">
        <v>99</v>
      </c>
      <c r="V44" s="26">
        <v>1</v>
      </c>
      <c r="W44" s="26" t="s">
        <v>329</v>
      </c>
      <c r="X44" s="26" t="s">
        <v>330</v>
      </c>
      <c r="Y44" s="26" t="s">
        <v>102</v>
      </c>
      <c r="Z44" s="26" t="s">
        <v>331</v>
      </c>
      <c r="AA44" s="26" t="s">
        <v>332</v>
      </c>
      <c r="AB44" s="26" t="s">
        <v>20</v>
      </c>
      <c r="AC44" s="26" t="s">
        <v>333</v>
      </c>
      <c r="AD44" s="26" t="s">
        <v>334</v>
      </c>
      <c r="AE44" s="26" t="s">
        <v>108</v>
      </c>
      <c r="AF44" s="26">
        <v>1</v>
      </c>
      <c r="AG44" s="26" t="s">
        <v>160</v>
      </c>
      <c r="AH44" s="26" t="s">
        <v>155</v>
      </c>
      <c r="AI44" s="26" t="s">
        <v>110</v>
      </c>
      <c r="AJ44" s="26">
        <v>2</v>
      </c>
      <c r="AK44" s="26" t="s">
        <v>99</v>
      </c>
      <c r="AL44" s="26" t="s">
        <v>94</v>
      </c>
      <c r="AM44" s="26" t="s">
        <v>94</v>
      </c>
      <c r="AN44" s="26" t="s">
        <v>111</v>
      </c>
      <c r="AO44" s="26" t="s">
        <v>111</v>
      </c>
      <c r="AP44" s="26" t="s">
        <v>155</v>
      </c>
      <c r="AQ44" s="26" t="s">
        <v>119</v>
      </c>
      <c r="AR44" s="26" t="s">
        <v>114</v>
      </c>
      <c r="AS44" s="26" t="s">
        <v>120</v>
      </c>
      <c r="AT44" s="26" t="s">
        <v>116</v>
      </c>
      <c r="AU44" s="26" t="s">
        <v>335</v>
      </c>
      <c r="AV44" s="26">
        <v>3</v>
      </c>
      <c r="AW44"/>
      <c r="AX44"/>
      <c r="AY44"/>
      <c r="AZ44"/>
      <c r="BA44"/>
      <c r="BB44"/>
      <c r="BC44"/>
      <c r="BD44"/>
      <c r="BE44"/>
      <c r="BF44"/>
      <c r="BG44"/>
      <c r="BH44"/>
      <c r="BI44"/>
      <c r="BJ44"/>
      <c r="BK44"/>
      <c r="BL44"/>
      <c r="BM44"/>
      <c r="BN44"/>
      <c r="BO44" s="43" t="s">
        <v>131</v>
      </c>
      <c r="BP44" s="43" t="s">
        <v>343</v>
      </c>
      <c r="BQ44" s="32" t="s">
        <v>308</v>
      </c>
      <c r="BR44">
        <v>0.22899999999999998</v>
      </c>
      <c r="BS44">
        <v>0.2505</v>
      </c>
      <c r="BT44">
        <v>0.27200000000000002</v>
      </c>
      <c r="BU44" s="43" t="s">
        <v>129</v>
      </c>
      <c r="BV44" s="43">
        <v>18</v>
      </c>
      <c r="BW44">
        <v>0.32450000000000001</v>
      </c>
      <c r="BX44">
        <v>0.34399999999999997</v>
      </c>
      <c r="BY44">
        <v>0.36649999999999999</v>
      </c>
      <c r="BZ44" s="43" t="s">
        <v>129</v>
      </c>
      <c r="CA44" s="43">
        <v>19</v>
      </c>
      <c r="CB44" s="32" t="s">
        <v>111</v>
      </c>
      <c r="CC44" s="32" t="s">
        <v>337</v>
      </c>
      <c r="CD44" s="32" t="s">
        <v>338</v>
      </c>
      <c r="CE44"/>
      <c r="CF44"/>
    </row>
  </sheetData>
  <autoFilter ref="A2:CF44" xr:uid="{C7A76221-8A84-4F97-93BC-794DB1956ABD}"/>
  <mergeCells count="8">
    <mergeCell ref="BR1:BV1"/>
    <mergeCell ref="BW1:CA1"/>
    <mergeCell ref="B1:D1"/>
    <mergeCell ref="E1:I1"/>
    <mergeCell ref="J1:R1"/>
    <mergeCell ref="S1:AA1"/>
    <mergeCell ref="AB1:BB1"/>
    <mergeCell ref="BO1:BQ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C8920-6A43-4DFB-831E-99CC7046C5ED}">
  <dimension ref="A1:CM273"/>
  <sheetViews>
    <sheetView tabSelected="1" topLeftCell="B2" zoomScaleNormal="100" workbookViewId="0">
      <pane xSplit="3" ySplit="1" topLeftCell="BB205" activePane="bottomRight" state="frozen"/>
      <selection activeCell="B2" sqref="B2"/>
      <selection pane="topRight" activeCell="E2" sqref="E2"/>
      <selection pane="bottomLeft" activeCell="B3" sqref="B3"/>
      <selection pane="bottomRight" activeCell="C214" sqref="C214"/>
    </sheetView>
  </sheetViews>
  <sheetFormatPr defaultColWidth="8.81640625" defaultRowHeight="14" customHeight="1"/>
  <cols>
    <col min="1" max="1" width="9.1796875" hidden="1" customWidth="1"/>
    <col min="2" max="2" width="12.453125" customWidth="1"/>
    <col min="3" max="3" width="11.453125" customWidth="1"/>
    <col min="4" max="4" width="20.54296875" customWidth="1"/>
    <col min="5" max="5" width="10.453125" customWidth="1"/>
    <col min="6" max="6" width="13.54296875" hidden="1" customWidth="1"/>
    <col min="7" max="7" width="7.81640625" hidden="1" customWidth="1"/>
    <col min="8" max="8" width="14.1796875" hidden="1" customWidth="1"/>
    <col min="9" max="9" width="58" customWidth="1"/>
    <col min="10" max="10" width="41.81640625" customWidth="1"/>
    <col min="11" max="11" width="12.453125" customWidth="1"/>
    <col min="12" max="12" width="13.1796875" customWidth="1"/>
    <col min="13" max="13" width="11.81640625" customWidth="1"/>
    <col min="14" max="14" width="58.54296875" customWidth="1"/>
    <col min="15" max="16" width="8.81640625" customWidth="1"/>
    <col min="17" max="17" width="28.453125" customWidth="1"/>
    <col min="18" max="18" width="14.54296875" customWidth="1"/>
    <col min="19" max="23" width="8.81640625" customWidth="1"/>
    <col min="24" max="24" width="23.81640625" customWidth="1"/>
    <col min="25" max="25" width="23.1796875" customWidth="1"/>
    <col min="26" max="26" width="22.54296875" customWidth="1"/>
    <col min="27" max="27" width="29.453125" customWidth="1"/>
    <col min="28" max="28" width="20.1796875" customWidth="1"/>
    <col min="29" max="29" width="8.81640625" customWidth="1"/>
    <col min="30" max="30" width="31.453125" customWidth="1"/>
    <col min="31" max="31" width="28.81640625" customWidth="1"/>
    <col min="32" max="32" width="19.453125" customWidth="1"/>
    <col min="33" max="33" width="13.81640625" customWidth="1"/>
    <col min="34" max="34" width="8.81640625" customWidth="1"/>
    <col min="35" max="35" width="21.1796875" customWidth="1"/>
    <col min="36" max="40" width="8.81640625" customWidth="1"/>
    <col min="41" max="41" width="27.1796875" customWidth="1"/>
    <col min="42" max="42" width="8.81640625" customWidth="1"/>
    <col min="43" max="43" width="21.81640625" customWidth="1"/>
    <col min="44" max="47" width="8.81640625" customWidth="1"/>
    <col min="48" max="48" width="27.1796875" customWidth="1"/>
    <col min="49" max="49" width="8.81640625" customWidth="1"/>
    <col min="50" max="50" width="25.54296875" customWidth="1"/>
    <col min="51" max="51" width="25.1796875" customWidth="1"/>
    <col min="52" max="53" width="8.81640625" customWidth="1"/>
    <col min="54" max="54" width="16.81640625" customWidth="1"/>
    <col min="55" max="55" width="8.81640625" customWidth="1"/>
    <col min="56" max="56" width="26.1796875" customWidth="1"/>
    <col min="57" max="57" width="18.1796875" customWidth="1"/>
    <col min="58" max="59" width="8.81640625" customWidth="1"/>
    <col min="60" max="60" width="31.81640625" customWidth="1"/>
    <col min="61" max="61" width="8.81640625" customWidth="1"/>
    <col min="63" max="63" width="27.1796875" customWidth="1"/>
    <col min="64" max="64" width="8.81640625" customWidth="1"/>
    <col min="65" max="65" width="8.54296875" customWidth="1"/>
    <col min="74" max="74" width="8.81640625" customWidth="1"/>
    <col min="75" max="75" width="11.1796875" bestFit="1" customWidth="1"/>
    <col min="76" max="76" width="10.54296875" customWidth="1"/>
    <col min="77" max="78" width="25.453125" customWidth="1"/>
    <col min="79" max="79" width="8.453125" customWidth="1"/>
    <col min="80" max="80" width="11" customWidth="1"/>
    <col min="82" max="83" width="8.81640625" customWidth="1"/>
    <col min="84" max="84" width="40.453125" customWidth="1"/>
  </cols>
  <sheetData>
    <row r="1" spans="1:85" ht="62.75" hidden="1" customHeight="1">
      <c r="B1" t="s">
        <v>0</v>
      </c>
      <c r="E1" t="s">
        <v>1</v>
      </c>
      <c r="J1" t="s">
        <v>2</v>
      </c>
      <c r="K1" s="125"/>
      <c r="L1" s="125"/>
      <c r="M1" s="125"/>
      <c r="N1" s="125"/>
      <c r="O1" s="125"/>
      <c r="P1" s="125"/>
      <c r="Q1" s="125"/>
      <c r="R1" s="125"/>
      <c r="S1" s="125"/>
      <c r="T1" s="125"/>
      <c r="U1" s="125"/>
      <c r="V1" s="125"/>
      <c r="W1" s="125"/>
      <c r="X1" s="125"/>
      <c r="Y1" s="125"/>
      <c r="Z1" s="125"/>
      <c r="AA1" s="125"/>
      <c r="AB1" s="125"/>
      <c r="AC1" s="142" t="s">
        <v>3</v>
      </c>
      <c r="AD1" s="142"/>
      <c r="AE1" s="142"/>
      <c r="AF1" s="142"/>
      <c r="AG1" s="142"/>
      <c r="AH1" s="142"/>
      <c r="AI1" s="142"/>
      <c r="AJ1" s="125"/>
      <c r="AK1" s="125"/>
      <c r="AL1" s="125"/>
      <c r="AM1" s="125"/>
      <c r="AN1" s="125"/>
      <c r="AO1" s="125"/>
      <c r="AP1" s="125"/>
      <c r="AQ1" s="125"/>
      <c r="AR1" s="125"/>
      <c r="AS1" s="125"/>
      <c r="AT1" s="125"/>
      <c r="AU1" s="125"/>
      <c r="AV1" s="125"/>
      <c r="AW1" s="125"/>
      <c r="AX1" s="125"/>
      <c r="AY1" s="125"/>
      <c r="AZ1" s="125"/>
      <c r="BA1" s="125"/>
      <c r="BB1" s="125"/>
      <c r="BC1" s="125"/>
      <c r="BD1" s="125"/>
      <c r="BE1" s="125"/>
      <c r="BF1" s="125"/>
      <c r="BG1" s="125"/>
      <c r="BH1" s="125"/>
      <c r="BI1" s="125"/>
      <c r="BJ1" t="s">
        <v>4</v>
      </c>
      <c r="BN1" t="s">
        <v>5</v>
      </c>
      <c r="BS1" t="s">
        <v>6</v>
      </c>
    </row>
    <row r="2" spans="1:85" ht="14" customHeight="1">
      <c r="A2" t="s">
        <v>344</v>
      </c>
      <c r="B2" t="s">
        <v>7</v>
      </c>
      <c r="C2" t="s">
        <v>8</v>
      </c>
      <c r="D2" t="s">
        <v>9</v>
      </c>
      <c r="E2" t="s">
        <v>10</v>
      </c>
      <c r="F2" t="s">
        <v>11</v>
      </c>
      <c r="G2" t="s">
        <v>12</v>
      </c>
      <c r="H2" t="s">
        <v>13</v>
      </c>
      <c r="I2" t="s">
        <v>14</v>
      </c>
      <c r="J2" t="s">
        <v>15</v>
      </c>
      <c r="K2" s="87" t="s">
        <v>16</v>
      </c>
      <c r="L2" s="87" t="s">
        <v>17</v>
      </c>
      <c r="M2" s="87" t="s">
        <v>18</v>
      </c>
      <c r="N2" s="87" t="s">
        <v>19</v>
      </c>
      <c r="O2" s="87" t="s">
        <v>20</v>
      </c>
      <c r="P2" s="87" t="s">
        <v>21</v>
      </c>
      <c r="Q2" s="87" t="s">
        <v>22</v>
      </c>
      <c r="R2" s="87" t="s">
        <v>23</v>
      </c>
      <c r="S2" s="87" t="s">
        <v>24</v>
      </c>
      <c r="T2" s="87" t="s">
        <v>3203</v>
      </c>
      <c r="U2" s="87" t="s">
        <v>25</v>
      </c>
      <c r="V2" s="87" t="s">
        <v>26</v>
      </c>
      <c r="W2" s="87" t="s">
        <v>27</v>
      </c>
      <c r="X2" s="87" t="s">
        <v>28</v>
      </c>
      <c r="Y2" s="87" t="s">
        <v>29</v>
      </c>
      <c r="Z2" s="87" t="s">
        <v>30</v>
      </c>
      <c r="AA2" s="87" t="s">
        <v>31</v>
      </c>
      <c r="AB2" s="87" t="s">
        <v>32</v>
      </c>
      <c r="AC2" s="87" t="s">
        <v>33</v>
      </c>
      <c r="AD2" s="87" t="s">
        <v>34</v>
      </c>
      <c r="AE2" s="87" t="s">
        <v>35</v>
      </c>
      <c r="AF2" s="87" t="s">
        <v>36</v>
      </c>
      <c r="AG2" s="87" t="s">
        <v>37</v>
      </c>
      <c r="AH2" s="87" t="s">
        <v>38</v>
      </c>
      <c r="AI2" s="87" t="s">
        <v>39</v>
      </c>
      <c r="AJ2" s="87" t="s">
        <v>40</v>
      </c>
      <c r="AK2" s="87" t="s">
        <v>41</v>
      </c>
      <c r="AL2" s="87" t="s">
        <v>42</v>
      </c>
      <c r="AM2" s="87" t="s">
        <v>43</v>
      </c>
      <c r="AN2" s="87" t="s">
        <v>44</v>
      </c>
      <c r="AO2" s="87" t="s">
        <v>45</v>
      </c>
      <c r="AP2" s="87" t="s">
        <v>46</v>
      </c>
      <c r="AQ2" s="87" t="s">
        <v>47</v>
      </c>
      <c r="AR2" s="87" t="s">
        <v>48</v>
      </c>
      <c r="AS2" s="87" t="s">
        <v>49</v>
      </c>
      <c r="AT2" s="87" t="s">
        <v>50</v>
      </c>
      <c r="AU2" s="87" t="s">
        <v>51</v>
      </c>
      <c r="AV2" s="87" t="s">
        <v>52</v>
      </c>
      <c r="AW2" s="87" t="s">
        <v>53</v>
      </c>
      <c r="AX2" s="87" t="s">
        <v>54</v>
      </c>
      <c r="AY2" s="87" t="s">
        <v>55</v>
      </c>
      <c r="AZ2" s="87" t="s">
        <v>56</v>
      </c>
      <c r="BA2" s="87" t="s">
        <v>57</v>
      </c>
      <c r="BB2" s="87" t="s">
        <v>58</v>
      </c>
      <c r="BC2" s="87" t="s">
        <v>59</v>
      </c>
      <c r="BD2" s="87" t="s">
        <v>60</v>
      </c>
      <c r="BE2" s="87" t="s">
        <v>61</v>
      </c>
      <c r="BF2" s="87" t="s">
        <v>62</v>
      </c>
      <c r="BG2" s="87" t="s">
        <v>63</v>
      </c>
      <c r="BH2" s="87" t="s">
        <v>64</v>
      </c>
      <c r="BI2" s="87" t="s">
        <v>65</v>
      </c>
      <c r="BJ2" t="s">
        <v>72</v>
      </c>
      <c r="BK2" t="s">
        <v>73</v>
      </c>
      <c r="BL2" t="s">
        <v>74</v>
      </c>
      <c r="BM2" t="s">
        <v>345</v>
      </c>
      <c r="BN2" t="s">
        <v>75</v>
      </c>
      <c r="BO2" t="s">
        <v>76</v>
      </c>
      <c r="BP2" t="s">
        <v>77</v>
      </c>
      <c r="BQ2" t="s">
        <v>78</v>
      </c>
      <c r="BR2" t="s">
        <v>79</v>
      </c>
      <c r="BS2" t="s">
        <v>80</v>
      </c>
      <c r="BT2" t="s">
        <v>81</v>
      </c>
      <c r="BU2" t="s">
        <v>82</v>
      </c>
      <c r="BV2" t="s">
        <v>83</v>
      </c>
      <c r="BW2" t="s">
        <v>84</v>
      </c>
      <c r="BX2" t="s">
        <v>85</v>
      </c>
      <c r="BY2" t="s">
        <v>2867</v>
      </c>
      <c r="BZ2" t="s">
        <v>2868</v>
      </c>
      <c r="CA2" t="s">
        <v>2865</v>
      </c>
      <c r="CB2" t="s">
        <v>2866</v>
      </c>
      <c r="CC2" t="s">
        <v>86</v>
      </c>
      <c r="CD2" t="s">
        <v>3177</v>
      </c>
      <c r="CF2" t="s">
        <v>87</v>
      </c>
      <c r="CG2" t="s">
        <v>3182</v>
      </c>
    </row>
    <row r="3" spans="1:85" ht="14.5">
      <c r="A3">
        <v>4</v>
      </c>
      <c r="B3" t="s">
        <v>173</v>
      </c>
      <c r="C3">
        <v>2011</v>
      </c>
      <c r="D3" t="s">
        <v>174</v>
      </c>
      <c r="E3">
        <v>44708</v>
      </c>
      <c r="F3" t="s">
        <v>90</v>
      </c>
      <c r="G3" t="s">
        <v>135</v>
      </c>
      <c r="H3">
        <v>1</v>
      </c>
      <c r="J3" t="s">
        <v>176</v>
      </c>
      <c r="K3" s="117" t="s">
        <v>97</v>
      </c>
      <c r="L3" s="117" t="s">
        <v>90</v>
      </c>
      <c r="M3" s="117" t="s">
        <v>95</v>
      </c>
      <c r="N3" s="117" t="s">
        <v>177</v>
      </c>
      <c r="O3" s="117" t="s">
        <v>97</v>
      </c>
      <c r="P3" s="117" t="s">
        <v>97</v>
      </c>
      <c r="Q3" s="117"/>
      <c r="R3" s="117"/>
      <c r="S3" s="117" t="s">
        <v>90</v>
      </c>
      <c r="T3" s="117" t="s">
        <v>114</v>
      </c>
      <c r="U3" s="117" t="s">
        <v>141</v>
      </c>
      <c r="V3" s="117" t="s">
        <v>99</v>
      </c>
      <c r="W3" s="117">
        <v>1</v>
      </c>
      <c r="X3" s="117" t="s">
        <v>3081</v>
      </c>
      <c r="Y3" s="117" t="s">
        <v>3082</v>
      </c>
      <c r="Z3" s="117" t="s">
        <v>102</v>
      </c>
      <c r="AA3" s="117" t="s">
        <v>3101</v>
      </c>
      <c r="AB3" s="117" t="s">
        <v>178</v>
      </c>
      <c r="AC3" s="117" t="s">
        <v>105</v>
      </c>
      <c r="AD3" s="117" t="s">
        <v>179</v>
      </c>
      <c r="AE3" s="117" t="s">
        <v>180</v>
      </c>
      <c r="AF3" s="117" t="s">
        <v>148</v>
      </c>
      <c r="AG3" s="117">
        <v>1</v>
      </c>
      <c r="AH3" s="117" t="s">
        <v>160</v>
      </c>
      <c r="AI3" s="117" t="s">
        <v>155</v>
      </c>
      <c r="AJ3" s="117" t="s">
        <v>181</v>
      </c>
      <c r="AK3" s="117">
        <v>2</v>
      </c>
      <c r="AL3" s="117" t="s">
        <v>151</v>
      </c>
      <c r="AM3" s="117" t="s">
        <v>97</v>
      </c>
      <c r="AN3" s="117" t="s">
        <v>97</v>
      </c>
      <c r="AO3" s="117" t="s">
        <v>152</v>
      </c>
      <c r="AP3" s="117">
        <v>2</v>
      </c>
      <c r="AQ3" s="117" t="s">
        <v>155</v>
      </c>
      <c r="AR3" s="117" t="s">
        <v>119</v>
      </c>
      <c r="AS3" s="117" t="s">
        <v>114</v>
      </c>
      <c r="AT3" s="117" t="s">
        <v>120</v>
      </c>
      <c r="AU3" s="117" t="s">
        <v>116</v>
      </c>
      <c r="AV3" s="117" t="s">
        <v>182</v>
      </c>
      <c r="AW3" s="117">
        <v>4</v>
      </c>
      <c r="AX3" s="117"/>
      <c r="AY3" s="117"/>
      <c r="AZ3" s="117"/>
      <c r="BA3" s="117"/>
      <c r="BB3" s="117"/>
      <c r="BC3" s="117"/>
      <c r="BD3" s="117"/>
      <c r="BE3" s="117"/>
      <c r="BF3" s="117"/>
      <c r="BG3" s="117"/>
      <c r="BH3" s="117"/>
      <c r="BI3" s="117"/>
      <c r="BJ3">
        <v>0</v>
      </c>
      <c r="BK3" t="s">
        <v>346</v>
      </c>
      <c r="BL3" t="s">
        <v>184</v>
      </c>
      <c r="BM3" t="s">
        <v>3183</v>
      </c>
      <c r="BN3" t="s">
        <v>160</v>
      </c>
      <c r="BO3">
        <v>1514.357683</v>
      </c>
      <c r="BP3">
        <v>1586.9017630000001</v>
      </c>
      <c r="BQ3" t="s">
        <v>161</v>
      </c>
      <c r="BR3">
        <v>6</v>
      </c>
      <c r="BS3" t="s">
        <v>160</v>
      </c>
      <c r="BT3">
        <v>1618.6397979999999</v>
      </c>
      <c r="BU3">
        <v>1718.387909</v>
      </c>
      <c r="BV3" t="s">
        <v>161</v>
      </c>
      <c r="BW3">
        <v>6</v>
      </c>
      <c r="BY3">
        <v>1618.6397979999999</v>
      </c>
      <c r="BZ3">
        <v>1718.387909</v>
      </c>
      <c r="CA3">
        <v>72.544080000000122</v>
      </c>
      <c r="CB3">
        <v>99.748111000000108</v>
      </c>
      <c r="CC3" t="s">
        <v>347</v>
      </c>
      <c r="CF3" t="s">
        <v>3184</v>
      </c>
      <c r="CG3" t="s">
        <v>3095</v>
      </c>
    </row>
    <row r="4" spans="1:85" ht="14.5">
      <c r="A4">
        <v>4</v>
      </c>
      <c r="B4" t="s">
        <v>173</v>
      </c>
      <c r="C4">
        <v>2011</v>
      </c>
      <c r="D4" t="s">
        <v>174</v>
      </c>
      <c r="E4">
        <v>44708</v>
      </c>
      <c r="F4" t="s">
        <v>90</v>
      </c>
      <c r="G4" t="s">
        <v>135</v>
      </c>
      <c r="H4">
        <v>1</v>
      </c>
      <c r="J4" t="s">
        <v>176</v>
      </c>
      <c r="K4" s="117" t="s">
        <v>97</v>
      </c>
      <c r="L4" s="117" t="s">
        <v>90</v>
      </c>
      <c r="M4" s="117" t="s">
        <v>95</v>
      </c>
      <c r="N4" s="117" t="s">
        <v>177</v>
      </c>
      <c r="O4" s="117" t="s">
        <v>97</v>
      </c>
      <c r="P4" s="117" t="s">
        <v>97</v>
      </c>
      <c r="Q4" s="117"/>
      <c r="R4" s="117"/>
      <c r="S4" s="117" t="s">
        <v>90</v>
      </c>
      <c r="T4" s="117" t="s">
        <v>114</v>
      </c>
      <c r="U4" s="117" t="s">
        <v>141</v>
      </c>
      <c r="V4" s="117" t="s">
        <v>99</v>
      </c>
      <c r="W4" s="117">
        <v>1</v>
      </c>
      <c r="X4" s="117" t="s">
        <v>3081</v>
      </c>
      <c r="Y4" s="117" t="s">
        <v>3082</v>
      </c>
      <c r="Z4" s="117" t="s">
        <v>102</v>
      </c>
      <c r="AA4" s="117" t="s">
        <v>3101</v>
      </c>
      <c r="AB4" s="117" t="s">
        <v>178</v>
      </c>
      <c r="AC4" s="117" t="s">
        <v>105</v>
      </c>
      <c r="AD4" s="117" t="s">
        <v>179</v>
      </c>
      <c r="AE4" s="117" t="s">
        <v>180</v>
      </c>
      <c r="AF4" s="117" t="s">
        <v>148</v>
      </c>
      <c r="AG4" s="117">
        <v>1</v>
      </c>
      <c r="AH4" s="117" t="s">
        <v>160</v>
      </c>
      <c r="AI4" s="117" t="s">
        <v>155</v>
      </c>
      <c r="AJ4" s="117" t="s">
        <v>181</v>
      </c>
      <c r="AK4" s="117">
        <v>2</v>
      </c>
      <c r="AL4" s="117" t="s">
        <v>151</v>
      </c>
      <c r="AM4" s="117" t="s">
        <v>97</v>
      </c>
      <c r="AN4" s="117" t="s">
        <v>97</v>
      </c>
      <c r="AO4" s="117" t="s">
        <v>152</v>
      </c>
      <c r="AP4" s="117">
        <v>2</v>
      </c>
      <c r="AQ4" s="117" t="s">
        <v>155</v>
      </c>
      <c r="AR4" s="117" t="s">
        <v>119</v>
      </c>
      <c r="AS4" s="117" t="s">
        <v>114</v>
      </c>
      <c r="AT4" s="117" t="s">
        <v>120</v>
      </c>
      <c r="AU4" s="117" t="s">
        <v>116</v>
      </c>
      <c r="AV4" s="117" t="s">
        <v>182</v>
      </c>
      <c r="AW4" s="117">
        <v>4</v>
      </c>
      <c r="AX4" s="117"/>
      <c r="AY4" s="117"/>
      <c r="AZ4" s="117"/>
      <c r="BA4" s="117"/>
      <c r="BB4" s="117"/>
      <c r="BC4" s="117"/>
      <c r="BD4" s="117"/>
      <c r="BE4" s="117"/>
      <c r="BF4" s="117"/>
      <c r="BG4" s="117"/>
      <c r="BH4" s="117"/>
      <c r="BI4" s="117"/>
      <c r="BJ4">
        <v>8</v>
      </c>
      <c r="BK4" t="s">
        <v>348</v>
      </c>
      <c r="BL4" t="s">
        <v>184</v>
      </c>
      <c r="BM4" t="s">
        <v>3183</v>
      </c>
      <c r="BN4" t="s">
        <v>160</v>
      </c>
      <c r="BO4">
        <v>1355.667506</v>
      </c>
      <c r="BP4">
        <v>1405.5415620000001</v>
      </c>
      <c r="BQ4" t="s">
        <v>161</v>
      </c>
      <c r="BR4">
        <v>6</v>
      </c>
      <c r="BS4" t="s">
        <v>160</v>
      </c>
      <c r="BT4">
        <v>1573.2997479999999</v>
      </c>
      <c r="BU4">
        <v>1605.037783</v>
      </c>
      <c r="BV4" t="s">
        <v>161</v>
      </c>
      <c r="BW4">
        <v>6</v>
      </c>
      <c r="BY4">
        <v>1573.2997479999999</v>
      </c>
      <c r="BZ4">
        <v>1605.037783</v>
      </c>
      <c r="CA4">
        <v>49.87405600000011</v>
      </c>
      <c r="CB4">
        <v>31.738035000000082</v>
      </c>
      <c r="CC4" t="s">
        <v>347</v>
      </c>
      <c r="CF4" t="s">
        <v>3184</v>
      </c>
      <c r="CG4" t="s">
        <v>3095</v>
      </c>
    </row>
    <row r="5" spans="1:85" ht="14.5">
      <c r="A5">
        <v>4</v>
      </c>
      <c r="B5" t="s">
        <v>173</v>
      </c>
      <c r="C5">
        <v>2011</v>
      </c>
      <c r="D5" t="s">
        <v>174</v>
      </c>
      <c r="E5">
        <v>44708</v>
      </c>
      <c r="F5" t="s">
        <v>90</v>
      </c>
      <c r="G5" t="s">
        <v>135</v>
      </c>
      <c r="H5">
        <v>1</v>
      </c>
      <c r="J5" t="s">
        <v>176</v>
      </c>
      <c r="K5" s="117" t="s">
        <v>97</v>
      </c>
      <c r="L5" s="117" t="s">
        <v>90</v>
      </c>
      <c r="M5" s="117" t="s">
        <v>95</v>
      </c>
      <c r="N5" s="117" t="s">
        <v>177</v>
      </c>
      <c r="O5" s="117" t="s">
        <v>97</v>
      </c>
      <c r="P5" s="117" t="s">
        <v>97</v>
      </c>
      <c r="Q5" s="117"/>
      <c r="R5" s="117"/>
      <c r="S5" s="117" t="s">
        <v>90</v>
      </c>
      <c r="T5" s="117" t="s">
        <v>114</v>
      </c>
      <c r="U5" s="117" t="s">
        <v>141</v>
      </c>
      <c r="V5" s="117" t="s">
        <v>99</v>
      </c>
      <c r="W5" s="117">
        <v>1</v>
      </c>
      <c r="X5" s="117" t="s">
        <v>3081</v>
      </c>
      <c r="Y5" s="117" t="s">
        <v>3082</v>
      </c>
      <c r="Z5" s="117" t="s">
        <v>102</v>
      </c>
      <c r="AA5" s="117" t="s">
        <v>3101</v>
      </c>
      <c r="AB5" s="117" t="s">
        <v>178</v>
      </c>
      <c r="AC5" s="117" t="s">
        <v>105</v>
      </c>
      <c r="AD5" s="117" t="s">
        <v>179</v>
      </c>
      <c r="AE5" s="117" t="s">
        <v>180</v>
      </c>
      <c r="AF5" s="117" t="s">
        <v>148</v>
      </c>
      <c r="AG5" s="117">
        <v>1</v>
      </c>
      <c r="AH5" s="117" t="s">
        <v>160</v>
      </c>
      <c r="AI5" s="117" t="s">
        <v>155</v>
      </c>
      <c r="AJ5" s="117" t="s">
        <v>181</v>
      </c>
      <c r="AK5" s="117">
        <v>2</v>
      </c>
      <c r="AL5" s="117" t="s">
        <v>151</v>
      </c>
      <c r="AM5" s="117" t="s">
        <v>97</v>
      </c>
      <c r="AN5" s="117" t="s">
        <v>97</v>
      </c>
      <c r="AO5" s="117" t="s">
        <v>152</v>
      </c>
      <c r="AP5" s="117">
        <v>2</v>
      </c>
      <c r="AQ5" s="117" t="s">
        <v>155</v>
      </c>
      <c r="AR5" s="117" t="s">
        <v>119</v>
      </c>
      <c r="AS5" s="117" t="s">
        <v>114</v>
      </c>
      <c r="AT5" s="117" t="s">
        <v>120</v>
      </c>
      <c r="AU5" s="117" t="s">
        <v>116</v>
      </c>
      <c r="AV5" s="117" t="s">
        <v>182</v>
      </c>
      <c r="AW5" s="117">
        <v>4</v>
      </c>
      <c r="AX5" s="117"/>
      <c r="AY5" s="117"/>
      <c r="AZ5" s="117"/>
      <c r="BA5" s="117"/>
      <c r="BB5" s="117"/>
      <c r="BC5" s="117"/>
      <c r="BD5" s="117"/>
      <c r="BE5" s="117"/>
      <c r="BF5" s="117"/>
      <c r="BG5" s="117"/>
      <c r="BH5" s="117"/>
      <c r="BI5" s="117"/>
      <c r="BJ5">
        <v>0</v>
      </c>
      <c r="BK5" t="s">
        <v>350</v>
      </c>
      <c r="BL5" t="s">
        <v>184</v>
      </c>
      <c r="BM5" t="s">
        <v>3183</v>
      </c>
      <c r="BN5" t="s">
        <v>160</v>
      </c>
      <c r="BO5">
        <v>1382.871537</v>
      </c>
      <c r="BP5">
        <v>1441.8136019999999</v>
      </c>
      <c r="BQ5" t="s">
        <v>161</v>
      </c>
      <c r="BR5">
        <v>6</v>
      </c>
      <c r="BS5" t="s">
        <v>160</v>
      </c>
      <c r="BT5">
        <v>1364.735516</v>
      </c>
      <c r="BU5">
        <v>1428.211587</v>
      </c>
      <c r="BV5" t="s">
        <v>161</v>
      </c>
      <c r="BW5">
        <v>6</v>
      </c>
      <c r="BY5">
        <v>1364.735516</v>
      </c>
      <c r="BZ5">
        <v>1428.211587</v>
      </c>
      <c r="CA5">
        <v>58.942064999999957</v>
      </c>
      <c r="CB5">
        <v>63.476071000000047</v>
      </c>
      <c r="CC5" t="s">
        <v>347</v>
      </c>
      <c r="CF5" t="s">
        <v>3184</v>
      </c>
      <c r="CG5" t="s">
        <v>3095</v>
      </c>
    </row>
    <row r="6" spans="1:85" ht="14.5">
      <c r="A6">
        <v>4</v>
      </c>
      <c r="B6" t="s">
        <v>173</v>
      </c>
      <c r="C6">
        <v>2011</v>
      </c>
      <c r="D6" t="s">
        <v>174</v>
      </c>
      <c r="E6">
        <v>44708</v>
      </c>
      <c r="F6" t="s">
        <v>90</v>
      </c>
      <c r="G6" t="s">
        <v>135</v>
      </c>
      <c r="H6">
        <v>1</v>
      </c>
      <c r="J6" t="s">
        <v>176</v>
      </c>
      <c r="K6" s="117" t="s">
        <v>97</v>
      </c>
      <c r="L6" s="117" t="s">
        <v>90</v>
      </c>
      <c r="M6" s="117" t="s">
        <v>95</v>
      </c>
      <c r="N6" s="117" t="s">
        <v>177</v>
      </c>
      <c r="O6" s="117" t="s">
        <v>97</v>
      </c>
      <c r="P6" s="117" t="s">
        <v>97</v>
      </c>
      <c r="Q6" s="117"/>
      <c r="R6" s="117"/>
      <c r="S6" s="117" t="s">
        <v>90</v>
      </c>
      <c r="T6" s="117" t="s">
        <v>114</v>
      </c>
      <c r="U6" s="117" t="s">
        <v>141</v>
      </c>
      <c r="V6" s="117" t="s">
        <v>99</v>
      </c>
      <c r="W6" s="117">
        <v>1</v>
      </c>
      <c r="X6" s="117" t="s">
        <v>3081</v>
      </c>
      <c r="Y6" s="117" t="s">
        <v>3082</v>
      </c>
      <c r="Z6" s="117" t="s">
        <v>102</v>
      </c>
      <c r="AA6" s="117" t="s">
        <v>3101</v>
      </c>
      <c r="AB6" s="117" t="s">
        <v>178</v>
      </c>
      <c r="AC6" s="117" t="s">
        <v>105</v>
      </c>
      <c r="AD6" s="117" t="s">
        <v>179</v>
      </c>
      <c r="AE6" s="117" t="s">
        <v>180</v>
      </c>
      <c r="AF6" s="117" t="s">
        <v>148</v>
      </c>
      <c r="AG6" s="117">
        <v>1</v>
      </c>
      <c r="AH6" s="117" t="s">
        <v>160</v>
      </c>
      <c r="AI6" s="117" t="s">
        <v>155</v>
      </c>
      <c r="AJ6" s="117" t="s">
        <v>181</v>
      </c>
      <c r="AK6" s="117">
        <v>2</v>
      </c>
      <c r="AL6" s="117" t="s">
        <v>151</v>
      </c>
      <c r="AM6" s="117" t="s">
        <v>97</v>
      </c>
      <c r="AN6" s="117" t="s">
        <v>97</v>
      </c>
      <c r="AO6" s="117" t="s">
        <v>152</v>
      </c>
      <c r="AP6" s="117">
        <v>2</v>
      </c>
      <c r="AQ6" s="117" t="s">
        <v>155</v>
      </c>
      <c r="AR6" s="117" t="s">
        <v>119</v>
      </c>
      <c r="AS6" s="117" t="s">
        <v>114</v>
      </c>
      <c r="AT6" s="117" t="s">
        <v>120</v>
      </c>
      <c r="AU6" s="117" t="s">
        <v>116</v>
      </c>
      <c r="AV6" s="117" t="s">
        <v>182</v>
      </c>
      <c r="AW6" s="117">
        <v>4</v>
      </c>
      <c r="AX6" s="117"/>
      <c r="AY6" s="117"/>
      <c r="AZ6" s="117"/>
      <c r="BA6" s="117"/>
      <c r="BB6" s="117"/>
      <c r="BC6" s="117"/>
      <c r="BD6" s="117"/>
      <c r="BE6" s="117"/>
      <c r="BF6" s="117"/>
      <c r="BG6" s="117"/>
      <c r="BH6" s="117"/>
      <c r="BI6" s="117"/>
      <c r="BJ6">
        <v>8</v>
      </c>
      <c r="BK6" t="s">
        <v>351</v>
      </c>
      <c r="BL6" t="s">
        <v>184</v>
      </c>
      <c r="BM6" t="s">
        <v>3183</v>
      </c>
      <c r="BN6" t="s">
        <v>160</v>
      </c>
      <c r="BO6">
        <v>1006.549118</v>
      </c>
      <c r="BP6">
        <v>1060.957179</v>
      </c>
      <c r="BQ6" t="s">
        <v>161</v>
      </c>
      <c r="BR6">
        <v>6</v>
      </c>
      <c r="BS6" t="s">
        <v>160</v>
      </c>
      <c r="BT6">
        <v>1147.1032749999999</v>
      </c>
      <c r="BU6">
        <v>1215.1133500000001</v>
      </c>
      <c r="BV6" t="s">
        <v>161</v>
      </c>
      <c r="BW6">
        <v>6</v>
      </c>
      <c r="BY6">
        <v>1147.1032749999999</v>
      </c>
      <c r="BZ6">
        <v>1215.1133500000001</v>
      </c>
      <c r="CA6">
        <v>54.408060999999975</v>
      </c>
      <c r="CB6">
        <v>68.010075000000143</v>
      </c>
      <c r="CC6" t="s">
        <v>347</v>
      </c>
      <c r="CF6" t="s">
        <v>3184</v>
      </c>
      <c r="CG6" t="s">
        <v>3095</v>
      </c>
    </row>
    <row r="7" spans="1:85" ht="14.5">
      <c r="A7">
        <v>7</v>
      </c>
      <c r="B7" t="s">
        <v>204</v>
      </c>
      <c r="C7">
        <v>2014</v>
      </c>
      <c r="D7" t="s">
        <v>205</v>
      </c>
      <c r="E7">
        <v>44711</v>
      </c>
      <c r="F7" t="s">
        <v>90</v>
      </c>
      <c r="G7" t="s">
        <v>353</v>
      </c>
      <c r="I7" t="s">
        <v>207</v>
      </c>
      <c r="J7" t="s">
        <v>326</v>
      </c>
      <c r="K7" s="117" t="s">
        <v>97</v>
      </c>
      <c r="L7" s="117" t="s">
        <v>97</v>
      </c>
      <c r="M7" s="117" t="s">
        <v>95</v>
      </c>
      <c r="N7" s="117" t="s">
        <v>208</v>
      </c>
      <c r="O7" s="117" t="s">
        <v>97</v>
      </c>
      <c r="P7" s="117" t="s">
        <v>97</v>
      </c>
      <c r="Q7" s="117"/>
      <c r="R7" s="117"/>
      <c r="S7" s="117" t="s">
        <v>90</v>
      </c>
      <c r="T7" s="117" t="s">
        <v>114</v>
      </c>
      <c r="U7" s="117" t="s">
        <v>191</v>
      </c>
      <c r="V7" s="117" t="s">
        <v>99</v>
      </c>
      <c r="W7" s="117">
        <v>1</v>
      </c>
      <c r="X7" s="117" t="s">
        <v>209</v>
      </c>
      <c r="Y7" s="117" t="s">
        <v>210</v>
      </c>
      <c r="Z7" s="117" t="s">
        <v>102</v>
      </c>
      <c r="AA7" s="117" t="s">
        <v>211</v>
      </c>
      <c r="AB7" s="117" t="s">
        <v>212</v>
      </c>
      <c r="AC7" s="117" t="s">
        <v>105</v>
      </c>
      <c r="AD7" s="117" t="s">
        <v>213</v>
      </c>
      <c r="AE7" s="117" t="s">
        <v>214</v>
      </c>
      <c r="AF7" s="117" t="s">
        <v>108</v>
      </c>
      <c r="AG7" s="117">
        <v>1</v>
      </c>
      <c r="AH7" s="117" t="s">
        <v>160</v>
      </c>
      <c r="AI7" s="117" t="s">
        <v>155</v>
      </c>
      <c r="AJ7" s="117" t="s">
        <v>110</v>
      </c>
      <c r="AK7" s="117">
        <v>2</v>
      </c>
      <c r="AL7" s="117" t="s">
        <v>99</v>
      </c>
      <c r="AM7" s="117" t="s">
        <v>94</v>
      </c>
      <c r="AN7" s="117" t="s">
        <v>94</v>
      </c>
      <c r="AO7" s="117" t="s">
        <v>111</v>
      </c>
      <c r="AP7" s="117" t="s">
        <v>111</v>
      </c>
      <c r="AQ7" s="117" t="s">
        <v>155</v>
      </c>
      <c r="AR7" s="117" t="s">
        <v>119</v>
      </c>
      <c r="AS7" s="117" t="s">
        <v>114</v>
      </c>
      <c r="AT7" s="117" t="s">
        <v>120</v>
      </c>
      <c r="AU7" s="117" t="s">
        <v>116</v>
      </c>
      <c r="AV7" s="117" t="s">
        <v>215</v>
      </c>
      <c r="AW7" s="117">
        <v>5</v>
      </c>
      <c r="AX7" s="117"/>
      <c r="AY7" s="117"/>
      <c r="AZ7" s="117"/>
      <c r="BA7" s="117"/>
      <c r="BB7" s="117"/>
      <c r="BC7" s="117"/>
      <c r="BD7" s="117"/>
      <c r="BE7" s="117"/>
      <c r="BF7" s="117"/>
      <c r="BG7" s="117"/>
      <c r="BH7" s="117"/>
      <c r="BI7" s="117"/>
      <c r="BJ7">
        <v>0</v>
      </c>
      <c r="BK7" t="s">
        <v>354</v>
      </c>
      <c r="BL7" t="s">
        <v>355</v>
      </c>
      <c r="BM7" t="s">
        <v>217</v>
      </c>
      <c r="BN7">
        <v>0</v>
      </c>
      <c r="BO7">
        <v>6.4200000000000004E-3</v>
      </c>
      <c r="BP7">
        <v>1.41E-2</v>
      </c>
      <c r="BQ7" t="s">
        <v>129</v>
      </c>
      <c r="BR7">
        <v>10</v>
      </c>
      <c r="BS7">
        <v>1.5299999999999999E-2</v>
      </c>
      <c r="BT7">
        <v>0.02</v>
      </c>
      <c r="BU7">
        <v>2.4799999999999999E-2</v>
      </c>
      <c r="BV7" t="s">
        <v>129</v>
      </c>
      <c r="BW7">
        <v>10</v>
      </c>
      <c r="BX7" t="s">
        <v>219</v>
      </c>
      <c r="BY7">
        <v>0.02</v>
      </c>
      <c r="BZ7">
        <v>2.4799999999999999E-2</v>
      </c>
      <c r="CA7">
        <v>7.6799999999999993E-3</v>
      </c>
      <c r="CB7">
        <v>4.7999999999999987E-3</v>
      </c>
      <c r="CC7" t="s">
        <v>202</v>
      </c>
      <c r="CF7" t="s">
        <v>3197</v>
      </c>
      <c r="CG7" t="s">
        <v>3095</v>
      </c>
    </row>
    <row r="8" spans="1:85" ht="14.5">
      <c r="A8">
        <v>7</v>
      </c>
      <c r="B8" t="s">
        <v>204</v>
      </c>
      <c r="C8">
        <v>2014</v>
      </c>
      <c r="D8" t="s">
        <v>205</v>
      </c>
      <c r="E8">
        <v>44711</v>
      </c>
      <c r="F8" t="s">
        <v>90</v>
      </c>
      <c r="G8" t="s">
        <v>353</v>
      </c>
      <c r="I8" t="s">
        <v>207</v>
      </c>
      <c r="J8" t="s">
        <v>326</v>
      </c>
      <c r="K8" s="117" t="s">
        <v>97</v>
      </c>
      <c r="L8" s="117" t="s">
        <v>97</v>
      </c>
      <c r="M8" s="117" t="s">
        <v>95</v>
      </c>
      <c r="N8" s="117" t="s">
        <v>208</v>
      </c>
      <c r="O8" s="117" t="s">
        <v>97</v>
      </c>
      <c r="P8" s="117" t="s">
        <v>97</v>
      </c>
      <c r="Q8" s="117"/>
      <c r="R8" s="117"/>
      <c r="S8" s="117" t="s">
        <v>90</v>
      </c>
      <c r="T8" s="117" t="s">
        <v>114</v>
      </c>
      <c r="U8" s="117" t="s">
        <v>191</v>
      </c>
      <c r="V8" s="117" t="s">
        <v>99</v>
      </c>
      <c r="W8" s="117">
        <v>1</v>
      </c>
      <c r="X8" s="117" t="s">
        <v>209</v>
      </c>
      <c r="Y8" s="117" t="s">
        <v>210</v>
      </c>
      <c r="Z8" s="117" t="s">
        <v>102</v>
      </c>
      <c r="AA8" s="117" t="s">
        <v>211</v>
      </c>
      <c r="AB8" s="117" t="s">
        <v>212</v>
      </c>
      <c r="AC8" s="117" t="s">
        <v>105</v>
      </c>
      <c r="AD8" s="117" t="s">
        <v>213</v>
      </c>
      <c r="AE8" s="117" t="s">
        <v>214</v>
      </c>
      <c r="AF8" s="117" t="s">
        <v>108</v>
      </c>
      <c r="AG8" s="117">
        <v>1</v>
      </c>
      <c r="AH8" s="117" t="s">
        <v>160</v>
      </c>
      <c r="AI8" s="117" t="s">
        <v>155</v>
      </c>
      <c r="AJ8" s="117" t="s">
        <v>110</v>
      </c>
      <c r="AK8" s="117">
        <v>2</v>
      </c>
      <c r="AL8" s="117" t="s">
        <v>99</v>
      </c>
      <c r="AM8" s="117" t="s">
        <v>94</v>
      </c>
      <c r="AN8" s="117" t="s">
        <v>94</v>
      </c>
      <c r="AO8" s="117" t="s">
        <v>111</v>
      </c>
      <c r="AP8" s="117" t="s">
        <v>111</v>
      </c>
      <c r="AQ8" s="117" t="s">
        <v>155</v>
      </c>
      <c r="AR8" s="117" t="s">
        <v>119</v>
      </c>
      <c r="AS8" s="117" t="s">
        <v>114</v>
      </c>
      <c r="AT8" s="117" t="s">
        <v>120</v>
      </c>
      <c r="AU8" s="117" t="s">
        <v>116</v>
      </c>
      <c r="AV8" s="117" t="s">
        <v>215</v>
      </c>
      <c r="AW8" s="117">
        <v>5</v>
      </c>
      <c r="AX8" s="117"/>
      <c r="AY8" s="117"/>
      <c r="AZ8" s="117"/>
      <c r="BA8" s="117"/>
      <c r="BB8" s="117"/>
      <c r="BC8" s="117"/>
      <c r="BD8" s="117"/>
      <c r="BE8" s="117"/>
      <c r="BF8" s="117"/>
      <c r="BG8" s="117"/>
      <c r="BH8" s="117"/>
      <c r="BI8" s="117"/>
      <c r="BJ8">
        <v>2</v>
      </c>
      <c r="BK8" t="s">
        <v>356</v>
      </c>
      <c r="BL8" t="s">
        <v>355</v>
      </c>
      <c r="BM8" t="s">
        <v>217</v>
      </c>
      <c r="BN8">
        <v>1.2200000000000001E-2</v>
      </c>
      <c r="BO8">
        <v>1.6400000000000001E-2</v>
      </c>
      <c r="BP8">
        <v>2.0500000000000001E-2</v>
      </c>
      <c r="BQ8" t="s">
        <v>129</v>
      </c>
      <c r="BR8">
        <v>10</v>
      </c>
      <c r="BS8">
        <v>2.1399999999999999E-2</v>
      </c>
      <c r="BT8">
        <v>2.6499999999999999E-2</v>
      </c>
      <c r="BU8">
        <v>3.15E-2</v>
      </c>
      <c r="BV8" t="s">
        <v>129</v>
      </c>
      <c r="BW8">
        <v>10</v>
      </c>
      <c r="BX8" t="s">
        <v>219</v>
      </c>
      <c r="BY8">
        <v>2.6499999999999999E-2</v>
      </c>
      <c r="BZ8">
        <v>3.15E-2</v>
      </c>
      <c r="CA8">
        <v>4.0999999999999995E-3</v>
      </c>
      <c r="CB8">
        <v>5.000000000000001E-3</v>
      </c>
      <c r="CC8" t="s">
        <v>202</v>
      </c>
      <c r="CF8" t="s">
        <v>3197</v>
      </c>
      <c r="CG8" t="s">
        <v>3095</v>
      </c>
    </row>
    <row r="9" spans="1:85" ht="14.5">
      <c r="A9">
        <v>7</v>
      </c>
      <c r="B9" t="s">
        <v>204</v>
      </c>
      <c r="C9">
        <v>2014</v>
      </c>
      <c r="D9" t="s">
        <v>205</v>
      </c>
      <c r="E9">
        <v>44711</v>
      </c>
      <c r="F9" t="s">
        <v>90</v>
      </c>
      <c r="G9" t="s">
        <v>353</v>
      </c>
      <c r="I9" t="s">
        <v>207</v>
      </c>
      <c r="J9" t="s">
        <v>326</v>
      </c>
      <c r="K9" s="117" t="s">
        <v>97</v>
      </c>
      <c r="L9" s="117" t="s">
        <v>97</v>
      </c>
      <c r="M9" s="117" t="s">
        <v>95</v>
      </c>
      <c r="N9" s="117" t="s">
        <v>208</v>
      </c>
      <c r="O9" s="117" t="s">
        <v>97</v>
      </c>
      <c r="P9" s="117" t="s">
        <v>97</v>
      </c>
      <c r="Q9" s="117"/>
      <c r="R9" s="117"/>
      <c r="S9" s="117" t="s">
        <v>90</v>
      </c>
      <c r="T9" s="117" t="s">
        <v>114</v>
      </c>
      <c r="U9" s="117" t="s">
        <v>191</v>
      </c>
      <c r="V9" s="117" t="s">
        <v>99</v>
      </c>
      <c r="W9" s="117">
        <v>1</v>
      </c>
      <c r="X9" s="117" t="s">
        <v>209</v>
      </c>
      <c r="Y9" s="117" t="s">
        <v>210</v>
      </c>
      <c r="Z9" s="117" t="s">
        <v>102</v>
      </c>
      <c r="AA9" s="117" t="s">
        <v>211</v>
      </c>
      <c r="AB9" s="117" t="s">
        <v>212</v>
      </c>
      <c r="AC9" s="117" t="s">
        <v>105</v>
      </c>
      <c r="AD9" s="117" t="s">
        <v>213</v>
      </c>
      <c r="AE9" s="117" t="s">
        <v>214</v>
      </c>
      <c r="AF9" s="117" t="s">
        <v>108</v>
      </c>
      <c r="AG9" s="117">
        <v>1</v>
      </c>
      <c r="AH9" s="117" t="s">
        <v>160</v>
      </c>
      <c r="AI9" s="117" t="s">
        <v>155</v>
      </c>
      <c r="AJ9" s="117" t="s">
        <v>110</v>
      </c>
      <c r="AK9" s="117">
        <v>2</v>
      </c>
      <c r="AL9" s="117" t="s">
        <v>99</v>
      </c>
      <c r="AM9" s="117" t="s">
        <v>94</v>
      </c>
      <c r="AN9" s="117" t="s">
        <v>94</v>
      </c>
      <c r="AO9" s="117" t="s">
        <v>111</v>
      </c>
      <c r="AP9" s="117" t="s">
        <v>111</v>
      </c>
      <c r="AQ9" s="117" t="s">
        <v>155</v>
      </c>
      <c r="AR9" s="117" t="s">
        <v>119</v>
      </c>
      <c r="AS9" s="117" t="s">
        <v>114</v>
      </c>
      <c r="AT9" s="117" t="s">
        <v>120</v>
      </c>
      <c r="AU9" s="117" t="s">
        <v>116</v>
      </c>
      <c r="AV9" s="117" t="s">
        <v>215</v>
      </c>
      <c r="AW9" s="117">
        <v>5</v>
      </c>
      <c r="AX9" s="117"/>
      <c r="AY9" s="117"/>
      <c r="AZ9" s="117"/>
      <c r="BA9" s="117"/>
      <c r="BB9" s="117"/>
      <c r="BC9" s="117"/>
      <c r="BD9" s="117"/>
      <c r="BE9" s="117"/>
      <c r="BF9" s="117"/>
      <c r="BG9" s="117"/>
      <c r="BH9" s="117"/>
      <c r="BI9" s="117"/>
      <c r="BJ9">
        <v>6</v>
      </c>
      <c r="BK9" t="s">
        <v>357</v>
      </c>
      <c r="BL9" t="s">
        <v>355</v>
      </c>
      <c r="BM9" t="s">
        <v>217</v>
      </c>
      <c r="BN9">
        <v>1.66E-2</v>
      </c>
      <c r="BO9">
        <v>2.3099999999999999E-2</v>
      </c>
      <c r="BP9">
        <v>3.0300000000000001E-2</v>
      </c>
      <c r="BQ9" t="s">
        <v>129</v>
      </c>
      <c r="BR9">
        <v>10</v>
      </c>
      <c r="BS9">
        <v>3.3700000000000001E-2</v>
      </c>
      <c r="BT9">
        <v>4.0099999999999997E-2</v>
      </c>
      <c r="BU9">
        <v>4.6600000000000003E-2</v>
      </c>
      <c r="BV9" t="s">
        <v>129</v>
      </c>
      <c r="BW9">
        <v>10</v>
      </c>
      <c r="BX9" t="s">
        <v>219</v>
      </c>
      <c r="BY9">
        <v>4.0099999999999997E-2</v>
      </c>
      <c r="BZ9">
        <v>4.6600000000000003E-2</v>
      </c>
      <c r="CA9">
        <v>7.2000000000000015E-3</v>
      </c>
      <c r="CB9">
        <v>6.5000000000000058E-3</v>
      </c>
      <c r="CC9" t="s">
        <v>202</v>
      </c>
      <c r="CF9" t="s">
        <v>3197</v>
      </c>
      <c r="CG9" t="s">
        <v>3095</v>
      </c>
    </row>
    <row r="10" spans="1:85" ht="14.5">
      <c r="A10">
        <v>7</v>
      </c>
      <c r="B10" t="s">
        <v>204</v>
      </c>
      <c r="C10">
        <v>2014</v>
      </c>
      <c r="D10" t="s">
        <v>205</v>
      </c>
      <c r="E10">
        <v>44711</v>
      </c>
      <c r="F10" t="s">
        <v>90</v>
      </c>
      <c r="G10" t="s">
        <v>353</v>
      </c>
      <c r="I10" t="s">
        <v>207</v>
      </c>
      <c r="J10" t="s">
        <v>326</v>
      </c>
      <c r="K10" s="117" t="s">
        <v>97</v>
      </c>
      <c r="L10" s="117" t="s">
        <v>97</v>
      </c>
      <c r="M10" s="117" t="s">
        <v>95</v>
      </c>
      <c r="N10" s="117" t="s">
        <v>208</v>
      </c>
      <c r="O10" s="117" t="s">
        <v>97</v>
      </c>
      <c r="P10" s="117" t="s">
        <v>97</v>
      </c>
      <c r="Q10" s="117"/>
      <c r="R10" s="117"/>
      <c r="S10" s="117" t="s">
        <v>90</v>
      </c>
      <c r="T10" s="117" t="s">
        <v>114</v>
      </c>
      <c r="U10" s="117" t="s">
        <v>191</v>
      </c>
      <c r="V10" s="117" t="s">
        <v>99</v>
      </c>
      <c r="W10" s="117">
        <v>1</v>
      </c>
      <c r="X10" s="117" t="s">
        <v>209</v>
      </c>
      <c r="Y10" s="117" t="s">
        <v>210</v>
      </c>
      <c r="Z10" s="117" t="s">
        <v>102</v>
      </c>
      <c r="AA10" s="117" t="s">
        <v>211</v>
      </c>
      <c r="AB10" s="117" t="s">
        <v>212</v>
      </c>
      <c r="AC10" s="117" t="s">
        <v>105</v>
      </c>
      <c r="AD10" s="117" t="s">
        <v>213</v>
      </c>
      <c r="AE10" s="117" t="s">
        <v>214</v>
      </c>
      <c r="AF10" s="117" t="s">
        <v>108</v>
      </c>
      <c r="AG10" s="117">
        <v>1</v>
      </c>
      <c r="AH10" s="117" t="s">
        <v>160</v>
      </c>
      <c r="AI10" s="117" t="s">
        <v>155</v>
      </c>
      <c r="AJ10" s="117" t="s">
        <v>110</v>
      </c>
      <c r="AK10" s="117">
        <v>2</v>
      </c>
      <c r="AL10" s="117" t="s">
        <v>99</v>
      </c>
      <c r="AM10" s="117" t="s">
        <v>94</v>
      </c>
      <c r="AN10" s="117" t="s">
        <v>94</v>
      </c>
      <c r="AO10" s="117" t="s">
        <v>111</v>
      </c>
      <c r="AP10" s="117" t="s">
        <v>111</v>
      </c>
      <c r="AQ10" s="117" t="s">
        <v>155</v>
      </c>
      <c r="AR10" s="117" t="s">
        <v>119</v>
      </c>
      <c r="AS10" s="117" t="s">
        <v>114</v>
      </c>
      <c r="AT10" s="117" t="s">
        <v>120</v>
      </c>
      <c r="AU10" s="117" t="s">
        <v>116</v>
      </c>
      <c r="AV10" s="117" t="s">
        <v>215</v>
      </c>
      <c r="AW10" s="117">
        <v>5</v>
      </c>
      <c r="AX10" s="117"/>
      <c r="AY10" s="117"/>
      <c r="AZ10" s="117"/>
      <c r="BA10" s="117"/>
      <c r="BB10" s="117"/>
      <c r="BC10" s="117"/>
      <c r="BD10" s="117"/>
      <c r="BE10" s="117"/>
      <c r="BF10" s="117"/>
      <c r="BG10" s="117"/>
      <c r="BH10" s="117"/>
      <c r="BI10" s="117"/>
      <c r="BJ10">
        <v>10</v>
      </c>
      <c r="BK10" t="s">
        <v>358</v>
      </c>
      <c r="BL10" t="s">
        <v>355</v>
      </c>
      <c r="BM10" t="s">
        <v>217</v>
      </c>
      <c r="BN10">
        <v>1.2699999999999999E-2</v>
      </c>
      <c r="BO10">
        <v>1.9300000000000001E-2</v>
      </c>
      <c r="BP10">
        <v>2.5999999999999999E-2</v>
      </c>
      <c r="BQ10" t="s">
        <v>129</v>
      </c>
      <c r="BR10">
        <v>10</v>
      </c>
      <c r="BS10">
        <v>2.8199999999999999E-2</v>
      </c>
      <c r="BT10">
        <v>3.73E-2</v>
      </c>
      <c r="BU10">
        <v>4.6100000000000002E-2</v>
      </c>
      <c r="BV10" t="s">
        <v>129</v>
      </c>
      <c r="BW10">
        <v>10</v>
      </c>
      <c r="BX10" t="s">
        <v>219</v>
      </c>
      <c r="BY10">
        <v>3.73E-2</v>
      </c>
      <c r="BZ10">
        <v>4.6100000000000002E-2</v>
      </c>
      <c r="CA10">
        <v>6.6999999999999976E-3</v>
      </c>
      <c r="CB10">
        <v>8.8000000000000023E-3</v>
      </c>
      <c r="CC10" t="s">
        <v>202</v>
      </c>
      <c r="CF10" t="s">
        <v>3197</v>
      </c>
      <c r="CG10" t="s">
        <v>3095</v>
      </c>
    </row>
    <row r="11" spans="1:85" ht="14.5">
      <c r="A11">
        <v>7</v>
      </c>
      <c r="B11" t="s">
        <v>204</v>
      </c>
      <c r="C11">
        <v>2014</v>
      </c>
      <c r="D11" t="s">
        <v>205</v>
      </c>
      <c r="E11">
        <v>44711</v>
      </c>
      <c r="F11" t="s">
        <v>90</v>
      </c>
      <c r="G11" t="s">
        <v>353</v>
      </c>
      <c r="I11" t="s">
        <v>207</v>
      </c>
      <c r="J11" t="s">
        <v>326</v>
      </c>
      <c r="K11" s="117" t="s">
        <v>97</v>
      </c>
      <c r="L11" s="117" t="s">
        <v>97</v>
      </c>
      <c r="M11" s="117" t="s">
        <v>95</v>
      </c>
      <c r="N11" s="117" t="s">
        <v>208</v>
      </c>
      <c r="O11" s="117" t="s">
        <v>97</v>
      </c>
      <c r="P11" s="117" t="s">
        <v>97</v>
      </c>
      <c r="Q11" s="117"/>
      <c r="R11" s="117"/>
      <c r="S11" s="117" t="s">
        <v>90</v>
      </c>
      <c r="T11" s="117" t="s">
        <v>114</v>
      </c>
      <c r="U11" s="117" t="s">
        <v>191</v>
      </c>
      <c r="V11" s="117" t="s">
        <v>99</v>
      </c>
      <c r="W11" s="117">
        <v>1</v>
      </c>
      <c r="X11" s="117" t="s">
        <v>209</v>
      </c>
      <c r="Y11" s="117" t="s">
        <v>210</v>
      </c>
      <c r="Z11" s="117" t="s">
        <v>102</v>
      </c>
      <c r="AA11" s="117" t="s">
        <v>211</v>
      </c>
      <c r="AB11" s="117" t="s">
        <v>212</v>
      </c>
      <c r="AC11" s="117" t="s">
        <v>105</v>
      </c>
      <c r="AD11" s="117" t="s">
        <v>213</v>
      </c>
      <c r="AE11" s="117" t="s">
        <v>214</v>
      </c>
      <c r="AF11" s="117" t="s">
        <v>108</v>
      </c>
      <c r="AG11" s="117">
        <v>1</v>
      </c>
      <c r="AH11" s="117" t="s">
        <v>160</v>
      </c>
      <c r="AI11" s="117" t="s">
        <v>155</v>
      </c>
      <c r="AJ11" s="117" t="s">
        <v>110</v>
      </c>
      <c r="AK11" s="117">
        <v>2</v>
      </c>
      <c r="AL11" s="117" t="s">
        <v>99</v>
      </c>
      <c r="AM11" s="117" t="s">
        <v>94</v>
      </c>
      <c r="AN11" s="117" t="s">
        <v>94</v>
      </c>
      <c r="AO11" s="117" t="s">
        <v>111</v>
      </c>
      <c r="AP11" s="117" t="s">
        <v>111</v>
      </c>
      <c r="AQ11" s="117" t="s">
        <v>155</v>
      </c>
      <c r="AR11" s="117" t="s">
        <v>119</v>
      </c>
      <c r="AS11" s="117" t="s">
        <v>114</v>
      </c>
      <c r="AT11" s="117" t="s">
        <v>120</v>
      </c>
      <c r="AU11" s="117" t="s">
        <v>116</v>
      </c>
      <c r="AV11" s="117" t="s">
        <v>215</v>
      </c>
      <c r="AW11" s="117">
        <v>5</v>
      </c>
      <c r="AX11" s="117"/>
      <c r="AY11" s="117"/>
      <c r="AZ11" s="117"/>
      <c r="BA11" s="117"/>
      <c r="BB11" s="117"/>
      <c r="BC11" s="117"/>
      <c r="BD11" s="117"/>
      <c r="BE11" s="117"/>
      <c r="BF11" s="117"/>
      <c r="BG11" s="117"/>
      <c r="BH11" s="117"/>
      <c r="BI11" s="117"/>
      <c r="BJ11">
        <v>14</v>
      </c>
      <c r="BK11" t="s">
        <v>359</v>
      </c>
      <c r="BL11" t="s">
        <v>355</v>
      </c>
      <c r="BM11" t="s">
        <v>217</v>
      </c>
      <c r="BN11">
        <v>1.5599999999999999E-2</v>
      </c>
      <c r="BO11">
        <v>2.23E-2</v>
      </c>
      <c r="BP11">
        <v>2.9700000000000001E-2</v>
      </c>
      <c r="BQ11" t="s">
        <v>129</v>
      </c>
      <c r="BR11">
        <v>10</v>
      </c>
      <c r="BS11">
        <v>2.01E-2</v>
      </c>
      <c r="BT11">
        <v>2.3900000000000001E-2</v>
      </c>
      <c r="BU11">
        <v>2.7400000000000001E-2</v>
      </c>
      <c r="BV11" t="s">
        <v>129</v>
      </c>
      <c r="BW11">
        <v>10</v>
      </c>
      <c r="BX11" t="s">
        <v>219</v>
      </c>
      <c r="BY11">
        <v>2.3900000000000001E-2</v>
      </c>
      <c r="BZ11">
        <v>2.7400000000000001E-2</v>
      </c>
      <c r="CA11">
        <v>7.4000000000000003E-3</v>
      </c>
      <c r="CB11">
        <v>3.4999999999999996E-3</v>
      </c>
      <c r="CC11" t="s">
        <v>202</v>
      </c>
      <c r="CF11" t="s">
        <v>3197</v>
      </c>
      <c r="CG11" t="s">
        <v>3095</v>
      </c>
    </row>
    <row r="12" spans="1:85" ht="14.5">
      <c r="A12">
        <v>13</v>
      </c>
      <c r="B12" t="s">
        <v>3174</v>
      </c>
      <c r="C12">
        <v>2016</v>
      </c>
      <c r="D12" t="s">
        <v>227</v>
      </c>
      <c r="E12">
        <v>44706</v>
      </c>
      <c r="F12" t="s">
        <v>90</v>
      </c>
      <c r="G12" t="s">
        <v>360</v>
      </c>
      <c r="J12" t="s">
        <v>229</v>
      </c>
      <c r="K12" s="117" t="s">
        <v>97</v>
      </c>
      <c r="L12" s="117" t="s">
        <v>97</v>
      </c>
      <c r="M12" s="117" t="s">
        <v>95</v>
      </c>
      <c r="N12" s="117" t="s">
        <v>230</v>
      </c>
      <c r="O12" s="117" t="s">
        <v>97</v>
      </c>
      <c r="P12" s="117" t="s">
        <v>97</v>
      </c>
      <c r="Q12" s="117"/>
      <c r="R12" s="117"/>
      <c r="S12" s="117" t="s">
        <v>90</v>
      </c>
      <c r="T12" s="117" t="s">
        <v>114</v>
      </c>
      <c r="U12" s="117" t="s">
        <v>141</v>
      </c>
      <c r="V12" s="117" t="s">
        <v>99</v>
      </c>
      <c r="W12" s="117">
        <v>1</v>
      </c>
      <c r="X12" s="117" t="s">
        <v>231</v>
      </c>
      <c r="Y12" s="117" t="s">
        <v>232</v>
      </c>
      <c r="Z12" s="117" t="s">
        <v>102</v>
      </c>
      <c r="AA12" s="117" t="s">
        <v>233</v>
      </c>
      <c r="AB12" s="117" t="s">
        <v>234</v>
      </c>
      <c r="AC12" s="117" t="s">
        <v>105</v>
      </c>
      <c r="AD12" s="117" t="s">
        <v>235</v>
      </c>
      <c r="AE12" s="117" t="s">
        <v>236</v>
      </c>
      <c r="AF12" s="117" t="s">
        <v>148</v>
      </c>
      <c r="AG12" s="117">
        <v>1</v>
      </c>
      <c r="AH12" s="117" t="s">
        <v>160</v>
      </c>
      <c r="AI12" s="117" t="s">
        <v>155</v>
      </c>
      <c r="AJ12" s="117" t="s">
        <v>110</v>
      </c>
      <c r="AK12" s="117">
        <v>2</v>
      </c>
      <c r="AL12" s="117" t="s">
        <v>99</v>
      </c>
      <c r="AM12" s="117" t="s">
        <v>94</v>
      </c>
      <c r="AN12" s="117" t="s">
        <v>94</v>
      </c>
      <c r="AO12" s="117" t="s">
        <v>111</v>
      </c>
      <c r="AP12" s="117" t="s">
        <v>111</v>
      </c>
      <c r="AQ12" s="117" t="s">
        <v>155</v>
      </c>
      <c r="AR12" s="117" t="s">
        <v>119</v>
      </c>
      <c r="AS12" s="117" t="s">
        <v>114</v>
      </c>
      <c r="AT12" s="117" t="s">
        <v>120</v>
      </c>
      <c r="AU12" s="117" t="s">
        <v>116</v>
      </c>
      <c r="AV12" s="117" t="s">
        <v>237</v>
      </c>
      <c r="AW12" s="117">
        <v>3</v>
      </c>
      <c r="AX12" s="117"/>
      <c r="AY12" s="117"/>
      <c r="AZ12" s="117"/>
      <c r="BA12" s="117"/>
      <c r="BB12" s="117"/>
      <c r="BC12" s="117"/>
      <c r="BD12" s="117"/>
      <c r="BE12" s="117"/>
      <c r="BF12" s="117"/>
      <c r="BG12" s="117"/>
      <c r="BH12" s="117"/>
      <c r="BI12" s="117"/>
      <c r="BJ12">
        <v>0</v>
      </c>
      <c r="BK12" t="s">
        <v>361</v>
      </c>
      <c r="BL12" t="s">
        <v>362</v>
      </c>
      <c r="BM12" t="s">
        <v>240</v>
      </c>
      <c r="BN12" t="s">
        <v>111</v>
      </c>
      <c r="BO12">
        <v>0.63863000000000003</v>
      </c>
      <c r="BP12" t="s">
        <v>111</v>
      </c>
      <c r="BQ12" t="s">
        <v>111</v>
      </c>
      <c r="BR12">
        <v>10</v>
      </c>
      <c r="BS12" t="s">
        <v>111</v>
      </c>
      <c r="BT12">
        <v>0.63863000000000003</v>
      </c>
      <c r="BU12" t="s">
        <v>111</v>
      </c>
      <c r="BV12" t="s">
        <v>111</v>
      </c>
      <c r="BW12">
        <v>10</v>
      </c>
      <c r="BX12" t="s">
        <v>241</v>
      </c>
      <c r="BY12">
        <v>0.63863000000000003</v>
      </c>
      <c r="BZ12" t="s">
        <v>111</v>
      </c>
      <c r="CA12" t="s">
        <v>160</v>
      </c>
      <c r="CB12" t="s">
        <v>160</v>
      </c>
      <c r="CC12" t="s">
        <v>242</v>
      </c>
      <c r="CF12" t="s">
        <v>3186</v>
      </c>
    </row>
    <row r="13" spans="1:85" ht="14.5">
      <c r="A13">
        <v>13</v>
      </c>
      <c r="B13" t="s">
        <v>3174</v>
      </c>
      <c r="C13">
        <v>2016</v>
      </c>
      <c r="D13" t="s">
        <v>227</v>
      </c>
      <c r="E13">
        <v>44706</v>
      </c>
      <c r="F13" t="s">
        <v>90</v>
      </c>
      <c r="G13" t="s">
        <v>360</v>
      </c>
      <c r="J13" t="s">
        <v>229</v>
      </c>
      <c r="K13" s="117" t="s">
        <v>97</v>
      </c>
      <c r="L13" s="117" t="s">
        <v>97</v>
      </c>
      <c r="M13" s="117" t="s">
        <v>95</v>
      </c>
      <c r="N13" s="117" t="s">
        <v>230</v>
      </c>
      <c r="O13" s="117" t="s">
        <v>97</v>
      </c>
      <c r="P13" s="117" t="s">
        <v>97</v>
      </c>
      <c r="Q13" s="117"/>
      <c r="R13" s="117"/>
      <c r="S13" s="117" t="s">
        <v>90</v>
      </c>
      <c r="T13" s="117" t="s">
        <v>114</v>
      </c>
      <c r="U13" s="117" t="s">
        <v>141</v>
      </c>
      <c r="V13" s="117" t="s">
        <v>99</v>
      </c>
      <c r="W13" s="117">
        <v>1</v>
      </c>
      <c r="X13" s="117" t="s">
        <v>231</v>
      </c>
      <c r="Y13" s="117" t="s">
        <v>232</v>
      </c>
      <c r="Z13" s="117" t="s">
        <v>102</v>
      </c>
      <c r="AA13" s="117" t="s">
        <v>233</v>
      </c>
      <c r="AB13" s="117" t="s">
        <v>234</v>
      </c>
      <c r="AC13" s="117" t="s">
        <v>105</v>
      </c>
      <c r="AD13" s="117" t="s">
        <v>235</v>
      </c>
      <c r="AE13" s="117" t="s">
        <v>236</v>
      </c>
      <c r="AF13" s="117" t="s">
        <v>148</v>
      </c>
      <c r="AG13" s="117">
        <v>1</v>
      </c>
      <c r="AH13" s="117" t="s">
        <v>160</v>
      </c>
      <c r="AI13" s="117" t="s">
        <v>155</v>
      </c>
      <c r="AJ13" s="117" t="s">
        <v>110</v>
      </c>
      <c r="AK13" s="117">
        <v>2</v>
      </c>
      <c r="AL13" s="117" t="s">
        <v>99</v>
      </c>
      <c r="AM13" s="117" t="s">
        <v>94</v>
      </c>
      <c r="AN13" s="117" t="s">
        <v>94</v>
      </c>
      <c r="AO13" s="117" t="s">
        <v>111</v>
      </c>
      <c r="AP13" s="117" t="s">
        <v>111</v>
      </c>
      <c r="AQ13" s="117" t="s">
        <v>155</v>
      </c>
      <c r="AR13" s="117" t="s">
        <v>119</v>
      </c>
      <c r="AS13" s="117" t="s">
        <v>114</v>
      </c>
      <c r="AT13" s="117" t="s">
        <v>120</v>
      </c>
      <c r="AU13" s="117" t="s">
        <v>116</v>
      </c>
      <c r="AV13" s="117" t="s">
        <v>237</v>
      </c>
      <c r="AW13" s="117">
        <v>3</v>
      </c>
      <c r="AX13" s="117"/>
      <c r="AY13" s="117"/>
      <c r="AZ13" s="117"/>
      <c r="BA13" s="117"/>
      <c r="BB13" s="117"/>
      <c r="BC13" s="117"/>
      <c r="BD13" s="117"/>
      <c r="BE13" s="117"/>
      <c r="BF13" s="117"/>
      <c r="BG13" s="117"/>
      <c r="BH13" s="117"/>
      <c r="BI13" s="117"/>
      <c r="BJ13">
        <v>10</v>
      </c>
      <c r="BK13" t="s">
        <v>363</v>
      </c>
      <c r="BL13" t="s">
        <v>240</v>
      </c>
      <c r="BM13" t="s">
        <v>240</v>
      </c>
      <c r="BN13" t="s">
        <v>111</v>
      </c>
      <c r="BO13">
        <v>0.28383999999999998</v>
      </c>
      <c r="BP13" t="s">
        <v>111</v>
      </c>
      <c r="BQ13" t="s">
        <v>111</v>
      </c>
      <c r="BR13">
        <v>10</v>
      </c>
      <c r="BS13" t="s">
        <v>111</v>
      </c>
      <c r="BT13">
        <v>0.17068</v>
      </c>
      <c r="BU13" t="s">
        <v>111</v>
      </c>
      <c r="BV13" t="s">
        <v>111</v>
      </c>
      <c r="BW13">
        <v>10</v>
      </c>
      <c r="BX13" t="s">
        <v>241</v>
      </c>
      <c r="BY13">
        <v>0.17068</v>
      </c>
      <c r="BZ13" t="s">
        <v>111</v>
      </c>
      <c r="CA13" t="s">
        <v>160</v>
      </c>
      <c r="CB13" t="s">
        <v>160</v>
      </c>
      <c r="CC13" t="s">
        <v>242</v>
      </c>
      <c r="CF13" t="s">
        <v>3186</v>
      </c>
    </row>
    <row r="14" spans="1:85" ht="14.5">
      <c r="A14">
        <v>13</v>
      </c>
      <c r="B14" t="s">
        <v>3174</v>
      </c>
      <c r="C14">
        <v>2016</v>
      </c>
      <c r="D14" t="s">
        <v>227</v>
      </c>
      <c r="E14">
        <v>44706</v>
      </c>
      <c r="F14" t="s">
        <v>90</v>
      </c>
      <c r="G14" t="s">
        <v>360</v>
      </c>
      <c r="J14" t="s">
        <v>229</v>
      </c>
      <c r="K14" s="117" t="s">
        <v>97</v>
      </c>
      <c r="L14" s="117" t="s">
        <v>97</v>
      </c>
      <c r="M14" s="117" t="s">
        <v>95</v>
      </c>
      <c r="N14" s="117" t="s">
        <v>230</v>
      </c>
      <c r="O14" s="117" t="s">
        <v>97</v>
      </c>
      <c r="P14" s="117" t="s">
        <v>97</v>
      </c>
      <c r="Q14" s="117"/>
      <c r="R14" s="117"/>
      <c r="S14" s="117" t="s">
        <v>90</v>
      </c>
      <c r="T14" s="117" t="s">
        <v>114</v>
      </c>
      <c r="U14" s="117" t="s">
        <v>141</v>
      </c>
      <c r="V14" s="117" t="s">
        <v>99</v>
      </c>
      <c r="W14" s="117">
        <v>1</v>
      </c>
      <c r="X14" s="117" t="s">
        <v>231</v>
      </c>
      <c r="Y14" s="117" t="s">
        <v>232</v>
      </c>
      <c r="Z14" s="117" t="s">
        <v>102</v>
      </c>
      <c r="AA14" s="117" t="s">
        <v>233</v>
      </c>
      <c r="AB14" s="117" t="s">
        <v>234</v>
      </c>
      <c r="AC14" s="117" t="s">
        <v>105</v>
      </c>
      <c r="AD14" s="117" t="s">
        <v>235</v>
      </c>
      <c r="AE14" s="117" t="s">
        <v>236</v>
      </c>
      <c r="AF14" s="117" t="s">
        <v>148</v>
      </c>
      <c r="AG14" s="117">
        <v>1</v>
      </c>
      <c r="AH14" s="117" t="s">
        <v>160</v>
      </c>
      <c r="AI14" s="117" t="s">
        <v>155</v>
      </c>
      <c r="AJ14" s="117" t="s">
        <v>110</v>
      </c>
      <c r="AK14" s="117">
        <v>2</v>
      </c>
      <c r="AL14" s="117" t="s">
        <v>99</v>
      </c>
      <c r="AM14" s="117" t="s">
        <v>94</v>
      </c>
      <c r="AN14" s="117" t="s">
        <v>94</v>
      </c>
      <c r="AO14" s="117" t="s">
        <v>111</v>
      </c>
      <c r="AP14" s="117" t="s">
        <v>111</v>
      </c>
      <c r="AQ14" s="117" t="s">
        <v>155</v>
      </c>
      <c r="AR14" s="117" t="s">
        <v>119</v>
      </c>
      <c r="AS14" s="117" t="s">
        <v>114</v>
      </c>
      <c r="AT14" s="117" t="s">
        <v>120</v>
      </c>
      <c r="AU14" s="117" t="s">
        <v>116</v>
      </c>
      <c r="AV14" s="117" t="s">
        <v>237</v>
      </c>
      <c r="AW14" s="117">
        <v>3</v>
      </c>
      <c r="AX14" s="117"/>
      <c r="AY14" s="117"/>
      <c r="AZ14" s="117"/>
      <c r="BA14" s="117"/>
      <c r="BB14" s="117"/>
      <c r="BC14" s="117"/>
      <c r="BD14" s="117"/>
      <c r="BE14" s="117"/>
      <c r="BF14" s="117"/>
      <c r="BG14" s="117"/>
      <c r="BH14" s="117"/>
      <c r="BI14" s="117"/>
      <c r="BJ14">
        <v>20</v>
      </c>
      <c r="BK14" t="s">
        <v>364</v>
      </c>
      <c r="BL14" t="s">
        <v>240</v>
      </c>
      <c r="BM14" t="s">
        <v>240</v>
      </c>
      <c r="BN14" t="s">
        <v>111</v>
      </c>
      <c r="BO14">
        <v>3.2603E-2</v>
      </c>
      <c r="BP14" t="s">
        <v>111</v>
      </c>
      <c r="BQ14" t="s">
        <v>111</v>
      </c>
      <c r="BR14">
        <v>10</v>
      </c>
      <c r="BS14" t="s">
        <v>111</v>
      </c>
      <c r="BT14">
        <v>3.3562000000000002E-2</v>
      </c>
      <c r="BU14" t="s">
        <v>111</v>
      </c>
      <c r="BV14" t="s">
        <v>111</v>
      </c>
      <c r="BW14">
        <v>10</v>
      </c>
      <c r="BX14" t="s">
        <v>241</v>
      </c>
      <c r="BY14">
        <v>3.3562000000000002E-2</v>
      </c>
      <c r="BZ14" t="s">
        <v>111</v>
      </c>
      <c r="CA14" t="s">
        <v>160</v>
      </c>
      <c r="CB14" t="s">
        <v>160</v>
      </c>
      <c r="CC14" t="s">
        <v>242</v>
      </c>
      <c r="CF14" t="s">
        <v>3186</v>
      </c>
    </row>
    <row r="15" spans="1:85" ht="14.5">
      <c r="A15">
        <v>13</v>
      </c>
      <c r="B15" t="s">
        <v>3175</v>
      </c>
      <c r="C15">
        <v>2016</v>
      </c>
      <c r="D15" t="s">
        <v>227</v>
      </c>
      <c r="E15">
        <v>44706</v>
      </c>
      <c r="F15" t="s">
        <v>90</v>
      </c>
      <c r="G15" t="s">
        <v>360</v>
      </c>
      <c r="J15" t="s">
        <v>229</v>
      </c>
      <c r="K15" s="117" t="s">
        <v>97</v>
      </c>
      <c r="L15" s="117" t="s">
        <v>97</v>
      </c>
      <c r="M15" s="117" t="s">
        <v>95</v>
      </c>
      <c r="N15" s="117" t="s">
        <v>230</v>
      </c>
      <c r="O15" s="117" t="s">
        <v>97</v>
      </c>
      <c r="P15" s="117" t="s">
        <v>97</v>
      </c>
      <c r="Q15" s="117"/>
      <c r="R15" s="117"/>
      <c r="S15" s="117" t="s">
        <v>90</v>
      </c>
      <c r="T15" s="117" t="s">
        <v>114</v>
      </c>
      <c r="U15" s="117" t="s">
        <v>141</v>
      </c>
      <c r="V15" s="117" t="s">
        <v>99</v>
      </c>
      <c r="W15" s="117">
        <v>1</v>
      </c>
      <c r="X15" s="117" t="s">
        <v>231</v>
      </c>
      <c r="Y15" s="117" t="s">
        <v>232</v>
      </c>
      <c r="Z15" s="117" t="s">
        <v>102</v>
      </c>
      <c r="AA15" s="117" t="s">
        <v>233</v>
      </c>
      <c r="AB15" s="117" t="s">
        <v>234</v>
      </c>
      <c r="AC15" s="117" t="s">
        <v>105</v>
      </c>
      <c r="AD15" s="117" t="s">
        <v>235</v>
      </c>
      <c r="AE15" s="117" t="s">
        <v>236</v>
      </c>
      <c r="AF15" s="117" t="s">
        <v>148</v>
      </c>
      <c r="AG15" s="117">
        <v>1</v>
      </c>
      <c r="AH15" s="117" t="s">
        <v>160</v>
      </c>
      <c r="AI15" s="117" t="s">
        <v>155</v>
      </c>
      <c r="AJ15" s="117" t="s">
        <v>110</v>
      </c>
      <c r="AK15" s="117">
        <v>2</v>
      </c>
      <c r="AL15" s="117" t="s">
        <v>99</v>
      </c>
      <c r="AM15" s="117" t="s">
        <v>94</v>
      </c>
      <c r="AN15" s="117" t="s">
        <v>94</v>
      </c>
      <c r="AO15" s="117" t="s">
        <v>111</v>
      </c>
      <c r="AP15" s="117" t="s">
        <v>111</v>
      </c>
      <c r="AQ15" s="117" t="s">
        <v>155</v>
      </c>
      <c r="AR15" s="117" t="s">
        <v>119</v>
      </c>
      <c r="AS15" s="117" t="s">
        <v>114</v>
      </c>
      <c r="AT15" s="117" t="s">
        <v>120</v>
      </c>
      <c r="AU15" s="117" t="s">
        <v>116</v>
      </c>
      <c r="AV15" s="117" t="s">
        <v>237</v>
      </c>
      <c r="AW15" s="117">
        <v>3</v>
      </c>
      <c r="AX15" s="117"/>
      <c r="AY15" s="117"/>
      <c r="AZ15" s="117"/>
      <c r="BA15" s="117"/>
      <c r="BB15" s="117"/>
      <c r="BC15" s="117"/>
      <c r="BD15" s="117"/>
      <c r="BE15" s="117"/>
      <c r="BF15" s="117"/>
      <c r="BG15" s="117"/>
      <c r="BH15" s="117"/>
      <c r="BI15" s="117"/>
      <c r="BJ15">
        <v>0</v>
      </c>
      <c r="BK15" t="s">
        <v>361</v>
      </c>
      <c r="BL15" t="s">
        <v>355</v>
      </c>
      <c r="BM15" t="s">
        <v>3185</v>
      </c>
      <c r="BN15">
        <v>0</v>
      </c>
      <c r="BO15">
        <v>6.1430999999999999E-2</v>
      </c>
      <c r="BP15">
        <v>0</v>
      </c>
      <c r="BQ15" t="s">
        <v>129</v>
      </c>
      <c r="BR15">
        <v>10</v>
      </c>
      <c r="BS15">
        <v>0</v>
      </c>
      <c r="BT15">
        <v>4.0488999999999997E-2</v>
      </c>
      <c r="BU15">
        <v>0</v>
      </c>
      <c r="BV15" t="s">
        <v>129</v>
      </c>
      <c r="BW15">
        <v>10</v>
      </c>
      <c r="BX15" t="s">
        <v>244</v>
      </c>
      <c r="BY15">
        <v>4.0488999999999997E-2</v>
      </c>
      <c r="BZ15" t="s">
        <v>111</v>
      </c>
      <c r="CA15" t="s">
        <v>160</v>
      </c>
      <c r="CB15" t="s">
        <v>160</v>
      </c>
      <c r="CC15" t="s">
        <v>245</v>
      </c>
      <c r="CF15" t="s">
        <v>3187</v>
      </c>
      <c r="CG15" t="s">
        <v>3095</v>
      </c>
    </row>
    <row r="16" spans="1:85" ht="14.5">
      <c r="A16">
        <v>13</v>
      </c>
      <c r="B16" t="s">
        <v>3175</v>
      </c>
      <c r="C16">
        <v>2016</v>
      </c>
      <c r="D16" t="s">
        <v>227</v>
      </c>
      <c r="E16">
        <v>44706</v>
      </c>
      <c r="F16" t="s">
        <v>90</v>
      </c>
      <c r="G16" t="s">
        <v>360</v>
      </c>
      <c r="J16" t="s">
        <v>229</v>
      </c>
      <c r="K16" s="117" t="s">
        <v>97</v>
      </c>
      <c r="L16" s="117" t="s">
        <v>97</v>
      </c>
      <c r="M16" s="117" t="s">
        <v>95</v>
      </c>
      <c r="N16" s="117" t="s">
        <v>230</v>
      </c>
      <c r="O16" s="117" t="s">
        <v>97</v>
      </c>
      <c r="P16" s="117" t="s">
        <v>97</v>
      </c>
      <c r="Q16" s="117"/>
      <c r="R16" s="117"/>
      <c r="S16" s="117" t="s">
        <v>90</v>
      </c>
      <c r="T16" s="117" t="s">
        <v>114</v>
      </c>
      <c r="U16" s="117" t="s">
        <v>141</v>
      </c>
      <c r="V16" s="117" t="s">
        <v>99</v>
      </c>
      <c r="W16" s="117">
        <v>1</v>
      </c>
      <c r="X16" s="117" t="s">
        <v>231</v>
      </c>
      <c r="Y16" s="117" t="s">
        <v>232</v>
      </c>
      <c r="Z16" s="117" t="s">
        <v>102</v>
      </c>
      <c r="AA16" s="117" t="s">
        <v>233</v>
      </c>
      <c r="AB16" s="117" t="s">
        <v>234</v>
      </c>
      <c r="AC16" s="117" t="s">
        <v>105</v>
      </c>
      <c r="AD16" s="117" t="s">
        <v>235</v>
      </c>
      <c r="AE16" s="117" t="s">
        <v>236</v>
      </c>
      <c r="AF16" s="117" t="s">
        <v>148</v>
      </c>
      <c r="AG16" s="117">
        <v>1</v>
      </c>
      <c r="AH16" s="117" t="s">
        <v>160</v>
      </c>
      <c r="AI16" s="117" t="s">
        <v>155</v>
      </c>
      <c r="AJ16" s="117" t="s">
        <v>110</v>
      </c>
      <c r="AK16" s="117">
        <v>2</v>
      </c>
      <c r="AL16" s="117" t="s">
        <v>99</v>
      </c>
      <c r="AM16" s="117" t="s">
        <v>94</v>
      </c>
      <c r="AN16" s="117" t="s">
        <v>94</v>
      </c>
      <c r="AO16" s="117" t="s">
        <v>111</v>
      </c>
      <c r="AP16" s="117" t="s">
        <v>111</v>
      </c>
      <c r="AQ16" s="117" t="s">
        <v>155</v>
      </c>
      <c r="AR16" s="117" t="s">
        <v>119</v>
      </c>
      <c r="AS16" s="117" t="s">
        <v>114</v>
      </c>
      <c r="AT16" s="117" t="s">
        <v>120</v>
      </c>
      <c r="AU16" s="117" t="s">
        <v>116</v>
      </c>
      <c r="AV16" s="117" t="s">
        <v>237</v>
      </c>
      <c r="AW16" s="117">
        <v>3</v>
      </c>
      <c r="AX16" s="117"/>
      <c r="AY16" s="117"/>
      <c r="AZ16" s="117"/>
      <c r="BA16" s="117"/>
      <c r="BB16" s="117"/>
      <c r="BC16" s="117"/>
      <c r="BD16" s="117"/>
      <c r="BE16" s="117"/>
      <c r="BF16" s="117"/>
      <c r="BG16" s="117"/>
      <c r="BH16" s="117"/>
      <c r="BI16" s="117"/>
      <c r="BJ16">
        <v>10</v>
      </c>
      <c r="BK16" t="s">
        <v>363</v>
      </c>
      <c r="BL16" t="s">
        <v>355</v>
      </c>
      <c r="BM16" t="s">
        <v>3185</v>
      </c>
      <c r="BN16" t="s">
        <v>111</v>
      </c>
      <c r="BO16">
        <v>0.13053999999999999</v>
      </c>
      <c r="BP16">
        <v>0.15497</v>
      </c>
      <c r="BQ16" t="s">
        <v>129</v>
      </c>
      <c r="BR16">
        <v>10</v>
      </c>
      <c r="BS16" t="s">
        <v>111</v>
      </c>
      <c r="BT16">
        <v>0.11239</v>
      </c>
      <c r="BU16">
        <v>0.13403000000000001</v>
      </c>
      <c r="BV16" t="s">
        <v>129</v>
      </c>
      <c r="BW16">
        <v>10</v>
      </c>
      <c r="BX16" t="s">
        <v>244</v>
      </c>
      <c r="BY16">
        <v>0.11239</v>
      </c>
      <c r="BZ16">
        <v>0.13403000000000001</v>
      </c>
      <c r="CA16">
        <v>2.4430000000000007E-2</v>
      </c>
      <c r="CB16">
        <v>2.1640000000000006E-2</v>
      </c>
      <c r="CC16" t="s">
        <v>245</v>
      </c>
      <c r="CF16" t="s">
        <v>3187</v>
      </c>
      <c r="CG16" t="s">
        <v>3095</v>
      </c>
    </row>
    <row r="17" spans="1:85" ht="14.5">
      <c r="A17">
        <v>13</v>
      </c>
      <c r="B17" t="s">
        <v>3175</v>
      </c>
      <c r="C17">
        <v>2016</v>
      </c>
      <c r="D17" t="s">
        <v>227</v>
      </c>
      <c r="E17">
        <v>44706</v>
      </c>
      <c r="F17" t="s">
        <v>90</v>
      </c>
      <c r="G17" t="s">
        <v>360</v>
      </c>
      <c r="J17" t="s">
        <v>229</v>
      </c>
      <c r="K17" s="117" t="s">
        <v>97</v>
      </c>
      <c r="L17" s="117" t="s">
        <v>97</v>
      </c>
      <c r="M17" s="117" t="s">
        <v>95</v>
      </c>
      <c r="N17" s="117" t="s">
        <v>230</v>
      </c>
      <c r="O17" s="117" t="s">
        <v>97</v>
      </c>
      <c r="P17" s="117" t="s">
        <v>97</v>
      </c>
      <c r="Q17" s="117"/>
      <c r="R17" s="117"/>
      <c r="S17" s="117" t="s">
        <v>90</v>
      </c>
      <c r="T17" s="117" t="s">
        <v>114</v>
      </c>
      <c r="U17" s="117" t="s">
        <v>141</v>
      </c>
      <c r="V17" s="117" t="s">
        <v>99</v>
      </c>
      <c r="W17" s="117">
        <v>1</v>
      </c>
      <c r="X17" s="117" t="s">
        <v>231</v>
      </c>
      <c r="Y17" s="117" t="s">
        <v>232</v>
      </c>
      <c r="Z17" s="117" t="s">
        <v>102</v>
      </c>
      <c r="AA17" s="117" t="s">
        <v>233</v>
      </c>
      <c r="AB17" s="117" t="s">
        <v>234</v>
      </c>
      <c r="AC17" s="117" t="s">
        <v>105</v>
      </c>
      <c r="AD17" s="117" t="s">
        <v>235</v>
      </c>
      <c r="AE17" s="117" t="s">
        <v>236</v>
      </c>
      <c r="AF17" s="117" t="s">
        <v>148</v>
      </c>
      <c r="AG17" s="117">
        <v>1</v>
      </c>
      <c r="AH17" s="117" t="s">
        <v>160</v>
      </c>
      <c r="AI17" s="117" t="s">
        <v>155</v>
      </c>
      <c r="AJ17" s="117" t="s">
        <v>110</v>
      </c>
      <c r="AK17" s="117">
        <v>2</v>
      </c>
      <c r="AL17" s="117" t="s">
        <v>99</v>
      </c>
      <c r="AM17" s="117" t="s">
        <v>94</v>
      </c>
      <c r="AN17" s="117" t="s">
        <v>94</v>
      </c>
      <c r="AO17" s="117" t="s">
        <v>111</v>
      </c>
      <c r="AP17" s="117" t="s">
        <v>111</v>
      </c>
      <c r="AQ17" s="117" t="s">
        <v>155</v>
      </c>
      <c r="AR17" s="117" t="s">
        <v>119</v>
      </c>
      <c r="AS17" s="117" t="s">
        <v>114</v>
      </c>
      <c r="AT17" s="117" t="s">
        <v>120</v>
      </c>
      <c r="AU17" s="117" t="s">
        <v>116</v>
      </c>
      <c r="AV17" s="117" t="s">
        <v>237</v>
      </c>
      <c r="AW17" s="117">
        <v>3</v>
      </c>
      <c r="AX17" s="117"/>
      <c r="AY17" s="117"/>
      <c r="AZ17" s="117"/>
      <c r="BA17" s="117"/>
      <c r="BB17" s="117"/>
      <c r="BC17" s="117"/>
      <c r="BD17" s="117"/>
      <c r="BE17" s="117"/>
      <c r="BF17" s="117"/>
      <c r="BG17" s="117"/>
      <c r="BH17" s="117"/>
      <c r="BI17" s="117"/>
      <c r="BJ17">
        <v>20</v>
      </c>
      <c r="BK17" t="s">
        <v>364</v>
      </c>
      <c r="BL17" t="s">
        <v>355</v>
      </c>
      <c r="BM17" t="s">
        <v>3185</v>
      </c>
      <c r="BN17" t="s">
        <v>111</v>
      </c>
      <c r="BO17">
        <v>0.27365</v>
      </c>
      <c r="BP17">
        <v>0.28900999999999999</v>
      </c>
      <c r="BQ17" t="s">
        <v>129</v>
      </c>
      <c r="BR17">
        <v>10</v>
      </c>
      <c r="BS17" t="s">
        <v>111</v>
      </c>
      <c r="BT17">
        <v>0.30715999999999999</v>
      </c>
      <c r="BU17">
        <v>0.33018999999999998</v>
      </c>
      <c r="BV17" t="s">
        <v>129</v>
      </c>
      <c r="BW17">
        <v>10</v>
      </c>
      <c r="BX17" t="s">
        <v>244</v>
      </c>
      <c r="BY17">
        <v>0.30715999999999999</v>
      </c>
      <c r="BZ17">
        <v>0.33018999999999998</v>
      </c>
      <c r="CA17">
        <v>1.5359999999999985E-2</v>
      </c>
      <c r="CB17">
        <v>2.3029999999999995E-2</v>
      </c>
      <c r="CC17" t="s">
        <v>245</v>
      </c>
      <c r="CF17" t="s">
        <v>3187</v>
      </c>
      <c r="CG17" t="s">
        <v>3095</v>
      </c>
    </row>
    <row r="18" spans="1:85" ht="14.5">
      <c r="A18" s="126">
        <v>14</v>
      </c>
      <c r="B18" s="123" t="s">
        <v>365</v>
      </c>
      <c r="C18" s="123">
        <v>2017</v>
      </c>
      <c r="D18" s="123" t="s">
        <v>366</v>
      </c>
      <c r="E18" s="127">
        <v>44714</v>
      </c>
      <c r="F18" s="123" t="s">
        <v>90</v>
      </c>
      <c r="G18" s="123" t="s">
        <v>360</v>
      </c>
      <c r="H18" s="123" t="s">
        <v>367</v>
      </c>
      <c r="I18" s="123" t="s">
        <v>368</v>
      </c>
      <c r="J18" s="123" t="s">
        <v>369</v>
      </c>
      <c r="K18" s="123" t="s">
        <v>97</v>
      </c>
      <c r="L18" s="123" t="s">
        <v>137</v>
      </c>
      <c r="M18" s="123" t="s">
        <v>95</v>
      </c>
      <c r="N18" s="123" t="s">
        <v>370</v>
      </c>
      <c r="O18" s="123" t="s">
        <v>97</v>
      </c>
      <c r="P18" s="123" t="s">
        <v>97</v>
      </c>
      <c r="Q18" s="123" t="s">
        <v>367</v>
      </c>
      <c r="R18" s="123" t="s">
        <v>367</v>
      </c>
      <c r="S18" s="123" t="s">
        <v>90</v>
      </c>
      <c r="T18" s="117" t="s">
        <v>114</v>
      </c>
      <c r="U18" s="123" t="s">
        <v>191</v>
      </c>
      <c r="V18" s="123" t="s">
        <v>99</v>
      </c>
      <c r="W18" s="123" t="s">
        <v>367</v>
      </c>
      <c r="X18" s="123" t="s">
        <v>3083</v>
      </c>
      <c r="Y18" s="123" t="s">
        <v>3084</v>
      </c>
      <c r="Z18" s="123" t="s">
        <v>371</v>
      </c>
      <c r="AA18" s="123" t="s">
        <v>3102</v>
      </c>
      <c r="AB18" s="123" t="s">
        <v>319</v>
      </c>
      <c r="AC18" s="123" t="s">
        <v>105</v>
      </c>
      <c r="AD18" s="123" t="s">
        <v>372</v>
      </c>
      <c r="AE18" s="123" t="s">
        <v>373</v>
      </c>
      <c r="AF18" s="123" t="s">
        <v>197</v>
      </c>
      <c r="AG18" s="123">
        <v>3</v>
      </c>
      <c r="AH18" s="123" t="s">
        <v>90</v>
      </c>
      <c r="AI18" s="123" t="s">
        <v>374</v>
      </c>
      <c r="AJ18" s="123" t="s">
        <v>150</v>
      </c>
      <c r="AK18" s="123">
        <v>2</v>
      </c>
      <c r="AL18" s="123" t="s">
        <v>151</v>
      </c>
      <c r="AM18" s="123" t="s">
        <v>97</v>
      </c>
      <c r="AN18" s="123" t="s">
        <v>97</v>
      </c>
      <c r="AO18" s="123" t="s">
        <v>152</v>
      </c>
      <c r="AP18" s="123">
        <v>2</v>
      </c>
      <c r="AQ18" s="123" t="s">
        <v>155</v>
      </c>
      <c r="AR18" s="123" t="s">
        <v>119</v>
      </c>
      <c r="AS18" s="123" t="s">
        <v>114</v>
      </c>
      <c r="AT18" s="123" t="s">
        <v>120</v>
      </c>
      <c r="AU18" s="123" t="s">
        <v>116</v>
      </c>
      <c r="AV18" s="123" t="s">
        <v>375</v>
      </c>
      <c r="AW18" s="123">
        <v>2</v>
      </c>
      <c r="AX18" s="123" t="s">
        <v>184</v>
      </c>
      <c r="AY18" s="123" t="s">
        <v>113</v>
      </c>
      <c r="AZ18" s="123" t="s">
        <v>115</v>
      </c>
      <c r="BA18" s="123" t="s">
        <v>116</v>
      </c>
      <c r="BB18" s="123" t="s">
        <v>376</v>
      </c>
      <c r="BC18" s="123">
        <v>3</v>
      </c>
      <c r="BD18" s="123" t="s">
        <v>184</v>
      </c>
      <c r="BE18" s="123" t="s">
        <v>123</v>
      </c>
      <c r="BF18" s="123" t="s">
        <v>124</v>
      </c>
      <c r="BG18" s="123" t="s">
        <v>116</v>
      </c>
      <c r="BH18" s="123" t="s">
        <v>377</v>
      </c>
      <c r="BI18" s="123">
        <v>2</v>
      </c>
      <c r="BJ18" s="123">
        <v>0</v>
      </c>
      <c r="BK18" s="123" t="s">
        <v>380</v>
      </c>
      <c r="BL18" s="123" t="s">
        <v>240</v>
      </c>
      <c r="BN18" s="123">
        <v>6.7499999999999999E-3</v>
      </c>
      <c r="BO18" s="123">
        <v>2.8571429999999998E-2</v>
      </c>
      <c r="BP18" s="123">
        <v>5.0393E-2</v>
      </c>
      <c r="BQ18" s="123" t="s">
        <v>161</v>
      </c>
      <c r="BR18" s="123">
        <v>7</v>
      </c>
      <c r="BS18" s="123">
        <v>2.6822629999999998E-3</v>
      </c>
      <c r="BT18" s="123">
        <v>5.9523800000000002E-3</v>
      </c>
      <c r="BU18" s="123">
        <v>9.2219999999999993E-3</v>
      </c>
      <c r="BV18" s="123" t="s">
        <v>161</v>
      </c>
      <c r="BW18" s="123">
        <v>7</v>
      </c>
      <c r="BX18" s="123" t="s">
        <v>381</v>
      </c>
      <c r="BY18" s="82">
        <v>5.9523800000000002E-3</v>
      </c>
      <c r="BZ18" s="82">
        <v>9.2219999999999993E-3</v>
      </c>
      <c r="CA18">
        <v>2.1821570000000002E-2</v>
      </c>
      <c r="CB18">
        <v>3.2696199999999991E-3</v>
      </c>
      <c r="CC18" s="123" t="s">
        <v>3188</v>
      </c>
      <c r="CD18" s="123"/>
      <c r="CE18" s="123"/>
      <c r="CF18" s="123" t="s">
        <v>3189</v>
      </c>
      <c r="CG18" t="s">
        <v>3095</v>
      </c>
    </row>
    <row r="19" spans="1:85" ht="14.5">
      <c r="A19" s="128">
        <v>14</v>
      </c>
      <c r="B19" s="124" t="s">
        <v>365</v>
      </c>
      <c r="C19" s="124">
        <v>2017</v>
      </c>
      <c r="D19" s="124" t="s">
        <v>366</v>
      </c>
      <c r="E19" s="129">
        <v>44714</v>
      </c>
      <c r="F19" s="123" t="s">
        <v>90</v>
      </c>
      <c r="G19" s="124" t="s">
        <v>360</v>
      </c>
      <c r="H19" s="124" t="s">
        <v>367</v>
      </c>
      <c r="I19" s="124" t="s">
        <v>368</v>
      </c>
      <c r="J19" s="124" t="s">
        <v>369</v>
      </c>
      <c r="K19" s="124" t="s">
        <v>97</v>
      </c>
      <c r="L19" s="124" t="s">
        <v>137</v>
      </c>
      <c r="M19" s="124" t="s">
        <v>95</v>
      </c>
      <c r="N19" s="124" t="s">
        <v>370</v>
      </c>
      <c r="O19" s="124" t="s">
        <v>97</v>
      </c>
      <c r="P19" s="124" t="s">
        <v>97</v>
      </c>
      <c r="Q19" s="124" t="s">
        <v>367</v>
      </c>
      <c r="R19" s="124" t="s">
        <v>367</v>
      </c>
      <c r="S19" s="124" t="s">
        <v>90</v>
      </c>
      <c r="T19" s="117" t="s">
        <v>114</v>
      </c>
      <c r="U19" s="124" t="s">
        <v>191</v>
      </c>
      <c r="V19" s="124" t="s">
        <v>99</v>
      </c>
      <c r="W19" s="124" t="s">
        <v>367</v>
      </c>
      <c r="X19" s="123" t="s">
        <v>3083</v>
      </c>
      <c r="Y19" s="123" t="s">
        <v>3084</v>
      </c>
      <c r="Z19" s="124" t="s">
        <v>371</v>
      </c>
      <c r="AA19" s="123" t="s">
        <v>3102</v>
      </c>
      <c r="AB19" s="124" t="s">
        <v>319</v>
      </c>
      <c r="AC19" s="124" t="s">
        <v>105</v>
      </c>
      <c r="AD19" s="124" t="s">
        <v>372</v>
      </c>
      <c r="AE19" s="124" t="s">
        <v>373</v>
      </c>
      <c r="AF19" s="124" t="s">
        <v>197</v>
      </c>
      <c r="AG19" s="123">
        <v>3</v>
      </c>
      <c r="AH19" s="124" t="s">
        <v>90</v>
      </c>
      <c r="AI19" s="124" t="s">
        <v>374</v>
      </c>
      <c r="AJ19" s="124" t="s">
        <v>150</v>
      </c>
      <c r="AK19" s="124">
        <v>2</v>
      </c>
      <c r="AL19" s="124" t="s">
        <v>151</v>
      </c>
      <c r="AM19" s="124" t="s">
        <v>97</v>
      </c>
      <c r="AN19" s="124" t="s">
        <v>97</v>
      </c>
      <c r="AO19" s="124" t="s">
        <v>152</v>
      </c>
      <c r="AP19" s="124">
        <v>2</v>
      </c>
      <c r="AQ19" s="124" t="s">
        <v>155</v>
      </c>
      <c r="AR19" s="124" t="s">
        <v>119</v>
      </c>
      <c r="AS19" s="124" t="s">
        <v>114</v>
      </c>
      <c r="AT19" s="124" t="s">
        <v>120</v>
      </c>
      <c r="AU19" s="124" t="s">
        <v>116</v>
      </c>
      <c r="AV19" s="124" t="s">
        <v>375</v>
      </c>
      <c r="AW19" s="124">
        <v>2</v>
      </c>
      <c r="AX19" s="124" t="s">
        <v>184</v>
      </c>
      <c r="AY19" s="124" t="s">
        <v>113</v>
      </c>
      <c r="AZ19" s="124" t="s">
        <v>115</v>
      </c>
      <c r="BA19" s="124" t="s">
        <v>116</v>
      </c>
      <c r="BB19" s="124" t="s">
        <v>376</v>
      </c>
      <c r="BC19" s="124">
        <v>3</v>
      </c>
      <c r="BD19" s="124" t="s">
        <v>184</v>
      </c>
      <c r="BE19" s="124" t="s">
        <v>123</v>
      </c>
      <c r="BF19" s="124" t="s">
        <v>124</v>
      </c>
      <c r="BG19" s="124" t="s">
        <v>116</v>
      </c>
      <c r="BH19" s="124" t="s">
        <v>377</v>
      </c>
      <c r="BI19" s="124">
        <v>2</v>
      </c>
      <c r="BJ19" s="123">
        <v>0</v>
      </c>
      <c r="BK19" s="124" t="s">
        <v>382</v>
      </c>
      <c r="BL19" s="124" t="s">
        <v>240</v>
      </c>
      <c r="BN19" s="124">
        <v>4.3400000000000001E-3</v>
      </c>
      <c r="BO19" s="124">
        <v>1.22449E-2</v>
      </c>
      <c r="BP19" s="124">
        <v>2.0149E-2</v>
      </c>
      <c r="BQ19" s="124" t="s">
        <v>161</v>
      </c>
      <c r="BR19" s="124">
        <v>7</v>
      </c>
      <c r="BS19" s="124">
        <v>2.6822629999999998E-3</v>
      </c>
      <c r="BT19" s="124">
        <v>5.9523800000000002E-3</v>
      </c>
      <c r="BU19" s="124">
        <v>9.2219999999999993E-3</v>
      </c>
      <c r="BV19" s="124" t="s">
        <v>161</v>
      </c>
      <c r="BW19" s="124">
        <v>7</v>
      </c>
      <c r="BX19" s="124" t="s">
        <v>381</v>
      </c>
      <c r="BY19" s="82">
        <v>5.9523800000000002E-3</v>
      </c>
      <c r="BZ19" s="82">
        <v>9.2219999999999993E-3</v>
      </c>
      <c r="CA19">
        <v>7.9041000000000007E-3</v>
      </c>
      <c r="CB19">
        <v>3.2696199999999991E-3</v>
      </c>
      <c r="CC19" s="123" t="s">
        <v>3188</v>
      </c>
      <c r="CD19" s="124"/>
      <c r="CE19" s="124"/>
      <c r="CF19" s="123" t="s">
        <v>3189</v>
      </c>
      <c r="CG19" t="s">
        <v>3095</v>
      </c>
    </row>
    <row r="20" spans="1:85" ht="14.5">
      <c r="A20" s="128">
        <v>14</v>
      </c>
      <c r="B20" s="124" t="s">
        <v>365</v>
      </c>
      <c r="C20" s="124">
        <v>2017</v>
      </c>
      <c r="D20" s="124" t="s">
        <v>366</v>
      </c>
      <c r="E20" s="129">
        <v>44714</v>
      </c>
      <c r="F20" s="123" t="s">
        <v>90</v>
      </c>
      <c r="G20" s="124" t="s">
        <v>360</v>
      </c>
      <c r="H20" s="124" t="s">
        <v>367</v>
      </c>
      <c r="I20" s="124" t="s">
        <v>368</v>
      </c>
      <c r="J20" s="124" t="s">
        <v>369</v>
      </c>
      <c r="K20" s="124" t="s">
        <v>97</v>
      </c>
      <c r="L20" s="124" t="s">
        <v>137</v>
      </c>
      <c r="M20" s="124" t="s">
        <v>95</v>
      </c>
      <c r="N20" s="124" t="s">
        <v>370</v>
      </c>
      <c r="O20" s="124" t="s">
        <v>97</v>
      </c>
      <c r="P20" s="124" t="s">
        <v>97</v>
      </c>
      <c r="Q20" s="124" t="s">
        <v>367</v>
      </c>
      <c r="R20" s="124" t="s">
        <v>367</v>
      </c>
      <c r="S20" s="124" t="s">
        <v>90</v>
      </c>
      <c r="T20" s="117" t="s">
        <v>114</v>
      </c>
      <c r="U20" s="124" t="s">
        <v>191</v>
      </c>
      <c r="V20" s="124" t="s">
        <v>99</v>
      </c>
      <c r="W20" s="124" t="s">
        <v>367</v>
      </c>
      <c r="X20" s="123" t="s">
        <v>3083</v>
      </c>
      <c r="Y20" s="123" t="s">
        <v>3084</v>
      </c>
      <c r="Z20" s="124" t="s">
        <v>371</v>
      </c>
      <c r="AA20" s="123" t="s">
        <v>3102</v>
      </c>
      <c r="AB20" s="124" t="s">
        <v>319</v>
      </c>
      <c r="AC20" s="124" t="s">
        <v>105</v>
      </c>
      <c r="AD20" s="124" t="s">
        <v>372</v>
      </c>
      <c r="AE20" s="124" t="s">
        <v>373</v>
      </c>
      <c r="AF20" s="124" t="s">
        <v>197</v>
      </c>
      <c r="AG20" s="123">
        <v>3</v>
      </c>
      <c r="AH20" s="124" t="s">
        <v>90</v>
      </c>
      <c r="AI20" s="124" t="s">
        <v>374</v>
      </c>
      <c r="AJ20" s="124" t="s">
        <v>150</v>
      </c>
      <c r="AK20" s="124">
        <v>2</v>
      </c>
      <c r="AL20" s="124" t="s">
        <v>151</v>
      </c>
      <c r="AM20" s="124" t="s">
        <v>97</v>
      </c>
      <c r="AN20" s="124" t="s">
        <v>97</v>
      </c>
      <c r="AO20" s="124" t="s">
        <v>152</v>
      </c>
      <c r="AP20" s="124">
        <v>2</v>
      </c>
      <c r="AQ20" s="124" t="s">
        <v>155</v>
      </c>
      <c r="AR20" s="124" t="s">
        <v>119</v>
      </c>
      <c r="AS20" s="124" t="s">
        <v>114</v>
      </c>
      <c r="AT20" s="124" t="s">
        <v>120</v>
      </c>
      <c r="AU20" s="124" t="s">
        <v>116</v>
      </c>
      <c r="AV20" s="124" t="s">
        <v>375</v>
      </c>
      <c r="AW20" s="124">
        <v>2</v>
      </c>
      <c r="AX20" s="124" t="s">
        <v>184</v>
      </c>
      <c r="AY20" s="124" t="s">
        <v>113</v>
      </c>
      <c r="AZ20" s="124" t="s">
        <v>115</v>
      </c>
      <c r="BA20" s="124" t="s">
        <v>116</v>
      </c>
      <c r="BB20" s="124" t="s">
        <v>376</v>
      </c>
      <c r="BC20" s="124">
        <v>3</v>
      </c>
      <c r="BD20" s="124" t="s">
        <v>184</v>
      </c>
      <c r="BE20" s="124" t="s">
        <v>123</v>
      </c>
      <c r="BF20" s="124" t="s">
        <v>124</v>
      </c>
      <c r="BG20" s="124" t="s">
        <v>116</v>
      </c>
      <c r="BH20" s="124" t="s">
        <v>377</v>
      </c>
      <c r="BI20" s="124">
        <v>2</v>
      </c>
      <c r="BJ20" s="123">
        <v>0</v>
      </c>
      <c r="BK20" s="124" t="s">
        <v>383</v>
      </c>
      <c r="BL20" s="124" t="s">
        <v>240</v>
      </c>
      <c r="BN20" s="124">
        <v>4.5870000000000001E-2</v>
      </c>
      <c r="BO20" s="124">
        <v>3.4693880000000003E-2</v>
      </c>
      <c r="BP20" s="124">
        <v>2.3515999999999999E-2</v>
      </c>
      <c r="BQ20" s="124" t="s">
        <v>161</v>
      </c>
      <c r="BR20" s="124">
        <v>7</v>
      </c>
      <c r="BS20" s="124">
        <v>2.6822629999999998E-3</v>
      </c>
      <c r="BT20" s="124">
        <v>5.9523800000000002E-3</v>
      </c>
      <c r="BU20" s="124">
        <v>9.2219999999999993E-3</v>
      </c>
      <c r="BV20" s="124" t="s">
        <v>161</v>
      </c>
      <c r="BW20" s="124">
        <v>7</v>
      </c>
      <c r="BX20" s="124" t="s">
        <v>381</v>
      </c>
      <c r="BY20" s="82">
        <v>5.9523800000000002E-3</v>
      </c>
      <c r="BZ20" s="82">
        <v>9.2219999999999993E-3</v>
      </c>
      <c r="CA20">
        <v>-1.1177880000000005E-2</v>
      </c>
      <c r="CB20">
        <v>3.2696199999999991E-3</v>
      </c>
      <c r="CC20" s="123" t="s">
        <v>3188</v>
      </c>
      <c r="CD20" s="124"/>
      <c r="CE20" s="124"/>
      <c r="CF20" s="123" t="s">
        <v>3189</v>
      </c>
      <c r="CG20" t="s">
        <v>3095</v>
      </c>
    </row>
    <row r="21" spans="1:85" ht="14.5">
      <c r="A21" s="128">
        <v>14</v>
      </c>
      <c r="B21" s="124" t="s">
        <v>365</v>
      </c>
      <c r="C21" s="124">
        <v>2017</v>
      </c>
      <c r="D21" s="124" t="s">
        <v>366</v>
      </c>
      <c r="E21" s="129">
        <v>44714</v>
      </c>
      <c r="F21" s="123" t="s">
        <v>90</v>
      </c>
      <c r="G21" s="124" t="s">
        <v>360</v>
      </c>
      <c r="H21" s="124" t="s">
        <v>367</v>
      </c>
      <c r="I21" s="124" t="s">
        <v>368</v>
      </c>
      <c r="J21" s="124" t="s">
        <v>369</v>
      </c>
      <c r="K21" s="124" t="s">
        <v>97</v>
      </c>
      <c r="L21" s="124" t="s">
        <v>137</v>
      </c>
      <c r="M21" s="124" t="s">
        <v>95</v>
      </c>
      <c r="N21" s="124" t="s">
        <v>370</v>
      </c>
      <c r="O21" s="124" t="s">
        <v>97</v>
      </c>
      <c r="P21" s="124" t="s">
        <v>97</v>
      </c>
      <c r="Q21" s="124" t="s">
        <v>367</v>
      </c>
      <c r="R21" s="124" t="s">
        <v>367</v>
      </c>
      <c r="S21" s="124" t="s">
        <v>90</v>
      </c>
      <c r="T21" s="117" t="s">
        <v>114</v>
      </c>
      <c r="U21" s="124" t="s">
        <v>191</v>
      </c>
      <c r="V21" s="124" t="s">
        <v>99</v>
      </c>
      <c r="W21" s="124" t="s">
        <v>367</v>
      </c>
      <c r="X21" s="123" t="s">
        <v>3083</v>
      </c>
      <c r="Y21" s="123" t="s">
        <v>3084</v>
      </c>
      <c r="Z21" s="124" t="s">
        <v>371</v>
      </c>
      <c r="AA21" s="123" t="s">
        <v>3102</v>
      </c>
      <c r="AB21" s="124" t="s">
        <v>319</v>
      </c>
      <c r="AC21" s="124" t="s">
        <v>105</v>
      </c>
      <c r="AD21" s="124" t="s">
        <v>372</v>
      </c>
      <c r="AE21" s="124" t="s">
        <v>373</v>
      </c>
      <c r="AF21" s="124" t="s">
        <v>197</v>
      </c>
      <c r="AG21" s="123">
        <v>3</v>
      </c>
      <c r="AH21" s="124" t="s">
        <v>90</v>
      </c>
      <c r="AI21" s="124" t="s">
        <v>374</v>
      </c>
      <c r="AJ21" s="124" t="s">
        <v>150</v>
      </c>
      <c r="AK21" s="124">
        <v>2</v>
      </c>
      <c r="AL21" s="124" t="s">
        <v>151</v>
      </c>
      <c r="AM21" s="124" t="s">
        <v>97</v>
      </c>
      <c r="AN21" s="124" t="s">
        <v>97</v>
      </c>
      <c r="AO21" s="124" t="s">
        <v>152</v>
      </c>
      <c r="AP21" s="124">
        <v>2</v>
      </c>
      <c r="AQ21" s="124" t="s">
        <v>155</v>
      </c>
      <c r="AR21" s="124" t="s">
        <v>119</v>
      </c>
      <c r="AS21" s="124" t="s">
        <v>114</v>
      </c>
      <c r="AT21" s="124" t="s">
        <v>120</v>
      </c>
      <c r="AU21" s="124" t="s">
        <v>116</v>
      </c>
      <c r="AV21" s="124" t="s">
        <v>375</v>
      </c>
      <c r="AW21" s="124">
        <v>2</v>
      </c>
      <c r="AX21" s="124" t="s">
        <v>184</v>
      </c>
      <c r="AY21" s="124" t="s">
        <v>113</v>
      </c>
      <c r="AZ21" s="124" t="s">
        <v>115</v>
      </c>
      <c r="BA21" s="124" t="s">
        <v>116</v>
      </c>
      <c r="BB21" s="124" t="s">
        <v>376</v>
      </c>
      <c r="BC21" s="124">
        <v>3</v>
      </c>
      <c r="BD21" s="124" t="s">
        <v>184</v>
      </c>
      <c r="BE21" s="124" t="s">
        <v>123</v>
      </c>
      <c r="BF21" s="124" t="s">
        <v>124</v>
      </c>
      <c r="BG21" s="124" t="s">
        <v>116</v>
      </c>
      <c r="BH21" s="124" t="s">
        <v>377</v>
      </c>
      <c r="BI21" s="124">
        <v>2</v>
      </c>
      <c r="BJ21" s="123">
        <v>0</v>
      </c>
      <c r="BK21" s="124" t="s">
        <v>384</v>
      </c>
      <c r="BL21" s="124" t="s">
        <v>240</v>
      </c>
      <c r="BN21" s="124">
        <v>1.92E-3</v>
      </c>
      <c r="BO21" s="124">
        <v>3.1746000000000001E-3</v>
      </c>
      <c r="BP21" s="124">
        <v>4.4289999999999998E-3</v>
      </c>
      <c r="BQ21" s="124" t="s">
        <v>161</v>
      </c>
      <c r="BR21" s="124">
        <v>7</v>
      </c>
      <c r="BS21" s="124">
        <v>2.6822629999999998E-3</v>
      </c>
      <c r="BT21" s="124">
        <v>5.9523800000000002E-3</v>
      </c>
      <c r="BU21" s="124">
        <v>9.2219999999999993E-3</v>
      </c>
      <c r="BV21" s="124" t="s">
        <v>161</v>
      </c>
      <c r="BW21" s="124">
        <v>7</v>
      </c>
      <c r="BX21" s="124" t="s">
        <v>381</v>
      </c>
      <c r="BY21" s="82">
        <v>5.9523800000000002E-3</v>
      </c>
      <c r="BZ21" s="82">
        <v>9.2219999999999993E-3</v>
      </c>
      <c r="CA21">
        <v>1.2543999999999997E-3</v>
      </c>
      <c r="CB21">
        <v>3.2696199999999991E-3</v>
      </c>
      <c r="CC21" s="123" t="s">
        <v>3188</v>
      </c>
      <c r="CD21" s="124"/>
      <c r="CE21" s="124"/>
      <c r="CF21" s="123" t="s">
        <v>3189</v>
      </c>
      <c r="CG21" t="s">
        <v>3095</v>
      </c>
    </row>
    <row r="22" spans="1:85" ht="14.5">
      <c r="A22" s="128">
        <v>14</v>
      </c>
      <c r="B22" s="124" t="s">
        <v>365</v>
      </c>
      <c r="C22" s="124">
        <v>2017</v>
      </c>
      <c r="D22" s="124" t="s">
        <v>366</v>
      </c>
      <c r="E22" s="129">
        <v>44714</v>
      </c>
      <c r="F22" s="123" t="s">
        <v>90</v>
      </c>
      <c r="G22" s="124" t="s">
        <v>360</v>
      </c>
      <c r="H22" s="124" t="s">
        <v>367</v>
      </c>
      <c r="I22" s="124" t="s">
        <v>368</v>
      </c>
      <c r="J22" s="124" t="s">
        <v>369</v>
      </c>
      <c r="K22" s="124" t="s">
        <v>97</v>
      </c>
      <c r="L22" s="124" t="s">
        <v>137</v>
      </c>
      <c r="M22" s="124" t="s">
        <v>95</v>
      </c>
      <c r="N22" s="124" t="s">
        <v>370</v>
      </c>
      <c r="O22" s="124" t="s">
        <v>97</v>
      </c>
      <c r="P22" s="124" t="s">
        <v>97</v>
      </c>
      <c r="Q22" s="124" t="s">
        <v>367</v>
      </c>
      <c r="R22" s="124" t="s">
        <v>367</v>
      </c>
      <c r="S22" s="124" t="s">
        <v>90</v>
      </c>
      <c r="T22" s="117" t="s">
        <v>114</v>
      </c>
      <c r="U22" s="124" t="s">
        <v>191</v>
      </c>
      <c r="V22" s="124" t="s">
        <v>99</v>
      </c>
      <c r="W22" s="124" t="s">
        <v>367</v>
      </c>
      <c r="X22" s="123" t="s">
        <v>3083</v>
      </c>
      <c r="Y22" s="123" t="s">
        <v>3084</v>
      </c>
      <c r="Z22" s="124" t="s">
        <v>371</v>
      </c>
      <c r="AA22" s="123" t="s">
        <v>3102</v>
      </c>
      <c r="AB22" s="124" t="s">
        <v>319</v>
      </c>
      <c r="AC22" s="124" t="s">
        <v>105</v>
      </c>
      <c r="AD22" s="124" t="s">
        <v>372</v>
      </c>
      <c r="AE22" s="124" t="s">
        <v>373</v>
      </c>
      <c r="AF22" s="124" t="s">
        <v>197</v>
      </c>
      <c r="AG22" s="123">
        <v>3</v>
      </c>
      <c r="AH22" s="124" t="s">
        <v>90</v>
      </c>
      <c r="AI22" s="124" t="s">
        <v>374</v>
      </c>
      <c r="AJ22" s="124" t="s">
        <v>150</v>
      </c>
      <c r="AK22" s="124">
        <v>2</v>
      </c>
      <c r="AL22" s="124" t="s">
        <v>151</v>
      </c>
      <c r="AM22" s="124" t="s">
        <v>97</v>
      </c>
      <c r="AN22" s="124" t="s">
        <v>97</v>
      </c>
      <c r="AO22" s="124" t="s">
        <v>152</v>
      </c>
      <c r="AP22" s="124">
        <v>2</v>
      </c>
      <c r="AQ22" s="124" t="s">
        <v>155</v>
      </c>
      <c r="AR22" s="124" t="s">
        <v>119</v>
      </c>
      <c r="AS22" s="124" t="s">
        <v>114</v>
      </c>
      <c r="AT22" s="124" t="s">
        <v>120</v>
      </c>
      <c r="AU22" s="124" t="s">
        <v>116</v>
      </c>
      <c r="AV22" s="124" t="s">
        <v>375</v>
      </c>
      <c r="AW22" s="124">
        <v>2</v>
      </c>
      <c r="AX22" s="124" t="s">
        <v>184</v>
      </c>
      <c r="AY22" s="124" t="s">
        <v>113</v>
      </c>
      <c r="AZ22" s="124" t="s">
        <v>115</v>
      </c>
      <c r="BA22" s="124" t="s">
        <v>116</v>
      </c>
      <c r="BB22" s="124" t="s">
        <v>376</v>
      </c>
      <c r="BC22" s="124">
        <v>3</v>
      </c>
      <c r="BD22" s="124" t="s">
        <v>184</v>
      </c>
      <c r="BE22" s="124" t="s">
        <v>123</v>
      </c>
      <c r="BF22" s="124" t="s">
        <v>124</v>
      </c>
      <c r="BG22" s="124" t="s">
        <v>116</v>
      </c>
      <c r="BH22" s="124" t="s">
        <v>377</v>
      </c>
      <c r="BI22" s="124">
        <v>2</v>
      </c>
      <c r="BJ22" s="123">
        <v>0</v>
      </c>
      <c r="BK22" s="124" t="s">
        <v>385</v>
      </c>
      <c r="BL22" s="124" t="s">
        <v>240</v>
      </c>
      <c r="BN22" s="124">
        <v>1.9220000000000001E-2</v>
      </c>
      <c r="BO22" s="124">
        <v>3.5714290000000003E-2</v>
      </c>
      <c r="BP22" s="124">
        <v>5.2209999999999999E-2</v>
      </c>
      <c r="BQ22" s="124" t="s">
        <v>161</v>
      </c>
      <c r="BR22" s="124">
        <v>7</v>
      </c>
      <c r="BS22" s="124">
        <v>2.6822629999999998E-3</v>
      </c>
      <c r="BT22" s="124">
        <v>5.9523800000000002E-3</v>
      </c>
      <c r="BU22" s="124">
        <v>9.2219999999999993E-3</v>
      </c>
      <c r="BV22" s="124" t="s">
        <v>161</v>
      </c>
      <c r="BW22" s="124">
        <v>7</v>
      </c>
      <c r="BX22" s="124" t="s">
        <v>381</v>
      </c>
      <c r="BY22" s="82">
        <v>5.9523800000000002E-3</v>
      </c>
      <c r="BZ22" s="82">
        <v>9.2219999999999993E-3</v>
      </c>
      <c r="CA22">
        <v>1.6495709999999997E-2</v>
      </c>
      <c r="CB22">
        <v>3.2696199999999991E-3</v>
      </c>
      <c r="CC22" s="123" t="s">
        <v>3188</v>
      </c>
      <c r="CD22" s="124"/>
      <c r="CE22" s="124"/>
      <c r="CF22" s="123" t="s">
        <v>3189</v>
      </c>
      <c r="CG22" t="s">
        <v>3095</v>
      </c>
    </row>
    <row r="23" spans="1:85" ht="14.5">
      <c r="A23" s="128">
        <v>14</v>
      </c>
      <c r="B23" s="124" t="s">
        <v>365</v>
      </c>
      <c r="C23" s="124">
        <v>2017</v>
      </c>
      <c r="D23" s="124" t="s">
        <v>366</v>
      </c>
      <c r="E23" s="129">
        <v>44714</v>
      </c>
      <c r="F23" s="123" t="s">
        <v>90</v>
      </c>
      <c r="G23" s="124" t="s">
        <v>360</v>
      </c>
      <c r="H23" s="124" t="s">
        <v>367</v>
      </c>
      <c r="I23" s="124" t="s">
        <v>368</v>
      </c>
      <c r="J23" s="124" t="s">
        <v>369</v>
      </c>
      <c r="K23" s="124" t="s">
        <v>97</v>
      </c>
      <c r="L23" s="124" t="s">
        <v>137</v>
      </c>
      <c r="M23" s="124" t="s">
        <v>95</v>
      </c>
      <c r="N23" s="124" t="s">
        <v>370</v>
      </c>
      <c r="O23" s="124" t="s">
        <v>97</v>
      </c>
      <c r="P23" s="124" t="s">
        <v>97</v>
      </c>
      <c r="Q23" s="124" t="s">
        <v>367</v>
      </c>
      <c r="R23" s="124" t="s">
        <v>367</v>
      </c>
      <c r="S23" s="124" t="s">
        <v>90</v>
      </c>
      <c r="T23" s="117" t="s">
        <v>114</v>
      </c>
      <c r="U23" s="124" t="s">
        <v>191</v>
      </c>
      <c r="V23" s="124" t="s">
        <v>99</v>
      </c>
      <c r="W23" s="124" t="s">
        <v>367</v>
      </c>
      <c r="X23" s="123" t="s">
        <v>3083</v>
      </c>
      <c r="Y23" s="123" t="s">
        <v>3084</v>
      </c>
      <c r="Z23" s="124" t="s">
        <v>371</v>
      </c>
      <c r="AA23" s="123" t="s">
        <v>3102</v>
      </c>
      <c r="AB23" s="124" t="s">
        <v>319</v>
      </c>
      <c r="AC23" s="124" t="s">
        <v>105</v>
      </c>
      <c r="AD23" s="124" t="s">
        <v>372</v>
      </c>
      <c r="AE23" s="124" t="s">
        <v>373</v>
      </c>
      <c r="AF23" s="124" t="s">
        <v>197</v>
      </c>
      <c r="AG23" s="123">
        <v>3</v>
      </c>
      <c r="AH23" s="124" t="s">
        <v>90</v>
      </c>
      <c r="AI23" s="124" t="s">
        <v>374</v>
      </c>
      <c r="AJ23" s="124" t="s">
        <v>150</v>
      </c>
      <c r="AK23" s="124">
        <v>2</v>
      </c>
      <c r="AL23" s="124" t="s">
        <v>151</v>
      </c>
      <c r="AM23" s="124" t="s">
        <v>97</v>
      </c>
      <c r="AN23" s="124" t="s">
        <v>97</v>
      </c>
      <c r="AO23" s="124" t="s">
        <v>152</v>
      </c>
      <c r="AP23" s="124">
        <v>2</v>
      </c>
      <c r="AQ23" s="124" t="s">
        <v>155</v>
      </c>
      <c r="AR23" s="124" t="s">
        <v>119</v>
      </c>
      <c r="AS23" s="124" t="s">
        <v>114</v>
      </c>
      <c r="AT23" s="124" t="s">
        <v>120</v>
      </c>
      <c r="AU23" s="124" t="s">
        <v>116</v>
      </c>
      <c r="AV23" s="124" t="s">
        <v>375</v>
      </c>
      <c r="AW23" s="124">
        <v>2</v>
      </c>
      <c r="AX23" s="124" t="s">
        <v>184</v>
      </c>
      <c r="AY23" s="124" t="s">
        <v>113</v>
      </c>
      <c r="AZ23" s="124" t="s">
        <v>115</v>
      </c>
      <c r="BA23" s="124" t="s">
        <v>116</v>
      </c>
      <c r="BB23" s="124" t="s">
        <v>376</v>
      </c>
      <c r="BC23" s="124">
        <v>3</v>
      </c>
      <c r="BD23" s="124" t="s">
        <v>184</v>
      </c>
      <c r="BE23" s="124" t="s">
        <v>123</v>
      </c>
      <c r="BF23" s="124" t="s">
        <v>124</v>
      </c>
      <c r="BG23" s="124" t="s">
        <v>116</v>
      </c>
      <c r="BH23" s="124" t="s">
        <v>377</v>
      </c>
      <c r="BI23" s="124">
        <v>2</v>
      </c>
      <c r="BJ23" s="123">
        <v>0</v>
      </c>
      <c r="BK23" s="124" t="s">
        <v>386</v>
      </c>
      <c r="BL23" s="124" t="s">
        <v>240</v>
      </c>
      <c r="BN23" s="124">
        <v>3.96E-3</v>
      </c>
      <c r="BO23" s="124">
        <v>9.2857100000000008E-3</v>
      </c>
      <c r="BP23" s="124">
        <v>3.9560000000000003E-3</v>
      </c>
      <c r="BQ23" s="124" t="s">
        <v>161</v>
      </c>
      <c r="BR23" s="124">
        <v>7</v>
      </c>
      <c r="BS23" s="124">
        <v>2.6822629999999998E-3</v>
      </c>
      <c r="BT23" s="124">
        <v>5.9523800000000002E-3</v>
      </c>
      <c r="BU23" s="124">
        <v>9.2219999999999993E-3</v>
      </c>
      <c r="BV23" s="124" t="s">
        <v>161</v>
      </c>
      <c r="BW23" s="124">
        <v>7</v>
      </c>
      <c r="BX23" s="124" t="s">
        <v>381</v>
      </c>
      <c r="BY23" s="82">
        <v>5.9523800000000002E-3</v>
      </c>
      <c r="BZ23" s="82">
        <v>9.2219999999999993E-3</v>
      </c>
      <c r="CA23">
        <v>-5.3297100000000005E-3</v>
      </c>
      <c r="CB23">
        <v>3.2696199999999991E-3</v>
      </c>
      <c r="CC23" s="123" t="s">
        <v>3188</v>
      </c>
      <c r="CD23" s="124"/>
      <c r="CE23" s="124"/>
      <c r="CF23" s="123" t="s">
        <v>3189</v>
      </c>
      <c r="CG23" t="s">
        <v>3095</v>
      </c>
    </row>
    <row r="24" spans="1:85" ht="14.5">
      <c r="A24" s="128">
        <v>14</v>
      </c>
      <c r="B24" s="124" t="s">
        <v>365</v>
      </c>
      <c r="C24" s="124">
        <v>2017</v>
      </c>
      <c r="D24" s="124" t="s">
        <v>366</v>
      </c>
      <c r="E24" s="129">
        <v>44714</v>
      </c>
      <c r="F24" s="123" t="s">
        <v>90</v>
      </c>
      <c r="G24" s="124" t="s">
        <v>360</v>
      </c>
      <c r="H24" s="124" t="s">
        <v>367</v>
      </c>
      <c r="I24" s="124" t="s">
        <v>368</v>
      </c>
      <c r="J24" s="124" t="s">
        <v>369</v>
      </c>
      <c r="K24" s="124" t="s">
        <v>97</v>
      </c>
      <c r="L24" s="124" t="s">
        <v>137</v>
      </c>
      <c r="M24" s="124" t="s">
        <v>95</v>
      </c>
      <c r="N24" s="124" t="s">
        <v>370</v>
      </c>
      <c r="O24" s="124" t="s">
        <v>97</v>
      </c>
      <c r="P24" s="124" t="s">
        <v>97</v>
      </c>
      <c r="Q24" s="124" t="s">
        <v>367</v>
      </c>
      <c r="R24" s="124" t="s">
        <v>367</v>
      </c>
      <c r="S24" s="124" t="s">
        <v>90</v>
      </c>
      <c r="T24" s="117" t="s">
        <v>114</v>
      </c>
      <c r="U24" s="124" t="s">
        <v>191</v>
      </c>
      <c r="V24" s="124" t="s">
        <v>99</v>
      </c>
      <c r="W24" s="124" t="s">
        <v>367</v>
      </c>
      <c r="X24" s="123" t="s">
        <v>3083</v>
      </c>
      <c r="Y24" s="123" t="s">
        <v>3084</v>
      </c>
      <c r="Z24" s="124" t="s">
        <v>371</v>
      </c>
      <c r="AA24" s="123" t="s">
        <v>3102</v>
      </c>
      <c r="AB24" s="124" t="s">
        <v>319</v>
      </c>
      <c r="AC24" s="124" t="s">
        <v>105</v>
      </c>
      <c r="AD24" s="124" t="s">
        <v>372</v>
      </c>
      <c r="AE24" s="124" t="s">
        <v>373</v>
      </c>
      <c r="AF24" s="124" t="s">
        <v>197</v>
      </c>
      <c r="AG24" s="123">
        <v>3</v>
      </c>
      <c r="AH24" s="124" t="s">
        <v>90</v>
      </c>
      <c r="AI24" s="124" t="s">
        <v>374</v>
      </c>
      <c r="AJ24" s="124" t="s">
        <v>150</v>
      </c>
      <c r="AK24" s="124">
        <v>2</v>
      </c>
      <c r="AL24" s="124" t="s">
        <v>151</v>
      </c>
      <c r="AM24" s="124" t="s">
        <v>97</v>
      </c>
      <c r="AN24" s="124" t="s">
        <v>97</v>
      </c>
      <c r="AO24" s="124" t="s">
        <v>152</v>
      </c>
      <c r="AP24" s="124">
        <v>2</v>
      </c>
      <c r="AQ24" s="124" t="s">
        <v>155</v>
      </c>
      <c r="AR24" s="124" t="s">
        <v>119</v>
      </c>
      <c r="AS24" s="124" t="s">
        <v>114</v>
      </c>
      <c r="AT24" s="124" t="s">
        <v>120</v>
      </c>
      <c r="AU24" s="124" t="s">
        <v>116</v>
      </c>
      <c r="AV24" s="124" t="s">
        <v>375</v>
      </c>
      <c r="AW24" s="124">
        <v>2</v>
      </c>
      <c r="AX24" s="124" t="s">
        <v>184</v>
      </c>
      <c r="AY24" s="124" t="s">
        <v>113</v>
      </c>
      <c r="AZ24" s="124" t="s">
        <v>115</v>
      </c>
      <c r="BA24" s="124" t="s">
        <v>116</v>
      </c>
      <c r="BB24" s="124" t="s">
        <v>376</v>
      </c>
      <c r="BC24" s="124">
        <v>3</v>
      </c>
      <c r="BD24" s="124" t="s">
        <v>184</v>
      </c>
      <c r="BE24" s="124" t="s">
        <v>123</v>
      </c>
      <c r="BF24" s="124" t="s">
        <v>124</v>
      </c>
      <c r="BG24" s="124" t="s">
        <v>116</v>
      </c>
      <c r="BH24" s="124" t="s">
        <v>377</v>
      </c>
      <c r="BI24" s="124">
        <v>2</v>
      </c>
      <c r="BJ24" s="123">
        <v>0</v>
      </c>
      <c r="BK24" s="124" t="s">
        <v>387</v>
      </c>
      <c r="BL24" s="124" t="s">
        <v>240</v>
      </c>
      <c r="BN24" s="124">
        <v>0</v>
      </c>
      <c r="BO24" s="124">
        <v>1.1904800000000001E-3</v>
      </c>
      <c r="BP24" s="124">
        <v>2.3809999999999999E-3</v>
      </c>
      <c r="BQ24" s="124" t="s">
        <v>161</v>
      </c>
      <c r="BR24" s="124">
        <v>7</v>
      </c>
      <c r="BS24" s="124">
        <v>2.6822629999999998E-3</v>
      </c>
      <c r="BT24" s="124">
        <v>5.9523800000000002E-3</v>
      </c>
      <c r="BU24" s="124">
        <v>9.2219999999999993E-3</v>
      </c>
      <c r="BV24" s="124" t="s">
        <v>161</v>
      </c>
      <c r="BW24" s="124">
        <v>7</v>
      </c>
      <c r="BX24" s="124" t="s">
        <v>381</v>
      </c>
      <c r="BY24" s="82">
        <v>5.9523800000000002E-3</v>
      </c>
      <c r="BZ24" s="82">
        <v>9.2219999999999993E-3</v>
      </c>
      <c r="CA24">
        <v>1.1905199999999998E-3</v>
      </c>
      <c r="CB24">
        <v>3.2696199999999991E-3</v>
      </c>
      <c r="CC24" s="123" t="s">
        <v>3188</v>
      </c>
      <c r="CD24" s="124"/>
      <c r="CE24" s="124"/>
      <c r="CF24" s="123" t="s">
        <v>3189</v>
      </c>
      <c r="CG24" t="s">
        <v>3095</v>
      </c>
    </row>
    <row r="25" spans="1:85" ht="14.5">
      <c r="A25" s="128">
        <v>14</v>
      </c>
      <c r="B25" s="124" t="s">
        <v>365</v>
      </c>
      <c r="C25" s="124">
        <v>2017</v>
      </c>
      <c r="D25" s="124" t="s">
        <v>366</v>
      </c>
      <c r="E25" s="129">
        <v>44714</v>
      </c>
      <c r="F25" s="123" t="s">
        <v>90</v>
      </c>
      <c r="G25" s="124" t="s">
        <v>360</v>
      </c>
      <c r="H25" s="124" t="s">
        <v>367</v>
      </c>
      <c r="I25" s="124" t="s">
        <v>368</v>
      </c>
      <c r="J25" s="124" t="s">
        <v>369</v>
      </c>
      <c r="K25" s="124" t="s">
        <v>97</v>
      </c>
      <c r="L25" s="124" t="s">
        <v>137</v>
      </c>
      <c r="M25" s="124" t="s">
        <v>95</v>
      </c>
      <c r="N25" s="124" t="s">
        <v>370</v>
      </c>
      <c r="O25" s="124" t="s">
        <v>97</v>
      </c>
      <c r="P25" s="124" t="s">
        <v>97</v>
      </c>
      <c r="Q25" s="124" t="s">
        <v>367</v>
      </c>
      <c r="R25" s="124" t="s">
        <v>367</v>
      </c>
      <c r="S25" s="124" t="s">
        <v>90</v>
      </c>
      <c r="T25" s="117" t="s">
        <v>114</v>
      </c>
      <c r="U25" s="124" t="s">
        <v>191</v>
      </c>
      <c r="V25" s="124" t="s">
        <v>99</v>
      </c>
      <c r="W25" s="124" t="s">
        <v>367</v>
      </c>
      <c r="X25" s="123" t="s">
        <v>3083</v>
      </c>
      <c r="Y25" s="123" t="s">
        <v>3084</v>
      </c>
      <c r="Z25" s="124" t="s">
        <v>371</v>
      </c>
      <c r="AA25" s="123" t="s">
        <v>3102</v>
      </c>
      <c r="AB25" s="124" t="s">
        <v>319</v>
      </c>
      <c r="AC25" s="124" t="s">
        <v>105</v>
      </c>
      <c r="AD25" s="124" t="s">
        <v>372</v>
      </c>
      <c r="AE25" s="124" t="s">
        <v>373</v>
      </c>
      <c r="AF25" s="124" t="s">
        <v>197</v>
      </c>
      <c r="AG25" s="123">
        <v>3</v>
      </c>
      <c r="AH25" s="124" t="s">
        <v>90</v>
      </c>
      <c r="AI25" s="124" t="s">
        <v>374</v>
      </c>
      <c r="AJ25" s="124" t="s">
        <v>150</v>
      </c>
      <c r="AK25" s="124">
        <v>2</v>
      </c>
      <c r="AL25" s="124" t="s">
        <v>151</v>
      </c>
      <c r="AM25" s="124" t="s">
        <v>97</v>
      </c>
      <c r="AN25" s="124" t="s">
        <v>97</v>
      </c>
      <c r="AO25" s="124" t="s">
        <v>152</v>
      </c>
      <c r="AP25" s="124">
        <v>2</v>
      </c>
      <c r="AQ25" s="124" t="s">
        <v>155</v>
      </c>
      <c r="AR25" s="124" t="s">
        <v>119</v>
      </c>
      <c r="AS25" s="124" t="s">
        <v>114</v>
      </c>
      <c r="AT25" s="124" t="s">
        <v>120</v>
      </c>
      <c r="AU25" s="124" t="s">
        <v>116</v>
      </c>
      <c r="AV25" s="124" t="s">
        <v>375</v>
      </c>
      <c r="AW25" s="124">
        <v>2</v>
      </c>
      <c r="AX25" s="124" t="s">
        <v>184</v>
      </c>
      <c r="AY25" s="124" t="s">
        <v>113</v>
      </c>
      <c r="AZ25" s="124" t="s">
        <v>115</v>
      </c>
      <c r="BA25" s="124" t="s">
        <v>116</v>
      </c>
      <c r="BB25" s="124" t="s">
        <v>376</v>
      </c>
      <c r="BC25" s="124">
        <v>3</v>
      </c>
      <c r="BD25" s="124" t="s">
        <v>184</v>
      </c>
      <c r="BE25" s="124" t="s">
        <v>123</v>
      </c>
      <c r="BF25" s="124" t="s">
        <v>124</v>
      </c>
      <c r="BG25" s="124" t="s">
        <v>116</v>
      </c>
      <c r="BH25" s="124" t="s">
        <v>377</v>
      </c>
      <c r="BI25" s="124">
        <v>2</v>
      </c>
      <c r="BJ25" s="123">
        <v>0</v>
      </c>
      <c r="BK25" s="124" t="s">
        <v>388</v>
      </c>
      <c r="BL25" s="124" t="s">
        <v>240</v>
      </c>
      <c r="BN25" s="124">
        <v>2.5899999999999999E-3</v>
      </c>
      <c r="BO25" s="124">
        <v>4.4642900000000001E-3</v>
      </c>
      <c r="BP25" s="124">
        <v>6.3429999999999997E-3</v>
      </c>
      <c r="BQ25" s="124" t="s">
        <v>161</v>
      </c>
      <c r="BR25" s="124">
        <v>7</v>
      </c>
      <c r="BS25" s="124">
        <v>2.6822629999999998E-3</v>
      </c>
      <c r="BT25" s="124">
        <v>5.9523800000000002E-3</v>
      </c>
      <c r="BU25" s="124">
        <v>9.2219999999999993E-3</v>
      </c>
      <c r="BV25" s="124" t="s">
        <v>161</v>
      </c>
      <c r="BW25" s="124">
        <v>7</v>
      </c>
      <c r="BX25" s="124" t="s">
        <v>381</v>
      </c>
      <c r="BY25" s="82">
        <v>5.9523800000000002E-3</v>
      </c>
      <c r="BZ25" s="82">
        <v>9.2219999999999993E-3</v>
      </c>
      <c r="CA25">
        <v>1.8787099999999996E-3</v>
      </c>
      <c r="CB25">
        <v>3.2696199999999991E-3</v>
      </c>
      <c r="CC25" s="123" t="s">
        <v>3188</v>
      </c>
      <c r="CD25" s="124"/>
      <c r="CE25" s="124"/>
      <c r="CF25" s="123" t="s">
        <v>3189</v>
      </c>
      <c r="CG25" t="s">
        <v>3095</v>
      </c>
    </row>
    <row r="26" spans="1:85" ht="14.5">
      <c r="A26" s="128">
        <v>14</v>
      </c>
      <c r="B26" s="124" t="s">
        <v>365</v>
      </c>
      <c r="C26" s="124">
        <v>2017</v>
      </c>
      <c r="D26" s="124" t="s">
        <v>366</v>
      </c>
      <c r="E26" s="129">
        <v>44714</v>
      </c>
      <c r="F26" s="123" t="s">
        <v>90</v>
      </c>
      <c r="G26" s="124" t="s">
        <v>360</v>
      </c>
      <c r="H26" s="124" t="s">
        <v>367</v>
      </c>
      <c r="I26" s="124" t="s">
        <v>368</v>
      </c>
      <c r="J26" s="124" t="s">
        <v>369</v>
      </c>
      <c r="K26" s="124" t="s">
        <v>97</v>
      </c>
      <c r="L26" s="124" t="s">
        <v>137</v>
      </c>
      <c r="M26" s="124" t="s">
        <v>95</v>
      </c>
      <c r="N26" s="124" t="s">
        <v>370</v>
      </c>
      <c r="O26" s="124" t="s">
        <v>97</v>
      </c>
      <c r="P26" s="124" t="s">
        <v>97</v>
      </c>
      <c r="Q26" s="124" t="s">
        <v>367</v>
      </c>
      <c r="R26" s="124" t="s">
        <v>367</v>
      </c>
      <c r="S26" s="124" t="s">
        <v>90</v>
      </c>
      <c r="T26" s="117" t="s">
        <v>114</v>
      </c>
      <c r="U26" s="124" t="s">
        <v>191</v>
      </c>
      <c r="V26" s="124" t="s">
        <v>99</v>
      </c>
      <c r="W26" s="124" t="s">
        <v>367</v>
      </c>
      <c r="X26" s="123" t="s">
        <v>3083</v>
      </c>
      <c r="Y26" s="123" t="s">
        <v>3084</v>
      </c>
      <c r="Z26" s="124" t="s">
        <v>371</v>
      </c>
      <c r="AA26" s="123" t="s">
        <v>3102</v>
      </c>
      <c r="AB26" s="124" t="s">
        <v>319</v>
      </c>
      <c r="AC26" s="124" t="s">
        <v>105</v>
      </c>
      <c r="AD26" s="124" t="s">
        <v>372</v>
      </c>
      <c r="AE26" s="124" t="s">
        <v>373</v>
      </c>
      <c r="AF26" s="124" t="s">
        <v>197</v>
      </c>
      <c r="AG26" s="123">
        <v>3</v>
      </c>
      <c r="AH26" s="124" t="s">
        <v>90</v>
      </c>
      <c r="AI26" s="124" t="s">
        <v>374</v>
      </c>
      <c r="AJ26" s="124" t="s">
        <v>150</v>
      </c>
      <c r="AK26" s="124">
        <v>2</v>
      </c>
      <c r="AL26" s="124" t="s">
        <v>151</v>
      </c>
      <c r="AM26" s="124" t="s">
        <v>97</v>
      </c>
      <c r="AN26" s="124" t="s">
        <v>97</v>
      </c>
      <c r="AO26" s="124" t="s">
        <v>152</v>
      </c>
      <c r="AP26" s="124">
        <v>2</v>
      </c>
      <c r="AQ26" s="124" t="s">
        <v>155</v>
      </c>
      <c r="AR26" s="124" t="s">
        <v>119</v>
      </c>
      <c r="AS26" s="124" t="s">
        <v>114</v>
      </c>
      <c r="AT26" s="124" t="s">
        <v>120</v>
      </c>
      <c r="AU26" s="124" t="s">
        <v>116</v>
      </c>
      <c r="AV26" s="124" t="s">
        <v>375</v>
      </c>
      <c r="AW26" s="124">
        <v>2</v>
      </c>
      <c r="AX26" s="124" t="s">
        <v>184</v>
      </c>
      <c r="AY26" s="124" t="s">
        <v>113</v>
      </c>
      <c r="AZ26" s="124" t="s">
        <v>115</v>
      </c>
      <c r="BA26" s="124" t="s">
        <v>116</v>
      </c>
      <c r="BB26" s="124" t="s">
        <v>376</v>
      </c>
      <c r="BC26" s="124">
        <v>3</v>
      </c>
      <c r="BD26" s="124" t="s">
        <v>184</v>
      </c>
      <c r="BE26" s="124" t="s">
        <v>123</v>
      </c>
      <c r="BF26" s="124" t="s">
        <v>124</v>
      </c>
      <c r="BG26" s="124" t="s">
        <v>116</v>
      </c>
      <c r="BH26" s="124" t="s">
        <v>377</v>
      </c>
      <c r="BI26" s="124">
        <v>2</v>
      </c>
      <c r="BJ26" s="123">
        <v>0</v>
      </c>
      <c r="BK26" s="124" t="s">
        <v>389</v>
      </c>
      <c r="BL26" s="124" t="s">
        <v>240</v>
      </c>
      <c r="BN26" s="124">
        <v>4.8000000000000001E-4</v>
      </c>
      <c r="BO26" s="124">
        <v>1.4285700000000001E-3</v>
      </c>
      <c r="BP26" s="124">
        <v>2.3809999999999999E-3</v>
      </c>
      <c r="BQ26" s="124" t="s">
        <v>161</v>
      </c>
      <c r="BR26" s="124">
        <v>7</v>
      </c>
      <c r="BS26" s="124">
        <v>2.6822629999999998E-3</v>
      </c>
      <c r="BT26" s="124">
        <v>5.9523800000000002E-3</v>
      </c>
      <c r="BU26" s="124">
        <v>9.2219999999999993E-3</v>
      </c>
      <c r="BV26" s="124" t="s">
        <v>161</v>
      </c>
      <c r="BW26" s="124">
        <v>7</v>
      </c>
      <c r="BX26" s="124" t="s">
        <v>381</v>
      </c>
      <c r="BY26" s="82">
        <v>5.9523800000000002E-3</v>
      </c>
      <c r="BZ26" s="82">
        <v>9.2219999999999993E-3</v>
      </c>
      <c r="CA26">
        <v>9.5242999999999977E-4</v>
      </c>
      <c r="CB26">
        <v>3.2696199999999991E-3</v>
      </c>
      <c r="CC26" s="123" t="s">
        <v>3188</v>
      </c>
      <c r="CD26" s="124"/>
      <c r="CE26" s="124"/>
      <c r="CF26" s="123" t="s">
        <v>3189</v>
      </c>
      <c r="CG26" t="s">
        <v>3095</v>
      </c>
    </row>
    <row r="27" spans="1:85" ht="14.5">
      <c r="A27" s="128">
        <v>14</v>
      </c>
      <c r="B27" s="124" t="s">
        <v>365</v>
      </c>
      <c r="C27" s="124">
        <v>2017</v>
      </c>
      <c r="D27" s="124" t="s">
        <v>366</v>
      </c>
      <c r="E27" s="129">
        <v>44714</v>
      </c>
      <c r="F27" s="123" t="s">
        <v>90</v>
      </c>
      <c r="G27" s="124" t="s">
        <v>360</v>
      </c>
      <c r="H27" s="124" t="s">
        <v>367</v>
      </c>
      <c r="I27" s="124" t="s">
        <v>368</v>
      </c>
      <c r="J27" s="124" t="s">
        <v>369</v>
      </c>
      <c r="K27" s="124" t="s">
        <v>97</v>
      </c>
      <c r="L27" s="124" t="s">
        <v>137</v>
      </c>
      <c r="M27" s="124" t="s">
        <v>95</v>
      </c>
      <c r="N27" s="124" t="s">
        <v>370</v>
      </c>
      <c r="O27" s="124" t="s">
        <v>97</v>
      </c>
      <c r="P27" s="124" t="s">
        <v>97</v>
      </c>
      <c r="Q27" s="124" t="s">
        <v>367</v>
      </c>
      <c r="R27" s="124" t="s">
        <v>367</v>
      </c>
      <c r="S27" s="124" t="s">
        <v>90</v>
      </c>
      <c r="T27" s="117" t="s">
        <v>114</v>
      </c>
      <c r="U27" s="124" t="s">
        <v>191</v>
      </c>
      <c r="V27" s="124" t="s">
        <v>99</v>
      </c>
      <c r="W27" s="124" t="s">
        <v>367</v>
      </c>
      <c r="X27" s="123" t="s">
        <v>3083</v>
      </c>
      <c r="Y27" s="123" t="s">
        <v>3084</v>
      </c>
      <c r="Z27" s="124" t="s">
        <v>371</v>
      </c>
      <c r="AA27" s="123" t="s">
        <v>3102</v>
      </c>
      <c r="AB27" s="124" t="s">
        <v>319</v>
      </c>
      <c r="AC27" s="124" t="s">
        <v>105</v>
      </c>
      <c r="AD27" s="124" t="s">
        <v>372</v>
      </c>
      <c r="AE27" s="124" t="s">
        <v>373</v>
      </c>
      <c r="AF27" s="124" t="s">
        <v>197</v>
      </c>
      <c r="AG27" s="123">
        <v>3</v>
      </c>
      <c r="AH27" s="124" t="s">
        <v>90</v>
      </c>
      <c r="AI27" s="124" t="s">
        <v>374</v>
      </c>
      <c r="AJ27" s="124" t="s">
        <v>150</v>
      </c>
      <c r="AK27" s="124">
        <v>2</v>
      </c>
      <c r="AL27" s="124" t="s">
        <v>151</v>
      </c>
      <c r="AM27" s="124" t="s">
        <v>97</v>
      </c>
      <c r="AN27" s="124" t="s">
        <v>97</v>
      </c>
      <c r="AO27" s="124" t="s">
        <v>152</v>
      </c>
      <c r="AP27" s="124">
        <v>2</v>
      </c>
      <c r="AQ27" s="124" t="s">
        <v>155</v>
      </c>
      <c r="AR27" s="124" t="s">
        <v>119</v>
      </c>
      <c r="AS27" s="124" t="s">
        <v>114</v>
      </c>
      <c r="AT27" s="124" t="s">
        <v>120</v>
      </c>
      <c r="AU27" s="124" t="s">
        <v>116</v>
      </c>
      <c r="AV27" s="124" t="s">
        <v>375</v>
      </c>
      <c r="AW27" s="124">
        <v>2</v>
      </c>
      <c r="AX27" s="124" t="s">
        <v>184</v>
      </c>
      <c r="AY27" s="124" t="s">
        <v>113</v>
      </c>
      <c r="AZ27" s="124" t="s">
        <v>115</v>
      </c>
      <c r="BA27" s="124" t="s">
        <v>116</v>
      </c>
      <c r="BB27" s="124" t="s">
        <v>376</v>
      </c>
      <c r="BC27" s="124">
        <v>3</v>
      </c>
      <c r="BD27" s="124" t="s">
        <v>184</v>
      </c>
      <c r="BE27" s="124" t="s">
        <v>123</v>
      </c>
      <c r="BF27" s="124" t="s">
        <v>124</v>
      </c>
      <c r="BG27" s="124" t="s">
        <v>116</v>
      </c>
      <c r="BH27" s="124" t="s">
        <v>377</v>
      </c>
      <c r="BI27" s="124">
        <v>2</v>
      </c>
      <c r="BJ27" s="123">
        <v>0</v>
      </c>
      <c r="BK27" s="124" t="s">
        <v>390</v>
      </c>
      <c r="BL27" s="124" t="s">
        <v>240</v>
      </c>
      <c r="BN27" s="124">
        <v>1.7680000000000001E-2</v>
      </c>
      <c r="BO27" s="124">
        <v>6.1038960000000003E-2</v>
      </c>
      <c r="BP27" s="124">
        <v>0.104398</v>
      </c>
      <c r="BQ27" s="124" t="s">
        <v>161</v>
      </c>
      <c r="BR27" s="124">
        <v>7</v>
      </c>
      <c r="BS27" s="124">
        <v>2.3642300000000002E-3</v>
      </c>
      <c r="BT27" s="124">
        <v>5.4545499999999998E-3</v>
      </c>
      <c r="BU27" s="124">
        <v>8.5450000000000005E-3</v>
      </c>
      <c r="BV27" s="124" t="s">
        <v>161</v>
      </c>
      <c r="BW27" s="124">
        <v>7</v>
      </c>
      <c r="BX27" s="124" t="s">
        <v>381</v>
      </c>
      <c r="BY27" s="82">
        <v>5.4545499999999998E-3</v>
      </c>
      <c r="BZ27" s="82">
        <v>8.5450000000000005E-3</v>
      </c>
      <c r="CA27">
        <v>4.3359040000000001E-2</v>
      </c>
      <c r="CB27">
        <v>3.0904500000000007E-3</v>
      </c>
      <c r="CC27" s="123" t="s">
        <v>3188</v>
      </c>
      <c r="CD27" s="124"/>
      <c r="CE27" s="124"/>
      <c r="CF27" s="123" t="s">
        <v>3189</v>
      </c>
      <c r="CG27" t="s">
        <v>3095</v>
      </c>
    </row>
    <row r="28" spans="1:85" ht="14.5">
      <c r="A28" s="128">
        <v>14</v>
      </c>
      <c r="B28" s="124" t="s">
        <v>365</v>
      </c>
      <c r="C28" s="124">
        <v>2017</v>
      </c>
      <c r="D28" s="124" t="s">
        <v>366</v>
      </c>
      <c r="E28" s="129">
        <v>44714</v>
      </c>
      <c r="F28" s="123" t="s">
        <v>90</v>
      </c>
      <c r="G28" s="124" t="s">
        <v>360</v>
      </c>
      <c r="H28" s="124" t="s">
        <v>367</v>
      </c>
      <c r="I28" s="124" t="s">
        <v>368</v>
      </c>
      <c r="J28" s="124" t="s">
        <v>369</v>
      </c>
      <c r="K28" s="124" t="s">
        <v>97</v>
      </c>
      <c r="L28" s="124" t="s">
        <v>137</v>
      </c>
      <c r="M28" s="124" t="s">
        <v>95</v>
      </c>
      <c r="N28" s="124" t="s">
        <v>370</v>
      </c>
      <c r="O28" s="124" t="s">
        <v>97</v>
      </c>
      <c r="P28" s="124" t="s">
        <v>97</v>
      </c>
      <c r="Q28" s="124" t="s">
        <v>367</v>
      </c>
      <c r="R28" s="124" t="s">
        <v>367</v>
      </c>
      <c r="S28" s="124" t="s">
        <v>90</v>
      </c>
      <c r="T28" s="117" t="s">
        <v>114</v>
      </c>
      <c r="U28" s="124" t="s">
        <v>191</v>
      </c>
      <c r="V28" s="124" t="s">
        <v>99</v>
      </c>
      <c r="W28" s="124" t="s">
        <v>367</v>
      </c>
      <c r="X28" s="123" t="s">
        <v>3083</v>
      </c>
      <c r="Y28" s="123" t="s">
        <v>3084</v>
      </c>
      <c r="Z28" s="124" t="s">
        <v>371</v>
      </c>
      <c r="AA28" s="123" t="s">
        <v>3102</v>
      </c>
      <c r="AB28" s="124" t="s">
        <v>319</v>
      </c>
      <c r="AC28" s="124" t="s">
        <v>105</v>
      </c>
      <c r="AD28" s="124" t="s">
        <v>372</v>
      </c>
      <c r="AE28" s="124" t="s">
        <v>373</v>
      </c>
      <c r="AF28" s="124" t="s">
        <v>197</v>
      </c>
      <c r="AG28" s="123">
        <v>3</v>
      </c>
      <c r="AH28" s="124" t="s">
        <v>90</v>
      </c>
      <c r="AI28" s="124" t="s">
        <v>374</v>
      </c>
      <c r="AJ28" s="124" t="s">
        <v>150</v>
      </c>
      <c r="AK28" s="124">
        <v>2</v>
      </c>
      <c r="AL28" s="124" t="s">
        <v>151</v>
      </c>
      <c r="AM28" s="124" t="s">
        <v>97</v>
      </c>
      <c r="AN28" s="124" t="s">
        <v>97</v>
      </c>
      <c r="AO28" s="124" t="s">
        <v>152</v>
      </c>
      <c r="AP28" s="124">
        <v>2</v>
      </c>
      <c r="AQ28" s="124" t="s">
        <v>155</v>
      </c>
      <c r="AR28" s="124" t="s">
        <v>119</v>
      </c>
      <c r="AS28" s="124" t="s">
        <v>114</v>
      </c>
      <c r="AT28" s="124" t="s">
        <v>120</v>
      </c>
      <c r="AU28" s="124" t="s">
        <v>116</v>
      </c>
      <c r="AV28" s="124" t="s">
        <v>375</v>
      </c>
      <c r="AW28" s="124">
        <v>2</v>
      </c>
      <c r="AX28" s="124" t="s">
        <v>184</v>
      </c>
      <c r="AY28" s="124" t="s">
        <v>113</v>
      </c>
      <c r="AZ28" s="124" t="s">
        <v>115</v>
      </c>
      <c r="BA28" s="124" t="s">
        <v>116</v>
      </c>
      <c r="BB28" s="124" t="s">
        <v>376</v>
      </c>
      <c r="BC28" s="124">
        <v>3</v>
      </c>
      <c r="BD28" s="124" t="s">
        <v>184</v>
      </c>
      <c r="BE28" s="124" t="s">
        <v>123</v>
      </c>
      <c r="BF28" s="124" t="s">
        <v>124</v>
      </c>
      <c r="BG28" s="124" t="s">
        <v>116</v>
      </c>
      <c r="BH28" s="124" t="s">
        <v>377</v>
      </c>
      <c r="BI28" s="124">
        <v>2</v>
      </c>
      <c r="BJ28" s="123">
        <v>0</v>
      </c>
      <c r="BK28" s="124" t="s">
        <v>391</v>
      </c>
      <c r="BL28" s="124" t="s">
        <v>240</v>
      </c>
      <c r="BN28" s="124">
        <v>1.6559999999999998E-2</v>
      </c>
      <c r="BO28" s="124">
        <v>2.4675329999999999E-2</v>
      </c>
      <c r="BP28" s="124">
        <v>3.2786000000000003E-2</v>
      </c>
      <c r="BQ28" s="124" t="s">
        <v>161</v>
      </c>
      <c r="BR28" s="124">
        <v>7</v>
      </c>
      <c r="BS28" s="124">
        <v>2.3642300000000002E-3</v>
      </c>
      <c r="BT28" s="124">
        <v>5.4545499999999998E-3</v>
      </c>
      <c r="BU28" s="124">
        <v>8.5450000000000005E-3</v>
      </c>
      <c r="BV28" s="124" t="s">
        <v>161</v>
      </c>
      <c r="BW28" s="124">
        <v>7</v>
      </c>
      <c r="BX28" s="124" t="s">
        <v>381</v>
      </c>
      <c r="BY28" s="82">
        <v>5.4545499999999998E-3</v>
      </c>
      <c r="BZ28" s="82">
        <v>8.5450000000000005E-3</v>
      </c>
      <c r="CA28">
        <v>8.1106700000000038E-3</v>
      </c>
      <c r="CB28">
        <v>3.0904500000000007E-3</v>
      </c>
      <c r="CC28" s="123" t="s">
        <v>3188</v>
      </c>
      <c r="CD28" s="124"/>
      <c r="CE28" s="124"/>
      <c r="CF28" s="123" t="s">
        <v>3189</v>
      </c>
      <c r="CG28" t="s">
        <v>3095</v>
      </c>
    </row>
    <row r="29" spans="1:85" ht="14.5">
      <c r="A29" s="128">
        <v>14</v>
      </c>
      <c r="B29" s="124" t="s">
        <v>365</v>
      </c>
      <c r="C29" s="124">
        <v>2017</v>
      </c>
      <c r="D29" s="124" t="s">
        <v>366</v>
      </c>
      <c r="E29" s="129">
        <v>44714</v>
      </c>
      <c r="F29" s="123" t="s">
        <v>90</v>
      </c>
      <c r="G29" s="124" t="s">
        <v>360</v>
      </c>
      <c r="H29" s="124" t="s">
        <v>367</v>
      </c>
      <c r="I29" s="124" t="s">
        <v>368</v>
      </c>
      <c r="J29" s="124" t="s">
        <v>369</v>
      </c>
      <c r="K29" s="124" t="s">
        <v>97</v>
      </c>
      <c r="L29" s="124" t="s">
        <v>137</v>
      </c>
      <c r="M29" s="124" t="s">
        <v>95</v>
      </c>
      <c r="N29" s="124" t="s">
        <v>370</v>
      </c>
      <c r="O29" s="124" t="s">
        <v>97</v>
      </c>
      <c r="P29" s="124" t="s">
        <v>97</v>
      </c>
      <c r="Q29" s="124" t="s">
        <v>367</v>
      </c>
      <c r="R29" s="124" t="s">
        <v>367</v>
      </c>
      <c r="S29" s="124" t="s">
        <v>90</v>
      </c>
      <c r="T29" s="117" t="s">
        <v>114</v>
      </c>
      <c r="U29" s="124" t="s">
        <v>191</v>
      </c>
      <c r="V29" s="124" t="s">
        <v>99</v>
      </c>
      <c r="W29" s="124" t="s">
        <v>367</v>
      </c>
      <c r="X29" s="123" t="s">
        <v>3083</v>
      </c>
      <c r="Y29" s="123" t="s">
        <v>3084</v>
      </c>
      <c r="Z29" s="124" t="s">
        <v>371</v>
      </c>
      <c r="AA29" s="123" t="s">
        <v>3102</v>
      </c>
      <c r="AB29" s="124" t="s">
        <v>319</v>
      </c>
      <c r="AC29" s="124" t="s">
        <v>105</v>
      </c>
      <c r="AD29" s="124" t="s">
        <v>372</v>
      </c>
      <c r="AE29" s="124" t="s">
        <v>373</v>
      </c>
      <c r="AF29" s="124" t="s">
        <v>197</v>
      </c>
      <c r="AG29" s="123">
        <v>3</v>
      </c>
      <c r="AH29" s="124" t="s">
        <v>90</v>
      </c>
      <c r="AI29" s="124" t="s">
        <v>374</v>
      </c>
      <c r="AJ29" s="124" t="s">
        <v>150</v>
      </c>
      <c r="AK29" s="124">
        <v>2</v>
      </c>
      <c r="AL29" s="124" t="s">
        <v>151</v>
      </c>
      <c r="AM29" s="124" t="s">
        <v>97</v>
      </c>
      <c r="AN29" s="124" t="s">
        <v>97</v>
      </c>
      <c r="AO29" s="124" t="s">
        <v>152</v>
      </c>
      <c r="AP29" s="124">
        <v>2</v>
      </c>
      <c r="AQ29" s="124" t="s">
        <v>155</v>
      </c>
      <c r="AR29" s="124" t="s">
        <v>119</v>
      </c>
      <c r="AS29" s="124" t="s">
        <v>114</v>
      </c>
      <c r="AT29" s="124" t="s">
        <v>120</v>
      </c>
      <c r="AU29" s="124" t="s">
        <v>116</v>
      </c>
      <c r="AV29" s="124" t="s">
        <v>375</v>
      </c>
      <c r="AW29" s="124">
        <v>2</v>
      </c>
      <c r="AX29" s="124" t="s">
        <v>184</v>
      </c>
      <c r="AY29" s="124" t="s">
        <v>113</v>
      </c>
      <c r="AZ29" s="124" t="s">
        <v>115</v>
      </c>
      <c r="BA29" s="124" t="s">
        <v>116</v>
      </c>
      <c r="BB29" s="124" t="s">
        <v>376</v>
      </c>
      <c r="BC29" s="124">
        <v>3</v>
      </c>
      <c r="BD29" s="124" t="s">
        <v>184</v>
      </c>
      <c r="BE29" s="124" t="s">
        <v>123</v>
      </c>
      <c r="BF29" s="124" t="s">
        <v>124</v>
      </c>
      <c r="BG29" s="124" t="s">
        <v>116</v>
      </c>
      <c r="BH29" s="124" t="s">
        <v>377</v>
      </c>
      <c r="BI29" s="124">
        <v>2</v>
      </c>
      <c r="BJ29" s="123">
        <v>0</v>
      </c>
      <c r="BK29" s="124" t="s">
        <v>392</v>
      </c>
      <c r="BL29" s="124" t="s">
        <v>240</v>
      </c>
      <c r="BN29" s="124">
        <v>2.1940000000000001E-2</v>
      </c>
      <c r="BO29" s="124">
        <v>4.4155840000000002E-2</v>
      </c>
      <c r="BP29" s="124">
        <v>6.6373000000000001E-2</v>
      </c>
      <c r="BQ29" s="124" t="s">
        <v>393</v>
      </c>
      <c r="BR29" s="124">
        <v>7</v>
      </c>
      <c r="BS29" s="124">
        <v>2.3642300000000002E-3</v>
      </c>
      <c r="BT29" s="124">
        <v>5.4545499999999998E-3</v>
      </c>
      <c r="BU29" s="124">
        <v>8.5450000000000005E-3</v>
      </c>
      <c r="BV29" s="124" t="s">
        <v>161</v>
      </c>
      <c r="BW29" s="124">
        <v>7</v>
      </c>
      <c r="BX29" s="124" t="s">
        <v>381</v>
      </c>
      <c r="BY29" s="82">
        <v>5.4545499999999998E-3</v>
      </c>
      <c r="BZ29" s="82">
        <v>8.5450000000000005E-3</v>
      </c>
      <c r="CA29">
        <v>2.221716E-2</v>
      </c>
      <c r="CB29">
        <v>3.0904500000000007E-3</v>
      </c>
      <c r="CC29" s="123" t="s">
        <v>3188</v>
      </c>
      <c r="CD29" s="124"/>
      <c r="CE29" s="124"/>
      <c r="CF29" s="123" t="s">
        <v>3189</v>
      </c>
      <c r="CG29" t="s">
        <v>3095</v>
      </c>
    </row>
    <row r="30" spans="1:85" ht="14.5">
      <c r="A30" s="128">
        <v>14</v>
      </c>
      <c r="B30" s="124" t="s">
        <v>365</v>
      </c>
      <c r="C30" s="124">
        <v>2017</v>
      </c>
      <c r="D30" s="124" t="s">
        <v>366</v>
      </c>
      <c r="E30" s="129">
        <v>44714</v>
      </c>
      <c r="F30" s="123" t="s">
        <v>90</v>
      </c>
      <c r="G30" s="124" t="s">
        <v>360</v>
      </c>
      <c r="H30" s="124" t="s">
        <v>367</v>
      </c>
      <c r="I30" s="124" t="s">
        <v>368</v>
      </c>
      <c r="J30" s="124" t="s">
        <v>369</v>
      </c>
      <c r="K30" s="124" t="s">
        <v>97</v>
      </c>
      <c r="L30" s="124" t="s">
        <v>137</v>
      </c>
      <c r="M30" s="124" t="s">
        <v>95</v>
      </c>
      <c r="N30" s="124" t="s">
        <v>370</v>
      </c>
      <c r="O30" s="124" t="s">
        <v>97</v>
      </c>
      <c r="P30" s="124" t="s">
        <v>97</v>
      </c>
      <c r="Q30" s="124" t="s">
        <v>367</v>
      </c>
      <c r="R30" s="124" t="s">
        <v>367</v>
      </c>
      <c r="S30" s="124" t="s">
        <v>90</v>
      </c>
      <c r="T30" s="117" t="s">
        <v>114</v>
      </c>
      <c r="U30" s="124" t="s">
        <v>191</v>
      </c>
      <c r="V30" s="124" t="s">
        <v>99</v>
      </c>
      <c r="W30" s="124" t="s">
        <v>367</v>
      </c>
      <c r="X30" s="123" t="s">
        <v>3083</v>
      </c>
      <c r="Y30" s="123" t="s">
        <v>3084</v>
      </c>
      <c r="Z30" s="124" t="s">
        <v>371</v>
      </c>
      <c r="AA30" s="123" t="s">
        <v>3102</v>
      </c>
      <c r="AB30" s="124" t="s">
        <v>319</v>
      </c>
      <c r="AC30" s="124" t="s">
        <v>105</v>
      </c>
      <c r="AD30" s="124" t="s">
        <v>372</v>
      </c>
      <c r="AE30" s="124" t="s">
        <v>373</v>
      </c>
      <c r="AF30" s="124" t="s">
        <v>197</v>
      </c>
      <c r="AG30" s="123">
        <v>3</v>
      </c>
      <c r="AH30" s="124" t="s">
        <v>90</v>
      </c>
      <c r="AI30" s="124" t="s">
        <v>374</v>
      </c>
      <c r="AJ30" s="124" t="s">
        <v>150</v>
      </c>
      <c r="AK30" s="124">
        <v>2</v>
      </c>
      <c r="AL30" s="124" t="s">
        <v>151</v>
      </c>
      <c r="AM30" s="124" t="s">
        <v>97</v>
      </c>
      <c r="AN30" s="124" t="s">
        <v>97</v>
      </c>
      <c r="AO30" s="124" t="s">
        <v>152</v>
      </c>
      <c r="AP30" s="124">
        <v>2</v>
      </c>
      <c r="AQ30" s="124" t="s">
        <v>155</v>
      </c>
      <c r="AR30" s="124" t="s">
        <v>119</v>
      </c>
      <c r="AS30" s="124" t="s">
        <v>114</v>
      </c>
      <c r="AT30" s="124" t="s">
        <v>120</v>
      </c>
      <c r="AU30" s="124" t="s">
        <v>116</v>
      </c>
      <c r="AV30" s="124" t="s">
        <v>375</v>
      </c>
      <c r="AW30" s="124">
        <v>2</v>
      </c>
      <c r="AX30" s="124" t="s">
        <v>184</v>
      </c>
      <c r="AY30" s="124" t="s">
        <v>113</v>
      </c>
      <c r="AZ30" s="124" t="s">
        <v>115</v>
      </c>
      <c r="BA30" s="124" t="s">
        <v>116</v>
      </c>
      <c r="BB30" s="124" t="s">
        <v>376</v>
      </c>
      <c r="BC30" s="124">
        <v>3</v>
      </c>
      <c r="BD30" s="124" t="s">
        <v>184</v>
      </c>
      <c r="BE30" s="124" t="s">
        <v>123</v>
      </c>
      <c r="BF30" s="124" t="s">
        <v>124</v>
      </c>
      <c r="BG30" s="124" t="s">
        <v>116</v>
      </c>
      <c r="BH30" s="124" t="s">
        <v>377</v>
      </c>
      <c r="BI30" s="124">
        <v>2</v>
      </c>
      <c r="BJ30" s="123">
        <v>0</v>
      </c>
      <c r="BK30" s="124" t="s">
        <v>394</v>
      </c>
      <c r="BL30" s="124" t="s">
        <v>240</v>
      </c>
      <c r="BN30" s="124">
        <v>1.98E-3</v>
      </c>
      <c r="BO30" s="124">
        <v>6.0606100000000001E-3</v>
      </c>
      <c r="BP30" s="124">
        <v>1.014E-2</v>
      </c>
      <c r="BQ30" s="124" t="s">
        <v>161</v>
      </c>
      <c r="BR30" s="124">
        <v>7</v>
      </c>
      <c r="BS30" s="124">
        <v>2.3642300000000002E-3</v>
      </c>
      <c r="BT30" s="124">
        <v>5.4545499999999998E-3</v>
      </c>
      <c r="BU30" s="124">
        <v>8.5450000000000005E-3</v>
      </c>
      <c r="BV30" s="124" t="s">
        <v>161</v>
      </c>
      <c r="BW30" s="124">
        <v>7</v>
      </c>
      <c r="BX30" s="124" t="s">
        <v>381</v>
      </c>
      <c r="BY30" s="82">
        <v>5.4545499999999998E-3</v>
      </c>
      <c r="BZ30" s="82">
        <v>8.5450000000000005E-3</v>
      </c>
      <c r="CA30">
        <v>4.0793899999999996E-3</v>
      </c>
      <c r="CB30">
        <v>3.0904500000000007E-3</v>
      </c>
      <c r="CC30" s="123" t="s">
        <v>3188</v>
      </c>
      <c r="CD30" s="124"/>
      <c r="CE30" s="124"/>
      <c r="CF30" s="123" t="s">
        <v>3189</v>
      </c>
      <c r="CG30" t="s">
        <v>3095</v>
      </c>
    </row>
    <row r="31" spans="1:85" ht="14.5">
      <c r="A31" s="128">
        <v>14</v>
      </c>
      <c r="B31" s="124" t="s">
        <v>365</v>
      </c>
      <c r="C31" s="124">
        <v>2017</v>
      </c>
      <c r="D31" s="124" t="s">
        <v>366</v>
      </c>
      <c r="E31" s="129">
        <v>44714</v>
      </c>
      <c r="F31" s="123" t="s">
        <v>90</v>
      </c>
      <c r="G31" s="124" t="s">
        <v>360</v>
      </c>
      <c r="H31" s="124" t="s">
        <v>367</v>
      </c>
      <c r="I31" s="124" t="s">
        <v>368</v>
      </c>
      <c r="J31" s="124" t="s">
        <v>369</v>
      </c>
      <c r="K31" s="124" t="s">
        <v>97</v>
      </c>
      <c r="L31" s="124" t="s">
        <v>137</v>
      </c>
      <c r="M31" s="124" t="s">
        <v>95</v>
      </c>
      <c r="N31" s="124" t="s">
        <v>370</v>
      </c>
      <c r="O31" s="124" t="s">
        <v>97</v>
      </c>
      <c r="P31" s="124" t="s">
        <v>97</v>
      </c>
      <c r="Q31" s="124" t="s">
        <v>367</v>
      </c>
      <c r="R31" s="124" t="s">
        <v>367</v>
      </c>
      <c r="S31" s="124" t="s">
        <v>90</v>
      </c>
      <c r="T31" s="117" t="s">
        <v>114</v>
      </c>
      <c r="U31" s="124" t="s">
        <v>191</v>
      </c>
      <c r="V31" s="124" t="s">
        <v>99</v>
      </c>
      <c r="W31" s="124" t="s">
        <v>367</v>
      </c>
      <c r="X31" s="123" t="s">
        <v>3083</v>
      </c>
      <c r="Y31" s="123" t="s">
        <v>3084</v>
      </c>
      <c r="Z31" s="124" t="s">
        <v>371</v>
      </c>
      <c r="AA31" s="123" t="s">
        <v>3102</v>
      </c>
      <c r="AB31" s="124" t="s">
        <v>319</v>
      </c>
      <c r="AC31" s="124" t="s">
        <v>105</v>
      </c>
      <c r="AD31" s="124" t="s">
        <v>372</v>
      </c>
      <c r="AE31" s="124" t="s">
        <v>373</v>
      </c>
      <c r="AF31" s="124" t="s">
        <v>197</v>
      </c>
      <c r="AG31" s="123">
        <v>3</v>
      </c>
      <c r="AH31" s="124" t="s">
        <v>90</v>
      </c>
      <c r="AI31" s="124" t="s">
        <v>374</v>
      </c>
      <c r="AJ31" s="124" t="s">
        <v>150</v>
      </c>
      <c r="AK31" s="124">
        <v>2</v>
      </c>
      <c r="AL31" s="124" t="s">
        <v>151</v>
      </c>
      <c r="AM31" s="124" t="s">
        <v>97</v>
      </c>
      <c r="AN31" s="124" t="s">
        <v>97</v>
      </c>
      <c r="AO31" s="124" t="s">
        <v>152</v>
      </c>
      <c r="AP31" s="124">
        <v>2</v>
      </c>
      <c r="AQ31" s="124" t="s">
        <v>155</v>
      </c>
      <c r="AR31" s="124" t="s">
        <v>119</v>
      </c>
      <c r="AS31" s="124" t="s">
        <v>114</v>
      </c>
      <c r="AT31" s="124" t="s">
        <v>120</v>
      </c>
      <c r="AU31" s="124" t="s">
        <v>116</v>
      </c>
      <c r="AV31" s="124" t="s">
        <v>375</v>
      </c>
      <c r="AW31" s="124">
        <v>2</v>
      </c>
      <c r="AX31" s="124" t="s">
        <v>184</v>
      </c>
      <c r="AY31" s="124" t="s">
        <v>113</v>
      </c>
      <c r="AZ31" s="124" t="s">
        <v>115</v>
      </c>
      <c r="BA31" s="124" t="s">
        <v>116</v>
      </c>
      <c r="BB31" s="124" t="s">
        <v>376</v>
      </c>
      <c r="BC31" s="124">
        <v>3</v>
      </c>
      <c r="BD31" s="124" t="s">
        <v>184</v>
      </c>
      <c r="BE31" s="124" t="s">
        <v>123</v>
      </c>
      <c r="BF31" s="124" t="s">
        <v>124</v>
      </c>
      <c r="BG31" s="124" t="s">
        <v>116</v>
      </c>
      <c r="BH31" s="124" t="s">
        <v>377</v>
      </c>
      <c r="BI31" s="124">
        <v>2</v>
      </c>
      <c r="BJ31" s="123">
        <v>0</v>
      </c>
      <c r="BK31" s="124" t="s">
        <v>395</v>
      </c>
      <c r="BL31" s="124" t="s">
        <v>240</v>
      </c>
      <c r="BN31" s="124">
        <v>4.1169999999999998E-2</v>
      </c>
      <c r="BO31" s="124">
        <v>5.6818180000000003E-2</v>
      </c>
      <c r="BP31" s="124">
        <v>7.2470000000000007E-2</v>
      </c>
      <c r="BQ31" s="124" t="s">
        <v>161</v>
      </c>
      <c r="BR31" s="124">
        <v>7</v>
      </c>
      <c r="BS31" s="124">
        <v>2.3642300000000002E-3</v>
      </c>
      <c r="BT31" s="124">
        <v>5.4545499999999998E-3</v>
      </c>
      <c r="BU31" s="124">
        <v>8.5450000000000005E-3</v>
      </c>
      <c r="BV31" s="124" t="s">
        <v>161</v>
      </c>
      <c r="BW31" s="124">
        <v>7</v>
      </c>
      <c r="BX31" s="124" t="s">
        <v>381</v>
      </c>
      <c r="BY31" s="82">
        <v>5.4545499999999998E-3</v>
      </c>
      <c r="BZ31" s="82">
        <v>8.5450000000000005E-3</v>
      </c>
      <c r="CA31">
        <v>1.5651820000000004E-2</v>
      </c>
      <c r="CB31">
        <v>3.0904500000000007E-3</v>
      </c>
      <c r="CC31" s="123" t="s">
        <v>3188</v>
      </c>
      <c r="CD31" s="124"/>
      <c r="CE31" s="124"/>
      <c r="CF31" s="123" t="s">
        <v>3189</v>
      </c>
      <c r="CG31" t="s">
        <v>3095</v>
      </c>
    </row>
    <row r="32" spans="1:85" ht="14.5">
      <c r="A32" s="128">
        <v>14</v>
      </c>
      <c r="B32" s="124" t="s">
        <v>365</v>
      </c>
      <c r="C32" s="124">
        <v>2017</v>
      </c>
      <c r="D32" s="124" t="s">
        <v>366</v>
      </c>
      <c r="E32" s="129">
        <v>44714</v>
      </c>
      <c r="F32" s="123" t="s">
        <v>90</v>
      </c>
      <c r="G32" s="124" t="s">
        <v>360</v>
      </c>
      <c r="H32" s="124" t="s">
        <v>367</v>
      </c>
      <c r="I32" s="124" t="s">
        <v>368</v>
      </c>
      <c r="J32" s="124" t="s">
        <v>369</v>
      </c>
      <c r="K32" s="124" t="s">
        <v>97</v>
      </c>
      <c r="L32" s="124" t="s">
        <v>137</v>
      </c>
      <c r="M32" s="124" t="s">
        <v>95</v>
      </c>
      <c r="N32" s="124" t="s">
        <v>370</v>
      </c>
      <c r="O32" s="124" t="s">
        <v>97</v>
      </c>
      <c r="P32" s="124" t="s">
        <v>97</v>
      </c>
      <c r="Q32" s="124" t="s">
        <v>367</v>
      </c>
      <c r="R32" s="124" t="s">
        <v>367</v>
      </c>
      <c r="S32" s="124" t="s">
        <v>90</v>
      </c>
      <c r="T32" s="117" t="s">
        <v>114</v>
      </c>
      <c r="U32" s="124" t="s">
        <v>191</v>
      </c>
      <c r="V32" s="124" t="s">
        <v>99</v>
      </c>
      <c r="W32" s="124" t="s">
        <v>367</v>
      </c>
      <c r="X32" s="123" t="s">
        <v>3083</v>
      </c>
      <c r="Y32" s="123" t="s">
        <v>3084</v>
      </c>
      <c r="Z32" s="124" t="s">
        <v>371</v>
      </c>
      <c r="AA32" s="123" t="s">
        <v>3102</v>
      </c>
      <c r="AB32" s="124" t="s">
        <v>319</v>
      </c>
      <c r="AC32" s="124" t="s">
        <v>105</v>
      </c>
      <c r="AD32" s="124" t="s">
        <v>372</v>
      </c>
      <c r="AE32" s="124" t="s">
        <v>373</v>
      </c>
      <c r="AF32" s="124" t="s">
        <v>197</v>
      </c>
      <c r="AG32" s="123">
        <v>3</v>
      </c>
      <c r="AH32" s="124" t="s">
        <v>90</v>
      </c>
      <c r="AI32" s="124" t="s">
        <v>374</v>
      </c>
      <c r="AJ32" s="124" t="s">
        <v>150</v>
      </c>
      <c r="AK32" s="124">
        <v>2</v>
      </c>
      <c r="AL32" s="124" t="s">
        <v>151</v>
      </c>
      <c r="AM32" s="124" t="s">
        <v>97</v>
      </c>
      <c r="AN32" s="124" t="s">
        <v>97</v>
      </c>
      <c r="AO32" s="124" t="s">
        <v>152</v>
      </c>
      <c r="AP32" s="124">
        <v>2</v>
      </c>
      <c r="AQ32" s="124" t="s">
        <v>155</v>
      </c>
      <c r="AR32" s="124" t="s">
        <v>119</v>
      </c>
      <c r="AS32" s="124" t="s">
        <v>114</v>
      </c>
      <c r="AT32" s="124" t="s">
        <v>120</v>
      </c>
      <c r="AU32" s="124" t="s">
        <v>116</v>
      </c>
      <c r="AV32" s="124" t="s">
        <v>375</v>
      </c>
      <c r="AW32" s="124">
        <v>2</v>
      </c>
      <c r="AX32" s="124" t="s">
        <v>184</v>
      </c>
      <c r="AY32" s="124" t="s">
        <v>113</v>
      </c>
      <c r="AZ32" s="124" t="s">
        <v>115</v>
      </c>
      <c r="BA32" s="124" t="s">
        <v>116</v>
      </c>
      <c r="BB32" s="124" t="s">
        <v>376</v>
      </c>
      <c r="BC32" s="124">
        <v>3</v>
      </c>
      <c r="BD32" s="124" t="s">
        <v>184</v>
      </c>
      <c r="BE32" s="124" t="s">
        <v>123</v>
      </c>
      <c r="BF32" s="124" t="s">
        <v>124</v>
      </c>
      <c r="BG32" s="124" t="s">
        <v>116</v>
      </c>
      <c r="BH32" s="124" t="s">
        <v>377</v>
      </c>
      <c r="BI32" s="124">
        <v>2</v>
      </c>
      <c r="BJ32" s="123">
        <v>0</v>
      </c>
      <c r="BK32" s="124" t="s">
        <v>396</v>
      </c>
      <c r="BL32" s="124" t="s">
        <v>240</v>
      </c>
      <c r="BN32" s="124">
        <v>1.022E-2</v>
      </c>
      <c r="BO32" s="124">
        <v>1.454546E-2</v>
      </c>
      <c r="BP32" s="124">
        <v>1.8873999999999998E-2</v>
      </c>
      <c r="BQ32" s="124" t="s">
        <v>161</v>
      </c>
      <c r="BR32" s="124">
        <v>7</v>
      </c>
      <c r="BS32" s="124">
        <v>2.3642300000000002E-3</v>
      </c>
      <c r="BT32" s="124">
        <v>5.4545499999999998E-3</v>
      </c>
      <c r="BU32" s="124">
        <v>8.5450000000000005E-3</v>
      </c>
      <c r="BV32" s="124" t="s">
        <v>161</v>
      </c>
      <c r="BW32" s="124">
        <v>7</v>
      </c>
      <c r="BX32" s="124" t="s">
        <v>381</v>
      </c>
      <c r="BY32" s="82">
        <v>5.4545499999999998E-3</v>
      </c>
      <c r="BZ32" s="82">
        <v>8.5450000000000005E-3</v>
      </c>
      <c r="CA32">
        <v>4.3285399999999988E-3</v>
      </c>
      <c r="CB32">
        <v>3.0904500000000007E-3</v>
      </c>
      <c r="CC32" s="123" t="s">
        <v>3188</v>
      </c>
      <c r="CD32" s="124"/>
      <c r="CE32" s="124"/>
      <c r="CF32" s="123" t="s">
        <v>3189</v>
      </c>
      <c r="CG32" t="s">
        <v>3095</v>
      </c>
    </row>
    <row r="33" spans="1:85" ht="14.5">
      <c r="A33" s="128">
        <v>14</v>
      </c>
      <c r="B33" s="124" t="s">
        <v>365</v>
      </c>
      <c r="C33" s="124">
        <v>2017</v>
      </c>
      <c r="D33" s="124" t="s">
        <v>366</v>
      </c>
      <c r="E33" s="129">
        <v>44714</v>
      </c>
      <c r="F33" s="123" t="s">
        <v>90</v>
      </c>
      <c r="G33" s="124" t="s">
        <v>360</v>
      </c>
      <c r="H33" s="124" t="s">
        <v>367</v>
      </c>
      <c r="I33" s="124" t="s">
        <v>368</v>
      </c>
      <c r="J33" s="124" t="s">
        <v>369</v>
      </c>
      <c r="K33" s="124" t="s">
        <v>97</v>
      </c>
      <c r="L33" s="124" t="s">
        <v>137</v>
      </c>
      <c r="M33" s="124" t="s">
        <v>95</v>
      </c>
      <c r="N33" s="124" t="s">
        <v>370</v>
      </c>
      <c r="O33" s="124" t="s">
        <v>97</v>
      </c>
      <c r="P33" s="124" t="s">
        <v>97</v>
      </c>
      <c r="Q33" s="124" t="s">
        <v>367</v>
      </c>
      <c r="R33" s="124" t="s">
        <v>367</v>
      </c>
      <c r="S33" s="124" t="s">
        <v>90</v>
      </c>
      <c r="T33" s="117" t="s">
        <v>114</v>
      </c>
      <c r="U33" s="124" t="s">
        <v>191</v>
      </c>
      <c r="V33" s="124" t="s">
        <v>99</v>
      </c>
      <c r="W33" s="124" t="s">
        <v>367</v>
      </c>
      <c r="X33" s="123" t="s">
        <v>3083</v>
      </c>
      <c r="Y33" s="123" t="s">
        <v>3084</v>
      </c>
      <c r="Z33" s="124" t="s">
        <v>371</v>
      </c>
      <c r="AA33" s="123" t="s">
        <v>3102</v>
      </c>
      <c r="AB33" s="124" t="s">
        <v>319</v>
      </c>
      <c r="AC33" s="124" t="s">
        <v>105</v>
      </c>
      <c r="AD33" s="124" t="s">
        <v>372</v>
      </c>
      <c r="AE33" s="124" t="s">
        <v>373</v>
      </c>
      <c r="AF33" s="124" t="s">
        <v>197</v>
      </c>
      <c r="AG33" s="123">
        <v>3</v>
      </c>
      <c r="AH33" s="124" t="s">
        <v>90</v>
      </c>
      <c r="AI33" s="124" t="s">
        <v>374</v>
      </c>
      <c r="AJ33" s="124" t="s">
        <v>150</v>
      </c>
      <c r="AK33" s="124">
        <v>2</v>
      </c>
      <c r="AL33" s="124" t="s">
        <v>151</v>
      </c>
      <c r="AM33" s="124" t="s">
        <v>97</v>
      </c>
      <c r="AN33" s="124" t="s">
        <v>97</v>
      </c>
      <c r="AO33" s="124" t="s">
        <v>152</v>
      </c>
      <c r="AP33" s="124">
        <v>2</v>
      </c>
      <c r="AQ33" s="124" t="s">
        <v>155</v>
      </c>
      <c r="AR33" s="124" t="s">
        <v>119</v>
      </c>
      <c r="AS33" s="124" t="s">
        <v>114</v>
      </c>
      <c r="AT33" s="124" t="s">
        <v>120</v>
      </c>
      <c r="AU33" s="124" t="s">
        <v>116</v>
      </c>
      <c r="AV33" s="124" t="s">
        <v>375</v>
      </c>
      <c r="AW33" s="124">
        <v>2</v>
      </c>
      <c r="AX33" s="124" t="s">
        <v>184</v>
      </c>
      <c r="AY33" s="124" t="s">
        <v>113</v>
      </c>
      <c r="AZ33" s="124" t="s">
        <v>115</v>
      </c>
      <c r="BA33" s="124" t="s">
        <v>116</v>
      </c>
      <c r="BB33" s="124" t="s">
        <v>376</v>
      </c>
      <c r="BC33" s="124">
        <v>3</v>
      </c>
      <c r="BD33" s="124" t="s">
        <v>184</v>
      </c>
      <c r="BE33" s="124" t="s">
        <v>123</v>
      </c>
      <c r="BF33" s="124" t="s">
        <v>124</v>
      </c>
      <c r="BG33" s="124" t="s">
        <v>116</v>
      </c>
      <c r="BH33" s="124" t="s">
        <v>377</v>
      </c>
      <c r="BI33" s="124">
        <v>2</v>
      </c>
      <c r="BJ33" s="123">
        <v>0</v>
      </c>
      <c r="BK33" s="124" t="s">
        <v>397</v>
      </c>
      <c r="BL33" s="124" t="s">
        <v>240</v>
      </c>
      <c r="BN33" s="124">
        <v>1.6000000000000001E-3</v>
      </c>
      <c r="BO33" s="124">
        <v>7.07071E-3</v>
      </c>
      <c r="BP33" s="124">
        <v>1.2539E-2</v>
      </c>
      <c r="BQ33" s="124" t="s">
        <v>161</v>
      </c>
      <c r="BR33" s="124">
        <v>7</v>
      </c>
      <c r="BS33" s="124">
        <v>2.3642300000000002E-3</v>
      </c>
      <c r="BT33" s="124">
        <v>5.4545499999999998E-3</v>
      </c>
      <c r="BU33" s="124">
        <v>8.5450000000000005E-3</v>
      </c>
      <c r="BV33" s="124" t="s">
        <v>161</v>
      </c>
      <c r="BW33" s="124">
        <v>7</v>
      </c>
      <c r="BX33" s="124" t="s">
        <v>381</v>
      </c>
      <c r="BY33" s="82">
        <v>5.4545499999999998E-3</v>
      </c>
      <c r="BZ33" s="82">
        <v>8.5450000000000005E-3</v>
      </c>
      <c r="CA33">
        <v>5.4682899999999998E-3</v>
      </c>
      <c r="CB33">
        <v>3.0904500000000007E-3</v>
      </c>
      <c r="CC33" s="123" t="s">
        <v>3188</v>
      </c>
      <c r="CD33" s="124"/>
      <c r="CE33" s="124"/>
      <c r="CF33" s="123" t="s">
        <v>3189</v>
      </c>
      <c r="CG33" t="s">
        <v>3095</v>
      </c>
    </row>
    <row r="34" spans="1:85" ht="14.5">
      <c r="A34" s="128">
        <v>14</v>
      </c>
      <c r="B34" s="124" t="s">
        <v>365</v>
      </c>
      <c r="C34" s="124">
        <v>2017</v>
      </c>
      <c r="D34" s="124" t="s">
        <v>366</v>
      </c>
      <c r="E34" s="129">
        <v>44714</v>
      </c>
      <c r="F34" s="123" t="s">
        <v>90</v>
      </c>
      <c r="G34" s="124" t="s">
        <v>360</v>
      </c>
      <c r="H34" s="124" t="s">
        <v>367</v>
      </c>
      <c r="I34" s="124" t="s">
        <v>368</v>
      </c>
      <c r="J34" s="124" t="s">
        <v>369</v>
      </c>
      <c r="K34" s="124" t="s">
        <v>97</v>
      </c>
      <c r="L34" s="124" t="s">
        <v>137</v>
      </c>
      <c r="M34" s="124" t="s">
        <v>95</v>
      </c>
      <c r="N34" s="124" t="s">
        <v>370</v>
      </c>
      <c r="O34" s="124" t="s">
        <v>97</v>
      </c>
      <c r="P34" s="124" t="s">
        <v>97</v>
      </c>
      <c r="Q34" s="124" t="s">
        <v>367</v>
      </c>
      <c r="R34" s="124" t="s">
        <v>367</v>
      </c>
      <c r="S34" s="124" t="s">
        <v>90</v>
      </c>
      <c r="T34" s="117" t="s">
        <v>114</v>
      </c>
      <c r="U34" s="124" t="s">
        <v>191</v>
      </c>
      <c r="V34" s="124" t="s">
        <v>99</v>
      </c>
      <c r="W34" s="124" t="s">
        <v>367</v>
      </c>
      <c r="X34" s="123" t="s">
        <v>3083</v>
      </c>
      <c r="Y34" s="123" t="s">
        <v>3084</v>
      </c>
      <c r="Z34" s="124" t="s">
        <v>371</v>
      </c>
      <c r="AA34" s="123" t="s">
        <v>3102</v>
      </c>
      <c r="AB34" s="124" t="s">
        <v>319</v>
      </c>
      <c r="AC34" s="124" t="s">
        <v>105</v>
      </c>
      <c r="AD34" s="124" t="s">
        <v>372</v>
      </c>
      <c r="AE34" s="124" t="s">
        <v>373</v>
      </c>
      <c r="AF34" s="124" t="s">
        <v>197</v>
      </c>
      <c r="AG34" s="123">
        <v>3</v>
      </c>
      <c r="AH34" s="124" t="s">
        <v>90</v>
      </c>
      <c r="AI34" s="124" t="s">
        <v>374</v>
      </c>
      <c r="AJ34" s="124" t="s">
        <v>150</v>
      </c>
      <c r="AK34" s="124">
        <v>2</v>
      </c>
      <c r="AL34" s="124" t="s">
        <v>151</v>
      </c>
      <c r="AM34" s="124" t="s">
        <v>97</v>
      </c>
      <c r="AN34" s="124" t="s">
        <v>97</v>
      </c>
      <c r="AO34" s="124" t="s">
        <v>152</v>
      </c>
      <c r="AP34" s="124">
        <v>2</v>
      </c>
      <c r="AQ34" s="124" t="s">
        <v>155</v>
      </c>
      <c r="AR34" s="124" t="s">
        <v>119</v>
      </c>
      <c r="AS34" s="124" t="s">
        <v>114</v>
      </c>
      <c r="AT34" s="124" t="s">
        <v>120</v>
      </c>
      <c r="AU34" s="124" t="s">
        <v>116</v>
      </c>
      <c r="AV34" s="124" t="s">
        <v>375</v>
      </c>
      <c r="AW34" s="124">
        <v>2</v>
      </c>
      <c r="AX34" s="124" t="s">
        <v>184</v>
      </c>
      <c r="AY34" s="124" t="s">
        <v>113</v>
      </c>
      <c r="AZ34" s="124" t="s">
        <v>115</v>
      </c>
      <c r="BA34" s="124" t="s">
        <v>116</v>
      </c>
      <c r="BB34" s="124" t="s">
        <v>376</v>
      </c>
      <c r="BC34" s="124">
        <v>3</v>
      </c>
      <c r="BD34" s="124" t="s">
        <v>184</v>
      </c>
      <c r="BE34" s="124" t="s">
        <v>123</v>
      </c>
      <c r="BF34" s="124" t="s">
        <v>124</v>
      </c>
      <c r="BG34" s="124" t="s">
        <v>116</v>
      </c>
      <c r="BH34" s="124" t="s">
        <v>377</v>
      </c>
      <c r="BI34" s="124">
        <v>2</v>
      </c>
      <c r="BJ34" s="123">
        <v>0</v>
      </c>
      <c r="BK34" s="124" t="s">
        <v>398</v>
      </c>
      <c r="BL34" s="124" t="s">
        <v>240</v>
      </c>
      <c r="BN34" s="124">
        <v>3.5699999999999998E-3</v>
      </c>
      <c r="BO34" s="124">
        <v>7.57576E-3</v>
      </c>
      <c r="BP34" s="124">
        <v>1.1584000000000001E-2</v>
      </c>
      <c r="BQ34" s="124" t="s">
        <v>161</v>
      </c>
      <c r="BR34" s="124">
        <v>7</v>
      </c>
      <c r="BS34" s="124">
        <v>2.3642300000000002E-3</v>
      </c>
      <c r="BT34" s="124">
        <v>5.4545499999999998E-3</v>
      </c>
      <c r="BU34" s="124">
        <v>8.5450000000000005E-3</v>
      </c>
      <c r="BV34" s="124" t="s">
        <v>161</v>
      </c>
      <c r="BW34" s="124">
        <v>7</v>
      </c>
      <c r="BX34" s="124" t="s">
        <v>381</v>
      </c>
      <c r="BY34" s="82">
        <v>5.4545499999999998E-3</v>
      </c>
      <c r="BZ34" s="82">
        <v>8.5450000000000005E-3</v>
      </c>
      <c r="CA34">
        <v>4.0082400000000006E-3</v>
      </c>
      <c r="CB34">
        <v>3.0904500000000007E-3</v>
      </c>
      <c r="CC34" s="123" t="s">
        <v>3188</v>
      </c>
      <c r="CD34" s="124"/>
      <c r="CE34" s="124"/>
      <c r="CF34" s="123" t="s">
        <v>3189</v>
      </c>
      <c r="CG34" t="s">
        <v>3095</v>
      </c>
    </row>
    <row r="35" spans="1:85" ht="14.5">
      <c r="A35" s="128">
        <v>14</v>
      </c>
      <c r="B35" s="124" t="s">
        <v>365</v>
      </c>
      <c r="C35" s="124">
        <v>2017</v>
      </c>
      <c r="D35" s="124" t="s">
        <v>366</v>
      </c>
      <c r="E35" s="129">
        <v>44714</v>
      </c>
      <c r="F35" s="123" t="s">
        <v>90</v>
      </c>
      <c r="G35" s="124" t="s">
        <v>360</v>
      </c>
      <c r="H35" s="124" t="s">
        <v>367</v>
      </c>
      <c r="I35" s="124" t="s">
        <v>368</v>
      </c>
      <c r="J35" s="124" t="s">
        <v>369</v>
      </c>
      <c r="K35" s="124" t="s">
        <v>97</v>
      </c>
      <c r="L35" s="124" t="s">
        <v>137</v>
      </c>
      <c r="M35" s="124" t="s">
        <v>95</v>
      </c>
      <c r="N35" s="124" t="s">
        <v>370</v>
      </c>
      <c r="O35" s="124" t="s">
        <v>97</v>
      </c>
      <c r="P35" s="124" t="s">
        <v>97</v>
      </c>
      <c r="Q35" s="124" t="s">
        <v>367</v>
      </c>
      <c r="R35" s="124" t="s">
        <v>367</v>
      </c>
      <c r="S35" s="124" t="s">
        <v>90</v>
      </c>
      <c r="T35" s="117" t="s">
        <v>114</v>
      </c>
      <c r="U35" s="124" t="s">
        <v>191</v>
      </c>
      <c r="V35" s="124" t="s">
        <v>99</v>
      </c>
      <c r="W35" s="124" t="s">
        <v>367</v>
      </c>
      <c r="X35" s="123" t="s">
        <v>3083</v>
      </c>
      <c r="Y35" s="123" t="s">
        <v>3084</v>
      </c>
      <c r="Z35" s="124" t="s">
        <v>371</v>
      </c>
      <c r="AA35" s="123" t="s">
        <v>3102</v>
      </c>
      <c r="AB35" s="124" t="s">
        <v>319</v>
      </c>
      <c r="AC35" s="124" t="s">
        <v>105</v>
      </c>
      <c r="AD35" s="124" t="s">
        <v>372</v>
      </c>
      <c r="AE35" s="124" t="s">
        <v>373</v>
      </c>
      <c r="AF35" s="124" t="s">
        <v>197</v>
      </c>
      <c r="AG35" s="123">
        <v>3</v>
      </c>
      <c r="AH35" s="124" t="s">
        <v>90</v>
      </c>
      <c r="AI35" s="124" t="s">
        <v>374</v>
      </c>
      <c r="AJ35" s="124" t="s">
        <v>150</v>
      </c>
      <c r="AK35" s="124">
        <v>2</v>
      </c>
      <c r="AL35" s="124" t="s">
        <v>151</v>
      </c>
      <c r="AM35" s="124" t="s">
        <v>97</v>
      </c>
      <c r="AN35" s="124" t="s">
        <v>97</v>
      </c>
      <c r="AO35" s="124" t="s">
        <v>152</v>
      </c>
      <c r="AP35" s="124">
        <v>2</v>
      </c>
      <c r="AQ35" s="124" t="s">
        <v>155</v>
      </c>
      <c r="AR35" s="124" t="s">
        <v>119</v>
      </c>
      <c r="AS35" s="124" t="s">
        <v>114</v>
      </c>
      <c r="AT35" s="124" t="s">
        <v>120</v>
      </c>
      <c r="AU35" s="124" t="s">
        <v>116</v>
      </c>
      <c r="AV35" s="124" t="s">
        <v>375</v>
      </c>
      <c r="AW35" s="124">
        <v>2</v>
      </c>
      <c r="AX35" s="124" t="s">
        <v>184</v>
      </c>
      <c r="AY35" s="124" t="s">
        <v>113</v>
      </c>
      <c r="AZ35" s="124" t="s">
        <v>115</v>
      </c>
      <c r="BA35" s="124" t="s">
        <v>116</v>
      </c>
      <c r="BB35" s="124" t="s">
        <v>376</v>
      </c>
      <c r="BC35" s="124">
        <v>3</v>
      </c>
      <c r="BD35" s="124" t="s">
        <v>184</v>
      </c>
      <c r="BE35" s="124" t="s">
        <v>123</v>
      </c>
      <c r="BF35" s="124" t="s">
        <v>124</v>
      </c>
      <c r="BG35" s="124" t="s">
        <v>116</v>
      </c>
      <c r="BH35" s="124" t="s">
        <v>377</v>
      </c>
      <c r="BI35" s="124">
        <v>2</v>
      </c>
      <c r="BJ35" s="123">
        <v>0</v>
      </c>
      <c r="BK35" s="124" t="s">
        <v>399</v>
      </c>
      <c r="BL35" s="124" t="s">
        <v>240</v>
      </c>
      <c r="BN35" s="124">
        <v>5.3200000000000001E-3</v>
      </c>
      <c r="BO35" s="124">
        <v>1.318182E-2</v>
      </c>
      <c r="BP35" s="124">
        <v>2.1038999999999999E-2</v>
      </c>
      <c r="BQ35" s="124" t="s">
        <v>161</v>
      </c>
      <c r="BR35" s="124">
        <v>7</v>
      </c>
      <c r="BS35" s="124">
        <v>2.3642300000000002E-3</v>
      </c>
      <c r="BT35" s="124">
        <v>5.4545499999999998E-3</v>
      </c>
      <c r="BU35" s="124">
        <v>8.5450000000000005E-3</v>
      </c>
      <c r="BV35" s="124" t="s">
        <v>161</v>
      </c>
      <c r="BW35" s="124">
        <v>7</v>
      </c>
      <c r="BX35" s="124" t="s">
        <v>381</v>
      </c>
      <c r="BY35" s="82">
        <v>5.4545499999999998E-3</v>
      </c>
      <c r="BZ35" s="82">
        <v>8.5450000000000005E-3</v>
      </c>
      <c r="CA35">
        <v>7.8571799999999983E-3</v>
      </c>
      <c r="CB35">
        <v>3.0904500000000007E-3</v>
      </c>
      <c r="CC35" s="123" t="s">
        <v>3188</v>
      </c>
      <c r="CD35" s="124"/>
      <c r="CE35" s="124"/>
      <c r="CF35" s="123" t="s">
        <v>3189</v>
      </c>
      <c r="CG35" t="s">
        <v>3095</v>
      </c>
    </row>
    <row r="36" spans="1:85" ht="14.5">
      <c r="A36" s="128">
        <v>14</v>
      </c>
      <c r="B36" s="124" t="s">
        <v>365</v>
      </c>
      <c r="C36" s="124">
        <v>2017</v>
      </c>
      <c r="D36" s="124" t="s">
        <v>366</v>
      </c>
      <c r="E36" s="129">
        <v>44714</v>
      </c>
      <c r="F36" s="123" t="s">
        <v>90</v>
      </c>
      <c r="G36" s="124" t="s">
        <v>360</v>
      </c>
      <c r="H36" s="124" t="s">
        <v>367</v>
      </c>
      <c r="I36" s="124" t="s">
        <v>368</v>
      </c>
      <c r="J36" s="124" t="s">
        <v>369</v>
      </c>
      <c r="K36" s="124" t="s">
        <v>97</v>
      </c>
      <c r="L36" s="124" t="s">
        <v>137</v>
      </c>
      <c r="M36" s="124" t="s">
        <v>95</v>
      </c>
      <c r="N36" s="124" t="s">
        <v>370</v>
      </c>
      <c r="O36" s="124" t="s">
        <v>97</v>
      </c>
      <c r="P36" s="124" t="s">
        <v>97</v>
      </c>
      <c r="Q36" s="124" t="s">
        <v>367</v>
      </c>
      <c r="R36" s="124" t="s">
        <v>367</v>
      </c>
      <c r="S36" s="124" t="s">
        <v>90</v>
      </c>
      <c r="T36" s="117" t="s">
        <v>114</v>
      </c>
      <c r="U36" s="124" t="s">
        <v>191</v>
      </c>
      <c r="V36" s="124" t="s">
        <v>99</v>
      </c>
      <c r="W36" s="124" t="s">
        <v>367</v>
      </c>
      <c r="X36" s="123" t="s">
        <v>3083</v>
      </c>
      <c r="Y36" s="123" t="s">
        <v>3084</v>
      </c>
      <c r="Z36" s="124" t="s">
        <v>371</v>
      </c>
      <c r="AA36" s="123" t="s">
        <v>3102</v>
      </c>
      <c r="AB36" s="124" t="s">
        <v>319</v>
      </c>
      <c r="AC36" s="124" t="s">
        <v>105</v>
      </c>
      <c r="AD36" s="124" t="s">
        <v>372</v>
      </c>
      <c r="AE36" s="124" t="s">
        <v>373</v>
      </c>
      <c r="AF36" s="124" t="s">
        <v>197</v>
      </c>
      <c r="AG36" s="123">
        <v>3</v>
      </c>
      <c r="AH36" s="124" t="s">
        <v>90</v>
      </c>
      <c r="AI36" s="124" t="s">
        <v>374</v>
      </c>
      <c r="AJ36" s="124" t="s">
        <v>150</v>
      </c>
      <c r="AK36" s="124">
        <v>2</v>
      </c>
      <c r="AL36" s="124" t="s">
        <v>151</v>
      </c>
      <c r="AM36" s="124" t="s">
        <v>97</v>
      </c>
      <c r="AN36" s="124" t="s">
        <v>97</v>
      </c>
      <c r="AO36" s="124" t="s">
        <v>152</v>
      </c>
      <c r="AP36" s="124">
        <v>2</v>
      </c>
      <c r="AQ36" s="124" t="s">
        <v>155</v>
      </c>
      <c r="AR36" s="124" t="s">
        <v>119</v>
      </c>
      <c r="AS36" s="124" t="s">
        <v>114</v>
      </c>
      <c r="AT36" s="124" t="s">
        <v>120</v>
      </c>
      <c r="AU36" s="124" t="s">
        <v>116</v>
      </c>
      <c r="AV36" s="124" t="s">
        <v>375</v>
      </c>
      <c r="AW36" s="124">
        <v>2</v>
      </c>
      <c r="AX36" s="124" t="s">
        <v>184</v>
      </c>
      <c r="AY36" s="124" t="s">
        <v>113</v>
      </c>
      <c r="AZ36" s="124" t="s">
        <v>115</v>
      </c>
      <c r="BA36" s="124" t="s">
        <v>116</v>
      </c>
      <c r="BB36" s="124" t="s">
        <v>376</v>
      </c>
      <c r="BC36" s="124">
        <v>3</v>
      </c>
      <c r="BD36" s="124" t="s">
        <v>184</v>
      </c>
      <c r="BE36" s="124" t="s">
        <v>123</v>
      </c>
      <c r="BF36" s="124" t="s">
        <v>124</v>
      </c>
      <c r="BG36" s="124" t="s">
        <v>116</v>
      </c>
      <c r="BH36" s="124" t="s">
        <v>377</v>
      </c>
      <c r="BI36" s="124">
        <v>2</v>
      </c>
      <c r="BJ36" s="123">
        <v>0</v>
      </c>
      <c r="BK36" s="124" t="s">
        <v>400</v>
      </c>
      <c r="BL36" s="124" t="s">
        <v>240</v>
      </c>
      <c r="BN36" s="124">
        <v>3.424E-2</v>
      </c>
      <c r="BO36" s="124">
        <v>6.5584420000000004E-2</v>
      </c>
      <c r="BP36" s="124">
        <v>9.6933000000000005E-2</v>
      </c>
      <c r="BQ36" s="124" t="s">
        <v>161</v>
      </c>
      <c r="BR36" s="124">
        <v>7</v>
      </c>
      <c r="BS36" s="124">
        <v>5.7093739999999997E-3</v>
      </c>
      <c r="BT36" s="124">
        <v>8.6776900000000001E-3</v>
      </c>
      <c r="BU36" s="124">
        <v>1.1646E-2</v>
      </c>
      <c r="BV36" s="124" t="s">
        <v>161</v>
      </c>
      <c r="BW36" s="124">
        <v>7</v>
      </c>
      <c r="BX36" s="124" t="s">
        <v>381</v>
      </c>
      <c r="BY36" s="82">
        <v>8.6776900000000001E-3</v>
      </c>
      <c r="BZ36" s="82">
        <v>1.1646E-2</v>
      </c>
      <c r="CA36">
        <v>3.1348580000000001E-2</v>
      </c>
      <c r="CB36">
        <v>2.96831E-3</v>
      </c>
      <c r="CC36" s="123" t="s">
        <v>3188</v>
      </c>
      <c r="CD36" s="124"/>
      <c r="CE36" s="124"/>
      <c r="CF36" s="123" t="s">
        <v>3189</v>
      </c>
      <c r="CG36" t="s">
        <v>3095</v>
      </c>
    </row>
    <row r="37" spans="1:85" ht="14.5">
      <c r="A37" s="128">
        <v>14</v>
      </c>
      <c r="B37" s="124" t="s">
        <v>365</v>
      </c>
      <c r="C37" s="124">
        <v>2017</v>
      </c>
      <c r="D37" s="124" t="s">
        <v>366</v>
      </c>
      <c r="E37" s="129">
        <v>44714</v>
      </c>
      <c r="F37" s="123" t="s">
        <v>90</v>
      </c>
      <c r="G37" s="124" t="s">
        <v>360</v>
      </c>
      <c r="H37" s="124" t="s">
        <v>367</v>
      </c>
      <c r="I37" s="124" t="s">
        <v>368</v>
      </c>
      <c r="J37" s="124" t="s">
        <v>369</v>
      </c>
      <c r="K37" s="124" t="s">
        <v>97</v>
      </c>
      <c r="L37" s="124" t="s">
        <v>137</v>
      </c>
      <c r="M37" s="124" t="s">
        <v>95</v>
      </c>
      <c r="N37" s="124" t="s">
        <v>370</v>
      </c>
      <c r="O37" s="124" t="s">
        <v>97</v>
      </c>
      <c r="P37" s="124" t="s">
        <v>97</v>
      </c>
      <c r="Q37" s="124" t="s">
        <v>367</v>
      </c>
      <c r="R37" s="124" t="s">
        <v>367</v>
      </c>
      <c r="S37" s="124" t="s">
        <v>90</v>
      </c>
      <c r="T37" s="117" t="s">
        <v>114</v>
      </c>
      <c r="U37" s="124" t="s">
        <v>191</v>
      </c>
      <c r="V37" s="124" t="s">
        <v>99</v>
      </c>
      <c r="W37" s="124" t="s">
        <v>367</v>
      </c>
      <c r="X37" s="123" t="s">
        <v>3083</v>
      </c>
      <c r="Y37" s="123" t="s">
        <v>3084</v>
      </c>
      <c r="Z37" s="124" t="s">
        <v>371</v>
      </c>
      <c r="AA37" s="123" t="s">
        <v>3102</v>
      </c>
      <c r="AB37" s="124" t="s">
        <v>319</v>
      </c>
      <c r="AC37" s="124" t="s">
        <v>105</v>
      </c>
      <c r="AD37" s="124" t="s">
        <v>372</v>
      </c>
      <c r="AE37" s="124" t="s">
        <v>373</v>
      </c>
      <c r="AF37" s="124" t="s">
        <v>197</v>
      </c>
      <c r="AG37" s="123">
        <v>3</v>
      </c>
      <c r="AH37" s="124" t="s">
        <v>90</v>
      </c>
      <c r="AI37" s="124" t="s">
        <v>374</v>
      </c>
      <c r="AJ37" s="124" t="s">
        <v>150</v>
      </c>
      <c r="AK37" s="124">
        <v>2</v>
      </c>
      <c r="AL37" s="124" t="s">
        <v>151</v>
      </c>
      <c r="AM37" s="124" t="s">
        <v>97</v>
      </c>
      <c r="AN37" s="124" t="s">
        <v>97</v>
      </c>
      <c r="AO37" s="124" t="s">
        <v>152</v>
      </c>
      <c r="AP37" s="124">
        <v>2</v>
      </c>
      <c r="AQ37" s="124" t="s">
        <v>155</v>
      </c>
      <c r="AR37" s="124" t="s">
        <v>119</v>
      </c>
      <c r="AS37" s="124" t="s">
        <v>114</v>
      </c>
      <c r="AT37" s="124" t="s">
        <v>120</v>
      </c>
      <c r="AU37" s="124" t="s">
        <v>116</v>
      </c>
      <c r="AV37" s="124" t="s">
        <v>375</v>
      </c>
      <c r="AW37" s="124">
        <v>2</v>
      </c>
      <c r="AX37" s="124" t="s">
        <v>184</v>
      </c>
      <c r="AY37" s="124" t="s">
        <v>113</v>
      </c>
      <c r="AZ37" s="124" t="s">
        <v>115</v>
      </c>
      <c r="BA37" s="124" t="s">
        <v>116</v>
      </c>
      <c r="BB37" s="124" t="s">
        <v>376</v>
      </c>
      <c r="BC37" s="124">
        <v>3</v>
      </c>
      <c r="BD37" s="124" t="s">
        <v>184</v>
      </c>
      <c r="BE37" s="124" t="s">
        <v>123</v>
      </c>
      <c r="BF37" s="124" t="s">
        <v>124</v>
      </c>
      <c r="BG37" s="124" t="s">
        <v>116</v>
      </c>
      <c r="BH37" s="124" t="s">
        <v>377</v>
      </c>
      <c r="BI37" s="124">
        <v>2</v>
      </c>
      <c r="BJ37" s="123">
        <v>0</v>
      </c>
      <c r="BK37" s="124" t="s">
        <v>401</v>
      </c>
      <c r="BL37" s="124" t="s">
        <v>240</v>
      </c>
      <c r="BN37" s="124">
        <v>8.8400000000000006E-3</v>
      </c>
      <c r="BO37" s="124">
        <v>3.8311690000000002E-2</v>
      </c>
      <c r="BP37" s="124">
        <v>6.7783999999999997E-2</v>
      </c>
      <c r="BQ37" s="124" t="s">
        <v>161</v>
      </c>
      <c r="BR37" s="124">
        <v>7</v>
      </c>
      <c r="BS37" s="124">
        <v>5.7093739999999997E-3</v>
      </c>
      <c r="BT37" s="124">
        <v>8.6776900000000001E-3</v>
      </c>
      <c r="BU37" s="124">
        <v>1.1646E-2</v>
      </c>
      <c r="BV37" s="124" t="s">
        <v>161</v>
      </c>
      <c r="BW37" s="124">
        <v>7</v>
      </c>
      <c r="BX37" s="124" t="s">
        <v>381</v>
      </c>
      <c r="BY37" s="82">
        <v>8.6776900000000001E-3</v>
      </c>
      <c r="BZ37" s="82">
        <v>1.1646E-2</v>
      </c>
      <c r="CA37">
        <v>2.9472309999999995E-2</v>
      </c>
      <c r="CB37">
        <v>2.96831E-3</v>
      </c>
      <c r="CC37" s="123" t="s">
        <v>3188</v>
      </c>
      <c r="CD37" s="124"/>
      <c r="CE37" s="124"/>
      <c r="CF37" s="123" t="s">
        <v>3189</v>
      </c>
      <c r="CG37" t="s">
        <v>3095</v>
      </c>
    </row>
    <row r="38" spans="1:85" ht="14.5">
      <c r="A38" s="128">
        <v>14</v>
      </c>
      <c r="B38" s="124" t="s">
        <v>365</v>
      </c>
      <c r="C38" s="124">
        <v>2017</v>
      </c>
      <c r="D38" s="124" t="s">
        <v>366</v>
      </c>
      <c r="E38" s="129">
        <v>44714</v>
      </c>
      <c r="F38" s="123" t="s">
        <v>90</v>
      </c>
      <c r="G38" s="124" t="s">
        <v>360</v>
      </c>
      <c r="H38" s="124" t="s">
        <v>367</v>
      </c>
      <c r="I38" s="124" t="s">
        <v>368</v>
      </c>
      <c r="J38" s="124" t="s">
        <v>369</v>
      </c>
      <c r="K38" s="124" t="s">
        <v>97</v>
      </c>
      <c r="L38" s="124" t="s">
        <v>137</v>
      </c>
      <c r="M38" s="124" t="s">
        <v>95</v>
      </c>
      <c r="N38" s="124" t="s">
        <v>370</v>
      </c>
      <c r="O38" s="124" t="s">
        <v>97</v>
      </c>
      <c r="P38" s="124" t="s">
        <v>97</v>
      </c>
      <c r="Q38" s="124" t="s">
        <v>367</v>
      </c>
      <c r="R38" s="124" t="s">
        <v>367</v>
      </c>
      <c r="S38" s="124" t="s">
        <v>90</v>
      </c>
      <c r="T38" s="117" t="s">
        <v>114</v>
      </c>
      <c r="U38" s="124" t="s">
        <v>191</v>
      </c>
      <c r="V38" s="124" t="s">
        <v>99</v>
      </c>
      <c r="W38" s="124" t="s">
        <v>367</v>
      </c>
      <c r="X38" s="123" t="s">
        <v>3083</v>
      </c>
      <c r="Y38" s="123" t="s">
        <v>3084</v>
      </c>
      <c r="Z38" s="124" t="s">
        <v>371</v>
      </c>
      <c r="AA38" s="123" t="s">
        <v>3102</v>
      </c>
      <c r="AB38" s="124" t="s">
        <v>319</v>
      </c>
      <c r="AC38" s="124" t="s">
        <v>105</v>
      </c>
      <c r="AD38" s="124" t="s">
        <v>372</v>
      </c>
      <c r="AE38" s="124" t="s">
        <v>373</v>
      </c>
      <c r="AF38" s="124" t="s">
        <v>197</v>
      </c>
      <c r="AG38" s="123">
        <v>3</v>
      </c>
      <c r="AH38" s="124" t="s">
        <v>90</v>
      </c>
      <c r="AI38" s="124" t="s">
        <v>374</v>
      </c>
      <c r="AJ38" s="124" t="s">
        <v>150</v>
      </c>
      <c r="AK38" s="124">
        <v>2</v>
      </c>
      <c r="AL38" s="124" t="s">
        <v>151</v>
      </c>
      <c r="AM38" s="124" t="s">
        <v>97</v>
      </c>
      <c r="AN38" s="124" t="s">
        <v>97</v>
      </c>
      <c r="AO38" s="124" t="s">
        <v>152</v>
      </c>
      <c r="AP38" s="124">
        <v>2</v>
      </c>
      <c r="AQ38" s="124" t="s">
        <v>155</v>
      </c>
      <c r="AR38" s="124" t="s">
        <v>119</v>
      </c>
      <c r="AS38" s="124" t="s">
        <v>114</v>
      </c>
      <c r="AT38" s="124" t="s">
        <v>120</v>
      </c>
      <c r="AU38" s="124" t="s">
        <v>116</v>
      </c>
      <c r="AV38" s="124" t="s">
        <v>375</v>
      </c>
      <c r="AW38" s="124">
        <v>2</v>
      </c>
      <c r="AX38" s="124" t="s">
        <v>184</v>
      </c>
      <c r="AY38" s="124" t="s">
        <v>113</v>
      </c>
      <c r="AZ38" s="124" t="s">
        <v>115</v>
      </c>
      <c r="BA38" s="124" t="s">
        <v>116</v>
      </c>
      <c r="BB38" s="124" t="s">
        <v>376</v>
      </c>
      <c r="BC38" s="124">
        <v>3</v>
      </c>
      <c r="BD38" s="124" t="s">
        <v>184</v>
      </c>
      <c r="BE38" s="124" t="s">
        <v>123</v>
      </c>
      <c r="BF38" s="124" t="s">
        <v>124</v>
      </c>
      <c r="BG38" s="124" t="s">
        <v>116</v>
      </c>
      <c r="BH38" s="124" t="s">
        <v>377</v>
      </c>
      <c r="BI38" s="124">
        <v>2</v>
      </c>
      <c r="BJ38" s="123">
        <v>0</v>
      </c>
      <c r="BK38" s="124" t="s">
        <v>402</v>
      </c>
      <c r="BL38" s="124" t="s">
        <v>240</v>
      </c>
      <c r="BN38" s="124">
        <v>9.9000000000000008E-3</v>
      </c>
      <c r="BO38" s="124">
        <v>5.7792209999999997E-2</v>
      </c>
      <c r="BP38" s="124">
        <v>0.10568900000000001</v>
      </c>
      <c r="BQ38" s="124" t="s">
        <v>161</v>
      </c>
      <c r="BR38" s="124">
        <v>7</v>
      </c>
      <c r="BS38" s="124">
        <v>5.7093739999999997E-3</v>
      </c>
      <c r="BT38" s="124">
        <v>8.6776900000000001E-3</v>
      </c>
      <c r="BU38" s="124">
        <v>1.1646E-2</v>
      </c>
      <c r="BV38" s="124" t="s">
        <v>161</v>
      </c>
      <c r="BW38" s="124">
        <v>7</v>
      </c>
      <c r="BX38" s="124" t="s">
        <v>381</v>
      </c>
      <c r="BY38" s="82">
        <v>8.6776900000000001E-3</v>
      </c>
      <c r="BZ38" s="82">
        <v>1.1646E-2</v>
      </c>
      <c r="CA38">
        <v>4.7896790000000009E-2</v>
      </c>
      <c r="CB38">
        <v>2.96831E-3</v>
      </c>
      <c r="CC38" s="123" t="s">
        <v>3188</v>
      </c>
      <c r="CD38" s="124"/>
      <c r="CE38" s="124"/>
      <c r="CF38" s="123" t="s">
        <v>3189</v>
      </c>
      <c r="CG38" t="s">
        <v>3095</v>
      </c>
    </row>
    <row r="39" spans="1:85" ht="14.5">
      <c r="A39" s="128">
        <v>14</v>
      </c>
      <c r="B39" s="124" t="s">
        <v>365</v>
      </c>
      <c r="C39" s="124">
        <v>2017</v>
      </c>
      <c r="D39" s="124" t="s">
        <v>366</v>
      </c>
      <c r="E39" s="129">
        <v>44714</v>
      </c>
      <c r="F39" s="123" t="s">
        <v>90</v>
      </c>
      <c r="G39" s="124" t="s">
        <v>360</v>
      </c>
      <c r="H39" s="124" t="s">
        <v>367</v>
      </c>
      <c r="I39" s="124" t="s">
        <v>368</v>
      </c>
      <c r="J39" s="124" t="s">
        <v>369</v>
      </c>
      <c r="K39" s="124" t="s">
        <v>97</v>
      </c>
      <c r="L39" s="124" t="s">
        <v>137</v>
      </c>
      <c r="M39" s="124" t="s">
        <v>95</v>
      </c>
      <c r="N39" s="124" t="s">
        <v>370</v>
      </c>
      <c r="O39" s="124" t="s">
        <v>97</v>
      </c>
      <c r="P39" s="124" t="s">
        <v>97</v>
      </c>
      <c r="Q39" s="124" t="s">
        <v>367</v>
      </c>
      <c r="R39" s="124" t="s">
        <v>367</v>
      </c>
      <c r="S39" s="124" t="s">
        <v>90</v>
      </c>
      <c r="T39" s="117" t="s">
        <v>114</v>
      </c>
      <c r="U39" s="124" t="s">
        <v>191</v>
      </c>
      <c r="V39" s="124" t="s">
        <v>99</v>
      </c>
      <c r="W39" s="124" t="s">
        <v>367</v>
      </c>
      <c r="X39" s="123" t="s">
        <v>3083</v>
      </c>
      <c r="Y39" s="123" t="s">
        <v>3084</v>
      </c>
      <c r="Z39" s="124" t="s">
        <v>371</v>
      </c>
      <c r="AA39" s="123" t="s">
        <v>3102</v>
      </c>
      <c r="AB39" s="124" t="s">
        <v>319</v>
      </c>
      <c r="AC39" s="124" t="s">
        <v>105</v>
      </c>
      <c r="AD39" s="124" t="s">
        <v>372</v>
      </c>
      <c r="AE39" s="124" t="s">
        <v>373</v>
      </c>
      <c r="AF39" s="124" t="s">
        <v>197</v>
      </c>
      <c r="AG39" s="123">
        <v>3</v>
      </c>
      <c r="AH39" s="124" t="s">
        <v>90</v>
      </c>
      <c r="AI39" s="124" t="s">
        <v>374</v>
      </c>
      <c r="AJ39" s="124" t="s">
        <v>150</v>
      </c>
      <c r="AK39" s="124">
        <v>2</v>
      </c>
      <c r="AL39" s="124" t="s">
        <v>151</v>
      </c>
      <c r="AM39" s="124" t="s">
        <v>97</v>
      </c>
      <c r="AN39" s="124" t="s">
        <v>97</v>
      </c>
      <c r="AO39" s="124" t="s">
        <v>152</v>
      </c>
      <c r="AP39" s="124">
        <v>2</v>
      </c>
      <c r="AQ39" s="124" t="s">
        <v>155</v>
      </c>
      <c r="AR39" s="124" t="s">
        <v>119</v>
      </c>
      <c r="AS39" s="124" t="s">
        <v>114</v>
      </c>
      <c r="AT39" s="124" t="s">
        <v>120</v>
      </c>
      <c r="AU39" s="124" t="s">
        <v>116</v>
      </c>
      <c r="AV39" s="124" t="s">
        <v>375</v>
      </c>
      <c r="AW39" s="124">
        <v>2</v>
      </c>
      <c r="AX39" s="124" t="s">
        <v>184</v>
      </c>
      <c r="AY39" s="124" t="s">
        <v>113</v>
      </c>
      <c r="AZ39" s="124" t="s">
        <v>115</v>
      </c>
      <c r="BA39" s="124" t="s">
        <v>116</v>
      </c>
      <c r="BB39" s="124" t="s">
        <v>376</v>
      </c>
      <c r="BC39" s="124">
        <v>3</v>
      </c>
      <c r="BD39" s="124" t="s">
        <v>184</v>
      </c>
      <c r="BE39" s="124" t="s">
        <v>123</v>
      </c>
      <c r="BF39" s="124" t="s">
        <v>124</v>
      </c>
      <c r="BG39" s="124" t="s">
        <v>116</v>
      </c>
      <c r="BH39" s="124" t="s">
        <v>377</v>
      </c>
      <c r="BI39" s="124">
        <v>2</v>
      </c>
      <c r="BJ39" s="123">
        <v>0</v>
      </c>
      <c r="BK39" s="124" t="s">
        <v>403</v>
      </c>
      <c r="BL39" s="124" t="s">
        <v>240</v>
      </c>
      <c r="BN39" s="124">
        <v>1.8450000000000001E-2</v>
      </c>
      <c r="BO39" s="124">
        <v>2.5681820000000001E-2</v>
      </c>
      <c r="BP39" s="124">
        <v>3.2917000000000002E-2</v>
      </c>
      <c r="BQ39" s="124" t="s">
        <v>161</v>
      </c>
      <c r="BR39" s="124">
        <v>7</v>
      </c>
      <c r="BS39" s="124">
        <v>5.7093739999999997E-3</v>
      </c>
      <c r="BT39" s="124">
        <v>8.6776900000000001E-3</v>
      </c>
      <c r="BU39" s="124">
        <v>1.1646E-2</v>
      </c>
      <c r="BV39" s="124" t="s">
        <v>161</v>
      </c>
      <c r="BW39" s="124">
        <v>7</v>
      </c>
      <c r="BX39" s="124" t="s">
        <v>381</v>
      </c>
      <c r="BY39" s="82">
        <v>8.6776900000000001E-3</v>
      </c>
      <c r="BZ39" s="82">
        <v>1.1646E-2</v>
      </c>
      <c r="CA39">
        <v>7.2351800000000008E-3</v>
      </c>
      <c r="CB39">
        <v>2.96831E-3</v>
      </c>
      <c r="CC39" s="123" t="s">
        <v>3188</v>
      </c>
      <c r="CD39" s="124"/>
      <c r="CE39" s="124"/>
      <c r="CF39" s="123" t="s">
        <v>3189</v>
      </c>
      <c r="CG39" t="s">
        <v>3095</v>
      </c>
    </row>
    <row r="40" spans="1:85" ht="14.5">
      <c r="A40" s="128">
        <v>14</v>
      </c>
      <c r="B40" s="124" t="s">
        <v>365</v>
      </c>
      <c r="C40" s="124">
        <v>2017</v>
      </c>
      <c r="D40" s="124" t="s">
        <v>366</v>
      </c>
      <c r="E40" s="129">
        <v>44714</v>
      </c>
      <c r="F40" s="123" t="s">
        <v>90</v>
      </c>
      <c r="G40" s="124" t="s">
        <v>360</v>
      </c>
      <c r="H40" s="124" t="s">
        <v>367</v>
      </c>
      <c r="I40" s="124" t="s">
        <v>368</v>
      </c>
      <c r="J40" s="124" t="s">
        <v>369</v>
      </c>
      <c r="K40" s="124" t="s">
        <v>97</v>
      </c>
      <c r="L40" s="124" t="s">
        <v>137</v>
      </c>
      <c r="M40" s="124" t="s">
        <v>95</v>
      </c>
      <c r="N40" s="124" t="s">
        <v>370</v>
      </c>
      <c r="O40" s="124" t="s">
        <v>97</v>
      </c>
      <c r="P40" s="124" t="s">
        <v>97</v>
      </c>
      <c r="Q40" s="124" t="s">
        <v>367</v>
      </c>
      <c r="R40" s="124" t="s">
        <v>367</v>
      </c>
      <c r="S40" s="124" t="s">
        <v>90</v>
      </c>
      <c r="T40" s="117" t="s">
        <v>114</v>
      </c>
      <c r="U40" s="124" t="s">
        <v>191</v>
      </c>
      <c r="V40" s="124" t="s">
        <v>99</v>
      </c>
      <c r="W40" s="124" t="s">
        <v>367</v>
      </c>
      <c r="X40" s="123" t="s">
        <v>3083</v>
      </c>
      <c r="Y40" s="123" t="s">
        <v>3084</v>
      </c>
      <c r="Z40" s="124" t="s">
        <v>371</v>
      </c>
      <c r="AA40" s="123" t="s">
        <v>3102</v>
      </c>
      <c r="AB40" s="124" t="s">
        <v>319</v>
      </c>
      <c r="AC40" s="124" t="s">
        <v>105</v>
      </c>
      <c r="AD40" s="124" t="s">
        <v>372</v>
      </c>
      <c r="AE40" s="124" t="s">
        <v>373</v>
      </c>
      <c r="AF40" s="124" t="s">
        <v>197</v>
      </c>
      <c r="AG40" s="123">
        <v>3</v>
      </c>
      <c r="AH40" s="124" t="s">
        <v>90</v>
      </c>
      <c r="AI40" s="124" t="s">
        <v>374</v>
      </c>
      <c r="AJ40" s="124" t="s">
        <v>150</v>
      </c>
      <c r="AK40" s="124">
        <v>2</v>
      </c>
      <c r="AL40" s="124" t="s">
        <v>151</v>
      </c>
      <c r="AM40" s="124" t="s">
        <v>97</v>
      </c>
      <c r="AN40" s="124" t="s">
        <v>97</v>
      </c>
      <c r="AO40" s="124" t="s">
        <v>152</v>
      </c>
      <c r="AP40" s="124">
        <v>2</v>
      </c>
      <c r="AQ40" s="124" t="s">
        <v>155</v>
      </c>
      <c r="AR40" s="124" t="s">
        <v>119</v>
      </c>
      <c r="AS40" s="124" t="s">
        <v>114</v>
      </c>
      <c r="AT40" s="124" t="s">
        <v>120</v>
      </c>
      <c r="AU40" s="124" t="s">
        <v>116</v>
      </c>
      <c r="AV40" s="124" t="s">
        <v>375</v>
      </c>
      <c r="AW40" s="124">
        <v>2</v>
      </c>
      <c r="AX40" s="124" t="s">
        <v>184</v>
      </c>
      <c r="AY40" s="124" t="s">
        <v>113</v>
      </c>
      <c r="AZ40" s="124" t="s">
        <v>115</v>
      </c>
      <c r="BA40" s="124" t="s">
        <v>116</v>
      </c>
      <c r="BB40" s="124" t="s">
        <v>376</v>
      </c>
      <c r="BC40" s="124">
        <v>3</v>
      </c>
      <c r="BD40" s="124" t="s">
        <v>184</v>
      </c>
      <c r="BE40" s="124" t="s">
        <v>123</v>
      </c>
      <c r="BF40" s="124" t="s">
        <v>124</v>
      </c>
      <c r="BG40" s="124" t="s">
        <v>116</v>
      </c>
      <c r="BH40" s="124" t="s">
        <v>377</v>
      </c>
      <c r="BI40" s="124">
        <v>2</v>
      </c>
      <c r="BJ40" s="123">
        <v>0</v>
      </c>
      <c r="BK40" s="124" t="s">
        <v>404</v>
      </c>
      <c r="BL40" s="124" t="s">
        <v>240</v>
      </c>
      <c r="BN40" s="124">
        <v>4.65E-2</v>
      </c>
      <c r="BO40" s="124">
        <v>6.4646469999999998E-2</v>
      </c>
      <c r="BP40" s="124">
        <v>8.2793000000000005E-2</v>
      </c>
      <c r="BQ40" s="124" t="s">
        <v>161</v>
      </c>
      <c r="BR40" s="124">
        <v>7</v>
      </c>
      <c r="BS40" s="124">
        <v>5.7093739999999997E-3</v>
      </c>
      <c r="BT40" s="124">
        <v>8.6776900000000001E-3</v>
      </c>
      <c r="BU40" s="124">
        <v>1.1646E-2</v>
      </c>
      <c r="BV40" s="124" t="s">
        <v>161</v>
      </c>
      <c r="BW40" s="124">
        <v>7</v>
      </c>
      <c r="BX40" s="124" t="s">
        <v>381</v>
      </c>
      <c r="BY40" s="82">
        <v>8.6776900000000001E-3</v>
      </c>
      <c r="BZ40" s="82">
        <v>1.1646E-2</v>
      </c>
      <c r="CA40">
        <v>1.8146530000000008E-2</v>
      </c>
      <c r="CB40">
        <v>2.96831E-3</v>
      </c>
      <c r="CC40" s="123" t="s">
        <v>3188</v>
      </c>
      <c r="CD40" s="124"/>
      <c r="CE40" s="124"/>
      <c r="CF40" s="123" t="s">
        <v>3189</v>
      </c>
      <c r="CG40" t="s">
        <v>3095</v>
      </c>
    </row>
    <row r="41" spans="1:85" ht="14.5">
      <c r="A41" s="128">
        <v>14</v>
      </c>
      <c r="B41" s="124" t="s">
        <v>365</v>
      </c>
      <c r="C41" s="124">
        <v>2017</v>
      </c>
      <c r="D41" s="124" t="s">
        <v>366</v>
      </c>
      <c r="E41" s="129">
        <v>44714</v>
      </c>
      <c r="F41" s="123" t="s">
        <v>90</v>
      </c>
      <c r="G41" s="124" t="s">
        <v>360</v>
      </c>
      <c r="H41" s="124" t="s">
        <v>367</v>
      </c>
      <c r="I41" s="124" t="s">
        <v>368</v>
      </c>
      <c r="J41" s="124" t="s">
        <v>369</v>
      </c>
      <c r="K41" s="124" t="s">
        <v>97</v>
      </c>
      <c r="L41" s="124" t="s">
        <v>137</v>
      </c>
      <c r="M41" s="124" t="s">
        <v>95</v>
      </c>
      <c r="N41" s="124" t="s">
        <v>370</v>
      </c>
      <c r="O41" s="124" t="s">
        <v>97</v>
      </c>
      <c r="P41" s="124" t="s">
        <v>97</v>
      </c>
      <c r="Q41" s="124" t="s">
        <v>367</v>
      </c>
      <c r="R41" s="124" t="s">
        <v>367</v>
      </c>
      <c r="S41" s="124" t="s">
        <v>90</v>
      </c>
      <c r="T41" s="117" t="s">
        <v>114</v>
      </c>
      <c r="U41" s="124" t="s">
        <v>191</v>
      </c>
      <c r="V41" s="124" t="s">
        <v>99</v>
      </c>
      <c r="W41" s="124" t="s">
        <v>367</v>
      </c>
      <c r="X41" s="123" t="s">
        <v>3083</v>
      </c>
      <c r="Y41" s="123" t="s">
        <v>3084</v>
      </c>
      <c r="Z41" s="124" t="s">
        <v>371</v>
      </c>
      <c r="AA41" s="123" t="s">
        <v>3102</v>
      </c>
      <c r="AB41" s="124" t="s">
        <v>319</v>
      </c>
      <c r="AC41" s="124" t="s">
        <v>105</v>
      </c>
      <c r="AD41" s="124" t="s">
        <v>372</v>
      </c>
      <c r="AE41" s="124" t="s">
        <v>373</v>
      </c>
      <c r="AF41" s="124" t="s">
        <v>197</v>
      </c>
      <c r="AG41" s="123">
        <v>3</v>
      </c>
      <c r="AH41" s="124" t="s">
        <v>90</v>
      </c>
      <c r="AI41" s="124" t="s">
        <v>374</v>
      </c>
      <c r="AJ41" s="124" t="s">
        <v>150</v>
      </c>
      <c r="AK41" s="124">
        <v>2</v>
      </c>
      <c r="AL41" s="124" t="s">
        <v>151</v>
      </c>
      <c r="AM41" s="124" t="s">
        <v>97</v>
      </c>
      <c r="AN41" s="124" t="s">
        <v>97</v>
      </c>
      <c r="AO41" s="124" t="s">
        <v>152</v>
      </c>
      <c r="AP41" s="124">
        <v>2</v>
      </c>
      <c r="AQ41" s="124" t="s">
        <v>155</v>
      </c>
      <c r="AR41" s="124" t="s">
        <v>119</v>
      </c>
      <c r="AS41" s="124" t="s">
        <v>114</v>
      </c>
      <c r="AT41" s="124" t="s">
        <v>120</v>
      </c>
      <c r="AU41" s="124" t="s">
        <v>116</v>
      </c>
      <c r="AV41" s="124" t="s">
        <v>375</v>
      </c>
      <c r="AW41" s="124">
        <v>2</v>
      </c>
      <c r="AX41" s="124" t="s">
        <v>184</v>
      </c>
      <c r="AY41" s="124" t="s">
        <v>113</v>
      </c>
      <c r="AZ41" s="124" t="s">
        <v>115</v>
      </c>
      <c r="BA41" s="124" t="s">
        <v>116</v>
      </c>
      <c r="BB41" s="124" t="s">
        <v>376</v>
      </c>
      <c r="BC41" s="124">
        <v>3</v>
      </c>
      <c r="BD41" s="124" t="s">
        <v>184</v>
      </c>
      <c r="BE41" s="124" t="s">
        <v>123</v>
      </c>
      <c r="BF41" s="124" t="s">
        <v>124</v>
      </c>
      <c r="BG41" s="124" t="s">
        <v>116</v>
      </c>
      <c r="BH41" s="124" t="s">
        <v>377</v>
      </c>
      <c r="BI41" s="124">
        <v>2</v>
      </c>
      <c r="BJ41" s="123">
        <v>0</v>
      </c>
      <c r="BK41" s="124" t="s">
        <v>405</v>
      </c>
      <c r="BL41" s="124" t="s">
        <v>240</v>
      </c>
      <c r="BN41" s="124">
        <v>1.1610000000000001E-2</v>
      </c>
      <c r="BO41" s="124">
        <v>2.3181819999999999E-2</v>
      </c>
      <c r="BP41" s="124">
        <v>3.4755000000000001E-2</v>
      </c>
      <c r="BQ41" s="124" t="s">
        <v>161</v>
      </c>
      <c r="BR41" s="124">
        <v>7</v>
      </c>
      <c r="BS41" s="124">
        <v>5.7093739999999997E-3</v>
      </c>
      <c r="BT41" s="124">
        <v>8.6776900000000001E-3</v>
      </c>
      <c r="BU41" s="124">
        <v>1.1646E-2</v>
      </c>
      <c r="BV41" s="124" t="s">
        <v>161</v>
      </c>
      <c r="BW41" s="124">
        <v>7</v>
      </c>
      <c r="BX41" s="124" t="s">
        <v>381</v>
      </c>
      <c r="BY41" s="82">
        <v>8.6776900000000001E-3</v>
      </c>
      <c r="BZ41" s="82">
        <v>1.1646E-2</v>
      </c>
      <c r="CA41">
        <v>1.1573180000000002E-2</v>
      </c>
      <c r="CB41">
        <v>2.96831E-3</v>
      </c>
      <c r="CC41" s="123" t="s">
        <v>3188</v>
      </c>
      <c r="CD41" s="124"/>
      <c r="CE41" s="124"/>
      <c r="CF41" s="123" t="s">
        <v>3189</v>
      </c>
      <c r="CG41" t="s">
        <v>3095</v>
      </c>
    </row>
    <row r="42" spans="1:85" ht="14.5">
      <c r="A42" s="128">
        <v>14</v>
      </c>
      <c r="B42" s="124" t="s">
        <v>365</v>
      </c>
      <c r="C42" s="124">
        <v>2017</v>
      </c>
      <c r="D42" s="124" t="s">
        <v>366</v>
      </c>
      <c r="E42" s="129">
        <v>44714</v>
      </c>
      <c r="F42" s="123" t="s">
        <v>90</v>
      </c>
      <c r="G42" s="124" t="s">
        <v>360</v>
      </c>
      <c r="H42" s="124" t="s">
        <v>367</v>
      </c>
      <c r="I42" s="124" t="s">
        <v>368</v>
      </c>
      <c r="J42" s="124" t="s">
        <v>369</v>
      </c>
      <c r="K42" s="124" t="s">
        <v>97</v>
      </c>
      <c r="L42" s="124" t="s">
        <v>137</v>
      </c>
      <c r="M42" s="124" t="s">
        <v>95</v>
      </c>
      <c r="N42" s="124" t="s">
        <v>370</v>
      </c>
      <c r="O42" s="124" t="s">
        <v>97</v>
      </c>
      <c r="P42" s="124" t="s">
        <v>97</v>
      </c>
      <c r="Q42" s="124" t="s">
        <v>367</v>
      </c>
      <c r="R42" s="124" t="s">
        <v>367</v>
      </c>
      <c r="S42" s="124" t="s">
        <v>90</v>
      </c>
      <c r="T42" s="117" t="s">
        <v>114</v>
      </c>
      <c r="U42" s="124" t="s">
        <v>191</v>
      </c>
      <c r="V42" s="124" t="s">
        <v>99</v>
      </c>
      <c r="W42" s="124" t="s">
        <v>367</v>
      </c>
      <c r="X42" s="123" t="s">
        <v>3083</v>
      </c>
      <c r="Y42" s="123" t="s">
        <v>3084</v>
      </c>
      <c r="Z42" s="124" t="s">
        <v>371</v>
      </c>
      <c r="AA42" s="123" t="s">
        <v>3102</v>
      </c>
      <c r="AB42" s="124" t="s">
        <v>319</v>
      </c>
      <c r="AC42" s="124" t="s">
        <v>105</v>
      </c>
      <c r="AD42" s="124" t="s">
        <v>372</v>
      </c>
      <c r="AE42" s="124" t="s">
        <v>373</v>
      </c>
      <c r="AF42" s="124" t="s">
        <v>197</v>
      </c>
      <c r="AG42" s="123">
        <v>3</v>
      </c>
      <c r="AH42" s="124" t="s">
        <v>90</v>
      </c>
      <c r="AI42" s="124" t="s">
        <v>374</v>
      </c>
      <c r="AJ42" s="124" t="s">
        <v>150</v>
      </c>
      <c r="AK42" s="124">
        <v>2</v>
      </c>
      <c r="AL42" s="124" t="s">
        <v>151</v>
      </c>
      <c r="AM42" s="124" t="s">
        <v>97</v>
      </c>
      <c r="AN42" s="124" t="s">
        <v>97</v>
      </c>
      <c r="AO42" s="124" t="s">
        <v>152</v>
      </c>
      <c r="AP42" s="124">
        <v>2</v>
      </c>
      <c r="AQ42" s="124" t="s">
        <v>155</v>
      </c>
      <c r="AR42" s="124" t="s">
        <v>119</v>
      </c>
      <c r="AS42" s="124" t="s">
        <v>114</v>
      </c>
      <c r="AT42" s="124" t="s">
        <v>120</v>
      </c>
      <c r="AU42" s="124" t="s">
        <v>116</v>
      </c>
      <c r="AV42" s="124" t="s">
        <v>375</v>
      </c>
      <c r="AW42" s="124">
        <v>2</v>
      </c>
      <c r="AX42" s="124" t="s">
        <v>184</v>
      </c>
      <c r="AY42" s="124" t="s">
        <v>113</v>
      </c>
      <c r="AZ42" s="124" t="s">
        <v>115</v>
      </c>
      <c r="BA42" s="124" t="s">
        <v>116</v>
      </c>
      <c r="BB42" s="124" t="s">
        <v>376</v>
      </c>
      <c r="BC42" s="124">
        <v>3</v>
      </c>
      <c r="BD42" s="124" t="s">
        <v>184</v>
      </c>
      <c r="BE42" s="124" t="s">
        <v>123</v>
      </c>
      <c r="BF42" s="124" t="s">
        <v>124</v>
      </c>
      <c r="BG42" s="124" t="s">
        <v>116</v>
      </c>
      <c r="BH42" s="124" t="s">
        <v>377</v>
      </c>
      <c r="BI42" s="124">
        <v>2</v>
      </c>
      <c r="BJ42" s="123">
        <v>0</v>
      </c>
      <c r="BK42" s="124" t="s">
        <v>406</v>
      </c>
      <c r="BL42" s="124" t="s">
        <v>240</v>
      </c>
      <c r="BN42" s="124">
        <v>4.8199999999999996E-3</v>
      </c>
      <c r="BO42" s="124">
        <v>9.0909100000000007E-3</v>
      </c>
      <c r="BP42" s="124">
        <v>1.3363999999999999E-2</v>
      </c>
      <c r="BQ42" s="124" t="s">
        <v>161</v>
      </c>
      <c r="BR42" s="124">
        <v>7</v>
      </c>
      <c r="BS42" s="124">
        <v>5.7093739999999997E-3</v>
      </c>
      <c r="BT42" s="124">
        <v>8.6776900000000001E-3</v>
      </c>
      <c r="BU42" s="124">
        <v>1.1646E-2</v>
      </c>
      <c r="BV42" s="124" t="s">
        <v>161</v>
      </c>
      <c r="BW42" s="124">
        <v>7</v>
      </c>
      <c r="BX42" s="124" t="s">
        <v>381</v>
      </c>
      <c r="BY42" s="82">
        <v>8.6776900000000001E-3</v>
      </c>
      <c r="BZ42" s="82">
        <v>1.1646E-2</v>
      </c>
      <c r="CA42">
        <v>4.2730899999999985E-3</v>
      </c>
      <c r="CB42">
        <v>2.96831E-3</v>
      </c>
      <c r="CC42" s="123" t="s">
        <v>3188</v>
      </c>
      <c r="CD42" s="124"/>
      <c r="CE42" s="124"/>
      <c r="CF42" s="123" t="s">
        <v>3189</v>
      </c>
      <c r="CG42" t="s">
        <v>3095</v>
      </c>
    </row>
    <row r="43" spans="1:85" ht="14.5">
      <c r="A43" s="128">
        <v>14</v>
      </c>
      <c r="B43" s="124" t="s">
        <v>365</v>
      </c>
      <c r="C43" s="124">
        <v>2017</v>
      </c>
      <c r="D43" s="124" t="s">
        <v>366</v>
      </c>
      <c r="E43" s="129">
        <v>44714</v>
      </c>
      <c r="F43" s="123" t="s">
        <v>90</v>
      </c>
      <c r="G43" s="124" t="s">
        <v>360</v>
      </c>
      <c r="H43" s="124" t="s">
        <v>367</v>
      </c>
      <c r="I43" s="124" t="s">
        <v>368</v>
      </c>
      <c r="J43" s="124" t="s">
        <v>369</v>
      </c>
      <c r="K43" s="124" t="s">
        <v>97</v>
      </c>
      <c r="L43" s="124" t="s">
        <v>137</v>
      </c>
      <c r="M43" s="124" t="s">
        <v>95</v>
      </c>
      <c r="N43" s="124" t="s">
        <v>370</v>
      </c>
      <c r="O43" s="124" t="s">
        <v>97</v>
      </c>
      <c r="P43" s="124" t="s">
        <v>97</v>
      </c>
      <c r="Q43" s="124" t="s">
        <v>367</v>
      </c>
      <c r="R43" s="124" t="s">
        <v>367</v>
      </c>
      <c r="S43" s="124" t="s">
        <v>90</v>
      </c>
      <c r="T43" s="117" t="s">
        <v>114</v>
      </c>
      <c r="U43" s="124" t="s">
        <v>191</v>
      </c>
      <c r="V43" s="124" t="s">
        <v>99</v>
      </c>
      <c r="W43" s="124" t="s">
        <v>367</v>
      </c>
      <c r="X43" s="123" t="s">
        <v>3083</v>
      </c>
      <c r="Y43" s="123" t="s">
        <v>3084</v>
      </c>
      <c r="Z43" s="124" t="s">
        <v>371</v>
      </c>
      <c r="AA43" s="123" t="s">
        <v>3102</v>
      </c>
      <c r="AB43" s="124" t="s">
        <v>319</v>
      </c>
      <c r="AC43" s="124" t="s">
        <v>105</v>
      </c>
      <c r="AD43" s="124" t="s">
        <v>372</v>
      </c>
      <c r="AE43" s="124" t="s">
        <v>373</v>
      </c>
      <c r="AF43" s="124" t="s">
        <v>197</v>
      </c>
      <c r="AG43" s="123">
        <v>3</v>
      </c>
      <c r="AH43" s="124" t="s">
        <v>90</v>
      </c>
      <c r="AI43" s="124" t="s">
        <v>374</v>
      </c>
      <c r="AJ43" s="124" t="s">
        <v>150</v>
      </c>
      <c r="AK43" s="124">
        <v>2</v>
      </c>
      <c r="AL43" s="124" t="s">
        <v>151</v>
      </c>
      <c r="AM43" s="124" t="s">
        <v>97</v>
      </c>
      <c r="AN43" s="124" t="s">
        <v>97</v>
      </c>
      <c r="AO43" s="124" t="s">
        <v>152</v>
      </c>
      <c r="AP43" s="124">
        <v>2</v>
      </c>
      <c r="AQ43" s="124" t="s">
        <v>155</v>
      </c>
      <c r="AR43" s="124" t="s">
        <v>119</v>
      </c>
      <c r="AS43" s="124" t="s">
        <v>114</v>
      </c>
      <c r="AT43" s="124" t="s">
        <v>120</v>
      </c>
      <c r="AU43" s="124" t="s">
        <v>116</v>
      </c>
      <c r="AV43" s="124" t="s">
        <v>375</v>
      </c>
      <c r="AW43" s="124">
        <v>2</v>
      </c>
      <c r="AX43" s="124" t="s">
        <v>184</v>
      </c>
      <c r="AY43" s="124" t="s">
        <v>113</v>
      </c>
      <c r="AZ43" s="124" t="s">
        <v>115</v>
      </c>
      <c r="BA43" s="124" t="s">
        <v>116</v>
      </c>
      <c r="BB43" s="124" t="s">
        <v>376</v>
      </c>
      <c r="BC43" s="124">
        <v>3</v>
      </c>
      <c r="BD43" s="124" t="s">
        <v>184</v>
      </c>
      <c r="BE43" s="124" t="s">
        <v>123</v>
      </c>
      <c r="BF43" s="124" t="s">
        <v>124</v>
      </c>
      <c r="BG43" s="124" t="s">
        <v>116</v>
      </c>
      <c r="BH43" s="124" t="s">
        <v>377</v>
      </c>
      <c r="BI43" s="124">
        <v>2</v>
      </c>
      <c r="BJ43" s="123">
        <v>0</v>
      </c>
      <c r="BK43" s="124" t="s">
        <v>407</v>
      </c>
      <c r="BL43" s="124" t="s">
        <v>240</v>
      </c>
      <c r="BN43" s="124">
        <v>1.3559999999999999E-2</v>
      </c>
      <c r="BO43" s="124">
        <v>1.9090909999999999E-2</v>
      </c>
      <c r="BP43" s="124">
        <v>2.4618999999999999E-2</v>
      </c>
      <c r="BQ43" s="124" t="s">
        <v>161</v>
      </c>
      <c r="BR43" s="124">
        <v>7</v>
      </c>
      <c r="BS43" s="124">
        <v>5.7093739999999997E-3</v>
      </c>
      <c r="BT43" s="124">
        <v>8.6776900000000001E-3</v>
      </c>
      <c r="BU43" s="124">
        <v>1.1646E-2</v>
      </c>
      <c r="BV43" s="124" t="s">
        <v>161</v>
      </c>
      <c r="BW43" s="124">
        <v>7</v>
      </c>
      <c r="BX43" s="124" t="s">
        <v>381</v>
      </c>
      <c r="BY43" s="82">
        <v>8.6776900000000001E-3</v>
      </c>
      <c r="BZ43" s="82">
        <v>1.1646E-2</v>
      </c>
      <c r="CA43">
        <v>5.5280899999999994E-3</v>
      </c>
      <c r="CB43">
        <v>2.96831E-3</v>
      </c>
      <c r="CC43" s="123" t="s">
        <v>3188</v>
      </c>
      <c r="CD43" s="124"/>
      <c r="CE43" s="124"/>
      <c r="CF43" s="123" t="s">
        <v>3189</v>
      </c>
      <c r="CG43" t="s">
        <v>3095</v>
      </c>
    </row>
    <row r="44" spans="1:85" ht="14.5">
      <c r="A44" s="128">
        <v>14</v>
      </c>
      <c r="B44" s="124" t="s">
        <v>365</v>
      </c>
      <c r="C44" s="124">
        <v>2017</v>
      </c>
      <c r="D44" s="124" t="s">
        <v>366</v>
      </c>
      <c r="E44" s="129">
        <v>44714</v>
      </c>
      <c r="F44" s="123" t="s">
        <v>90</v>
      </c>
      <c r="G44" s="124" t="s">
        <v>360</v>
      </c>
      <c r="H44" s="124" t="s">
        <v>367</v>
      </c>
      <c r="I44" s="124" t="s">
        <v>368</v>
      </c>
      <c r="J44" s="124" t="s">
        <v>369</v>
      </c>
      <c r="K44" s="124" t="s">
        <v>97</v>
      </c>
      <c r="L44" s="124" t="s">
        <v>137</v>
      </c>
      <c r="M44" s="124" t="s">
        <v>95</v>
      </c>
      <c r="N44" s="124" t="s">
        <v>370</v>
      </c>
      <c r="O44" s="124" t="s">
        <v>97</v>
      </c>
      <c r="P44" s="124" t="s">
        <v>97</v>
      </c>
      <c r="Q44" s="124" t="s">
        <v>367</v>
      </c>
      <c r="R44" s="124" t="s">
        <v>367</v>
      </c>
      <c r="S44" s="124" t="s">
        <v>90</v>
      </c>
      <c r="T44" s="117" t="s">
        <v>114</v>
      </c>
      <c r="U44" s="124" t="s">
        <v>191</v>
      </c>
      <c r="V44" s="124" t="s">
        <v>99</v>
      </c>
      <c r="W44" s="124" t="s">
        <v>367</v>
      </c>
      <c r="X44" s="123" t="s">
        <v>3083</v>
      </c>
      <c r="Y44" s="123" t="s">
        <v>3084</v>
      </c>
      <c r="Z44" s="124" t="s">
        <v>371</v>
      </c>
      <c r="AA44" s="123" t="s">
        <v>3102</v>
      </c>
      <c r="AB44" s="124" t="s">
        <v>319</v>
      </c>
      <c r="AC44" s="124" t="s">
        <v>105</v>
      </c>
      <c r="AD44" s="124" t="s">
        <v>372</v>
      </c>
      <c r="AE44" s="124" t="s">
        <v>373</v>
      </c>
      <c r="AF44" s="124" t="s">
        <v>197</v>
      </c>
      <c r="AG44" s="123">
        <v>3</v>
      </c>
      <c r="AH44" s="124" t="s">
        <v>90</v>
      </c>
      <c r="AI44" s="124" t="s">
        <v>374</v>
      </c>
      <c r="AJ44" s="124" t="s">
        <v>150</v>
      </c>
      <c r="AK44" s="124">
        <v>2</v>
      </c>
      <c r="AL44" s="124" t="s">
        <v>151</v>
      </c>
      <c r="AM44" s="124" t="s">
        <v>97</v>
      </c>
      <c r="AN44" s="124" t="s">
        <v>97</v>
      </c>
      <c r="AO44" s="124" t="s">
        <v>152</v>
      </c>
      <c r="AP44" s="124">
        <v>2</v>
      </c>
      <c r="AQ44" s="124" t="s">
        <v>155</v>
      </c>
      <c r="AR44" s="124" t="s">
        <v>119</v>
      </c>
      <c r="AS44" s="124" t="s">
        <v>114</v>
      </c>
      <c r="AT44" s="124" t="s">
        <v>120</v>
      </c>
      <c r="AU44" s="124" t="s">
        <v>116</v>
      </c>
      <c r="AV44" s="124" t="s">
        <v>375</v>
      </c>
      <c r="AW44" s="124">
        <v>2</v>
      </c>
      <c r="AX44" s="124" t="s">
        <v>184</v>
      </c>
      <c r="AY44" s="124" t="s">
        <v>113</v>
      </c>
      <c r="AZ44" s="124" t="s">
        <v>115</v>
      </c>
      <c r="BA44" s="124" t="s">
        <v>116</v>
      </c>
      <c r="BB44" s="124" t="s">
        <v>376</v>
      </c>
      <c r="BC44" s="124">
        <v>3</v>
      </c>
      <c r="BD44" s="124" t="s">
        <v>184</v>
      </c>
      <c r="BE44" s="124" t="s">
        <v>123</v>
      </c>
      <c r="BF44" s="124" t="s">
        <v>124</v>
      </c>
      <c r="BG44" s="124" t="s">
        <v>116</v>
      </c>
      <c r="BH44" s="124" t="s">
        <v>377</v>
      </c>
      <c r="BI44" s="124">
        <v>2</v>
      </c>
      <c r="BJ44" s="123">
        <v>0</v>
      </c>
      <c r="BK44" s="124" t="s">
        <v>408</v>
      </c>
      <c r="BL44" s="124" t="s">
        <v>240</v>
      </c>
      <c r="BN44" s="124">
        <v>7.45E-3</v>
      </c>
      <c r="BO44" s="124">
        <v>1.772727E-2</v>
      </c>
      <c r="BP44" s="124">
        <v>2.8008000000000002E-2</v>
      </c>
      <c r="BQ44" s="124" t="s">
        <v>161</v>
      </c>
      <c r="BR44" s="124">
        <v>7</v>
      </c>
      <c r="BS44" s="124">
        <v>5.7093739999999997E-3</v>
      </c>
      <c r="BT44" s="124">
        <v>8.6776900000000001E-3</v>
      </c>
      <c r="BU44" s="124">
        <v>1.1646E-2</v>
      </c>
      <c r="BV44" s="124" t="s">
        <v>161</v>
      </c>
      <c r="BW44" s="124">
        <v>7</v>
      </c>
      <c r="BX44" s="124" t="s">
        <v>381</v>
      </c>
      <c r="BY44" s="82">
        <v>8.6776900000000001E-3</v>
      </c>
      <c r="BZ44" s="82">
        <v>1.1646E-2</v>
      </c>
      <c r="CA44">
        <v>1.0280730000000002E-2</v>
      </c>
      <c r="CB44">
        <v>2.96831E-3</v>
      </c>
      <c r="CC44" s="123" t="s">
        <v>3188</v>
      </c>
      <c r="CD44" s="124"/>
      <c r="CE44" s="124"/>
      <c r="CF44" s="123" t="s">
        <v>3189</v>
      </c>
      <c r="CG44" t="s">
        <v>3095</v>
      </c>
    </row>
    <row r="45" spans="1:85" ht="14.5">
      <c r="A45" s="128">
        <v>14</v>
      </c>
      <c r="B45" s="124" t="s">
        <v>365</v>
      </c>
      <c r="C45" s="124">
        <v>2017</v>
      </c>
      <c r="D45" s="124" t="s">
        <v>366</v>
      </c>
      <c r="E45" s="129">
        <v>44714</v>
      </c>
      <c r="F45" s="123" t="s">
        <v>90</v>
      </c>
      <c r="G45" s="124" t="s">
        <v>360</v>
      </c>
      <c r="H45" s="124" t="s">
        <v>367</v>
      </c>
      <c r="I45" s="124" t="s">
        <v>368</v>
      </c>
      <c r="J45" s="124" t="s">
        <v>369</v>
      </c>
      <c r="K45" s="124" t="s">
        <v>97</v>
      </c>
      <c r="L45" s="124" t="s">
        <v>137</v>
      </c>
      <c r="M45" s="124" t="s">
        <v>95</v>
      </c>
      <c r="N45" s="124" t="s">
        <v>370</v>
      </c>
      <c r="O45" s="124" t="s">
        <v>97</v>
      </c>
      <c r="P45" s="124" t="s">
        <v>97</v>
      </c>
      <c r="Q45" s="124" t="s">
        <v>367</v>
      </c>
      <c r="R45" s="124" t="s">
        <v>367</v>
      </c>
      <c r="S45" s="124" t="s">
        <v>90</v>
      </c>
      <c r="T45" s="117" t="s">
        <v>114</v>
      </c>
      <c r="U45" s="124" t="s">
        <v>191</v>
      </c>
      <c r="V45" s="124" t="s">
        <v>99</v>
      </c>
      <c r="W45" s="124" t="s">
        <v>367</v>
      </c>
      <c r="X45" s="123" t="s">
        <v>3083</v>
      </c>
      <c r="Y45" s="123" t="s">
        <v>3084</v>
      </c>
      <c r="Z45" s="124" t="s">
        <v>371</v>
      </c>
      <c r="AA45" s="123" t="s">
        <v>3102</v>
      </c>
      <c r="AB45" s="124" t="s">
        <v>319</v>
      </c>
      <c r="AC45" s="124" t="s">
        <v>105</v>
      </c>
      <c r="AD45" s="124" t="s">
        <v>372</v>
      </c>
      <c r="AE45" s="124" t="s">
        <v>373</v>
      </c>
      <c r="AF45" s="124" t="s">
        <v>197</v>
      </c>
      <c r="AG45" s="123">
        <v>3</v>
      </c>
      <c r="AH45" s="124" t="s">
        <v>90</v>
      </c>
      <c r="AI45" s="124" t="s">
        <v>374</v>
      </c>
      <c r="AJ45" s="124" t="s">
        <v>150</v>
      </c>
      <c r="AK45" s="124">
        <v>2</v>
      </c>
      <c r="AL45" s="124" t="s">
        <v>151</v>
      </c>
      <c r="AM45" s="124" t="s">
        <v>97</v>
      </c>
      <c r="AN45" s="124" t="s">
        <v>97</v>
      </c>
      <c r="AO45" s="124" t="s">
        <v>152</v>
      </c>
      <c r="AP45" s="124">
        <v>2</v>
      </c>
      <c r="AQ45" s="124" t="s">
        <v>155</v>
      </c>
      <c r="AR45" s="124" t="s">
        <v>119</v>
      </c>
      <c r="AS45" s="124" t="s">
        <v>114</v>
      </c>
      <c r="AT45" s="124" t="s">
        <v>120</v>
      </c>
      <c r="AU45" s="124" t="s">
        <v>116</v>
      </c>
      <c r="AV45" s="124" t="s">
        <v>375</v>
      </c>
      <c r="AW45" s="124">
        <v>2</v>
      </c>
      <c r="AX45" s="124" t="s">
        <v>184</v>
      </c>
      <c r="AY45" s="124" t="s">
        <v>113</v>
      </c>
      <c r="AZ45" s="124" t="s">
        <v>115</v>
      </c>
      <c r="BA45" s="124" t="s">
        <v>116</v>
      </c>
      <c r="BB45" s="124" t="s">
        <v>376</v>
      </c>
      <c r="BC45" s="124">
        <v>3</v>
      </c>
      <c r="BD45" s="124" t="s">
        <v>184</v>
      </c>
      <c r="BE45" s="124" t="s">
        <v>123</v>
      </c>
      <c r="BF45" s="124" t="s">
        <v>124</v>
      </c>
      <c r="BG45" s="124" t="s">
        <v>116</v>
      </c>
      <c r="BH45" s="124" t="s">
        <v>377</v>
      </c>
      <c r="BI45" s="124">
        <v>2</v>
      </c>
      <c r="BJ45" s="124">
        <v>4</v>
      </c>
      <c r="BK45" s="124" t="s">
        <v>409</v>
      </c>
      <c r="BL45" s="124" t="s">
        <v>240</v>
      </c>
      <c r="BN45" s="124">
        <v>1.8699999999999999E-3</v>
      </c>
      <c r="BO45" s="124">
        <v>6.1224499999999998E-3</v>
      </c>
      <c r="BP45" s="124">
        <v>1.0371E-2</v>
      </c>
      <c r="BQ45" s="124" t="s">
        <v>161</v>
      </c>
      <c r="BR45" s="124">
        <v>7</v>
      </c>
      <c r="BS45" s="124">
        <v>8.9016080000000001E-3</v>
      </c>
      <c r="BT45" s="124">
        <v>1.285714E-2</v>
      </c>
      <c r="BU45" s="124">
        <v>1.6813000000000002E-2</v>
      </c>
      <c r="BV45" s="124" t="s">
        <v>161</v>
      </c>
      <c r="BW45" s="124">
        <v>7</v>
      </c>
      <c r="BX45" s="124" t="s">
        <v>381</v>
      </c>
      <c r="BY45" s="82">
        <v>1.285714E-2</v>
      </c>
      <c r="BZ45" s="82">
        <v>1.6813000000000002E-2</v>
      </c>
      <c r="CA45">
        <v>4.2485500000000002E-3</v>
      </c>
      <c r="CB45">
        <v>3.955860000000002E-3</v>
      </c>
      <c r="CC45" s="123" t="s">
        <v>3188</v>
      </c>
      <c r="CD45" s="124"/>
      <c r="CE45" s="124"/>
      <c r="CF45" s="123" t="s">
        <v>3189</v>
      </c>
      <c r="CG45" t="s">
        <v>3095</v>
      </c>
    </row>
    <row r="46" spans="1:85" ht="14.5">
      <c r="A46" s="128">
        <v>14</v>
      </c>
      <c r="B46" s="124" t="s">
        <v>365</v>
      </c>
      <c r="C46" s="124">
        <v>2017</v>
      </c>
      <c r="D46" s="124" t="s">
        <v>366</v>
      </c>
      <c r="E46" s="129">
        <v>44714</v>
      </c>
      <c r="F46" s="123" t="s">
        <v>90</v>
      </c>
      <c r="G46" s="124" t="s">
        <v>360</v>
      </c>
      <c r="H46" s="124" t="s">
        <v>367</v>
      </c>
      <c r="I46" s="124" t="s">
        <v>368</v>
      </c>
      <c r="J46" s="124" t="s">
        <v>369</v>
      </c>
      <c r="K46" s="124" t="s">
        <v>97</v>
      </c>
      <c r="L46" s="124" t="s">
        <v>137</v>
      </c>
      <c r="M46" s="124" t="s">
        <v>95</v>
      </c>
      <c r="N46" s="124" t="s">
        <v>370</v>
      </c>
      <c r="O46" s="124" t="s">
        <v>97</v>
      </c>
      <c r="P46" s="124" t="s">
        <v>97</v>
      </c>
      <c r="Q46" s="124" t="s">
        <v>367</v>
      </c>
      <c r="R46" s="124" t="s">
        <v>367</v>
      </c>
      <c r="S46" s="124" t="s">
        <v>90</v>
      </c>
      <c r="T46" s="117" t="s">
        <v>114</v>
      </c>
      <c r="U46" s="124" t="s">
        <v>191</v>
      </c>
      <c r="V46" s="124" t="s">
        <v>99</v>
      </c>
      <c r="W46" s="124" t="s">
        <v>367</v>
      </c>
      <c r="X46" s="123" t="s">
        <v>3083</v>
      </c>
      <c r="Y46" s="123" t="s">
        <v>3084</v>
      </c>
      <c r="Z46" s="124" t="s">
        <v>371</v>
      </c>
      <c r="AA46" s="123" t="s">
        <v>3102</v>
      </c>
      <c r="AB46" s="124" t="s">
        <v>319</v>
      </c>
      <c r="AC46" s="124" t="s">
        <v>105</v>
      </c>
      <c r="AD46" s="124" t="s">
        <v>372</v>
      </c>
      <c r="AE46" s="124" t="s">
        <v>373</v>
      </c>
      <c r="AF46" s="124" t="s">
        <v>197</v>
      </c>
      <c r="AG46" s="123">
        <v>3</v>
      </c>
      <c r="AH46" s="124" t="s">
        <v>90</v>
      </c>
      <c r="AI46" s="124" t="s">
        <v>374</v>
      </c>
      <c r="AJ46" s="124" t="s">
        <v>150</v>
      </c>
      <c r="AK46" s="124">
        <v>2</v>
      </c>
      <c r="AL46" s="124" t="s">
        <v>151</v>
      </c>
      <c r="AM46" s="124" t="s">
        <v>97</v>
      </c>
      <c r="AN46" s="124" t="s">
        <v>97</v>
      </c>
      <c r="AO46" s="124" t="s">
        <v>152</v>
      </c>
      <c r="AP46" s="124">
        <v>2</v>
      </c>
      <c r="AQ46" s="124" t="s">
        <v>155</v>
      </c>
      <c r="AR46" s="124" t="s">
        <v>119</v>
      </c>
      <c r="AS46" s="124" t="s">
        <v>114</v>
      </c>
      <c r="AT46" s="124" t="s">
        <v>120</v>
      </c>
      <c r="AU46" s="124" t="s">
        <v>116</v>
      </c>
      <c r="AV46" s="124" t="s">
        <v>375</v>
      </c>
      <c r="AW46" s="124">
        <v>2</v>
      </c>
      <c r="AX46" s="124" t="s">
        <v>184</v>
      </c>
      <c r="AY46" s="124" t="s">
        <v>113</v>
      </c>
      <c r="AZ46" s="124" t="s">
        <v>115</v>
      </c>
      <c r="BA46" s="124" t="s">
        <v>116</v>
      </c>
      <c r="BB46" s="124" t="s">
        <v>376</v>
      </c>
      <c r="BC46" s="124">
        <v>3</v>
      </c>
      <c r="BD46" s="124" t="s">
        <v>184</v>
      </c>
      <c r="BE46" s="124" t="s">
        <v>123</v>
      </c>
      <c r="BF46" s="124" t="s">
        <v>124</v>
      </c>
      <c r="BG46" s="124" t="s">
        <v>116</v>
      </c>
      <c r="BH46" s="124" t="s">
        <v>377</v>
      </c>
      <c r="BI46" s="124">
        <v>2</v>
      </c>
      <c r="BJ46" s="124">
        <v>4</v>
      </c>
      <c r="BK46" s="124" t="s">
        <v>410</v>
      </c>
      <c r="BL46" s="124" t="s">
        <v>240</v>
      </c>
      <c r="BN46" s="124">
        <v>6.9300000000000004E-3</v>
      </c>
      <c r="BO46" s="124">
        <v>2.4489799999999999E-2</v>
      </c>
      <c r="BP46" s="124">
        <v>4.2046E-2</v>
      </c>
      <c r="BQ46" s="124" t="s">
        <v>161</v>
      </c>
      <c r="BR46" s="124">
        <v>7</v>
      </c>
      <c r="BS46" s="124">
        <v>8.9016080000000001E-3</v>
      </c>
      <c r="BT46" s="124">
        <v>1.285714E-2</v>
      </c>
      <c r="BU46" s="124">
        <v>1.6813000000000002E-2</v>
      </c>
      <c r="BV46" s="124" t="s">
        <v>161</v>
      </c>
      <c r="BW46" s="124">
        <v>7</v>
      </c>
      <c r="BX46" s="124" t="s">
        <v>381</v>
      </c>
      <c r="BY46" s="82">
        <v>1.285714E-2</v>
      </c>
      <c r="BZ46" s="82">
        <v>1.6813000000000002E-2</v>
      </c>
      <c r="CA46">
        <v>1.7556200000000001E-2</v>
      </c>
      <c r="CB46">
        <v>3.955860000000002E-3</v>
      </c>
      <c r="CC46" s="123" t="s">
        <v>3188</v>
      </c>
      <c r="CD46" s="124"/>
      <c r="CE46" s="124"/>
      <c r="CF46" s="123" t="s">
        <v>3189</v>
      </c>
      <c r="CG46" t="s">
        <v>3095</v>
      </c>
    </row>
    <row r="47" spans="1:85" ht="14.5">
      <c r="A47" s="128">
        <v>14</v>
      </c>
      <c r="B47" s="124" t="s">
        <v>365</v>
      </c>
      <c r="C47" s="124">
        <v>2017</v>
      </c>
      <c r="D47" s="124" t="s">
        <v>366</v>
      </c>
      <c r="E47" s="129">
        <v>44714</v>
      </c>
      <c r="F47" s="123" t="s">
        <v>90</v>
      </c>
      <c r="G47" s="124" t="s">
        <v>360</v>
      </c>
      <c r="H47" s="124" t="s">
        <v>367</v>
      </c>
      <c r="I47" s="124" t="s">
        <v>368</v>
      </c>
      <c r="J47" s="124" t="s">
        <v>369</v>
      </c>
      <c r="K47" s="124" t="s">
        <v>97</v>
      </c>
      <c r="L47" s="124" t="s">
        <v>137</v>
      </c>
      <c r="M47" s="124" t="s">
        <v>95</v>
      </c>
      <c r="N47" s="124" t="s">
        <v>370</v>
      </c>
      <c r="O47" s="124" t="s">
        <v>97</v>
      </c>
      <c r="P47" s="124" t="s">
        <v>97</v>
      </c>
      <c r="Q47" s="124" t="s">
        <v>367</v>
      </c>
      <c r="R47" s="124" t="s">
        <v>367</v>
      </c>
      <c r="S47" s="124" t="s">
        <v>90</v>
      </c>
      <c r="T47" s="117" t="s">
        <v>114</v>
      </c>
      <c r="U47" s="124" t="s">
        <v>191</v>
      </c>
      <c r="V47" s="124" t="s">
        <v>99</v>
      </c>
      <c r="W47" s="124" t="s">
        <v>367</v>
      </c>
      <c r="X47" s="123" t="s">
        <v>3083</v>
      </c>
      <c r="Y47" s="123" t="s">
        <v>3084</v>
      </c>
      <c r="Z47" s="124" t="s">
        <v>371</v>
      </c>
      <c r="AA47" s="123" t="s">
        <v>3102</v>
      </c>
      <c r="AB47" s="124" t="s">
        <v>319</v>
      </c>
      <c r="AC47" s="124" t="s">
        <v>105</v>
      </c>
      <c r="AD47" s="124" t="s">
        <v>372</v>
      </c>
      <c r="AE47" s="124" t="s">
        <v>373</v>
      </c>
      <c r="AF47" s="124" t="s">
        <v>197</v>
      </c>
      <c r="AG47" s="123">
        <v>3</v>
      </c>
      <c r="AH47" s="124" t="s">
        <v>90</v>
      </c>
      <c r="AI47" s="124" t="s">
        <v>374</v>
      </c>
      <c r="AJ47" s="124" t="s">
        <v>150</v>
      </c>
      <c r="AK47" s="124">
        <v>2</v>
      </c>
      <c r="AL47" s="124" t="s">
        <v>151</v>
      </c>
      <c r="AM47" s="124" t="s">
        <v>97</v>
      </c>
      <c r="AN47" s="124" t="s">
        <v>97</v>
      </c>
      <c r="AO47" s="124" t="s">
        <v>152</v>
      </c>
      <c r="AP47" s="124">
        <v>2</v>
      </c>
      <c r="AQ47" s="124" t="s">
        <v>155</v>
      </c>
      <c r="AR47" s="124" t="s">
        <v>119</v>
      </c>
      <c r="AS47" s="124" t="s">
        <v>114</v>
      </c>
      <c r="AT47" s="124" t="s">
        <v>120</v>
      </c>
      <c r="AU47" s="124" t="s">
        <v>116</v>
      </c>
      <c r="AV47" s="124" t="s">
        <v>375</v>
      </c>
      <c r="AW47" s="124">
        <v>2</v>
      </c>
      <c r="AX47" s="124" t="s">
        <v>184</v>
      </c>
      <c r="AY47" s="124" t="s">
        <v>113</v>
      </c>
      <c r="AZ47" s="124" t="s">
        <v>115</v>
      </c>
      <c r="BA47" s="124" t="s">
        <v>116</v>
      </c>
      <c r="BB47" s="124" t="s">
        <v>376</v>
      </c>
      <c r="BC47" s="124">
        <v>3</v>
      </c>
      <c r="BD47" s="124" t="s">
        <v>184</v>
      </c>
      <c r="BE47" s="124" t="s">
        <v>123</v>
      </c>
      <c r="BF47" s="124" t="s">
        <v>124</v>
      </c>
      <c r="BG47" s="124" t="s">
        <v>116</v>
      </c>
      <c r="BH47" s="124" t="s">
        <v>377</v>
      </c>
      <c r="BI47" s="124">
        <v>2</v>
      </c>
      <c r="BJ47" s="124">
        <v>4</v>
      </c>
      <c r="BK47" s="124" t="s">
        <v>411</v>
      </c>
      <c r="BL47" s="124" t="s">
        <v>240</v>
      </c>
      <c r="BN47" s="124">
        <v>3.9500000000000004E-3</v>
      </c>
      <c r="BO47" s="124">
        <v>1.428571E-2</v>
      </c>
      <c r="BP47" s="124">
        <v>2.4625000000000001E-2</v>
      </c>
      <c r="BQ47" s="124" t="s">
        <v>161</v>
      </c>
      <c r="BR47" s="124">
        <v>7</v>
      </c>
      <c r="BS47" s="124">
        <v>8.9016080000000001E-3</v>
      </c>
      <c r="BT47" s="124">
        <v>1.285714E-2</v>
      </c>
      <c r="BU47" s="124">
        <v>1.6813000000000002E-2</v>
      </c>
      <c r="BV47" s="124" t="s">
        <v>161</v>
      </c>
      <c r="BW47" s="124">
        <v>7</v>
      </c>
      <c r="BX47" s="124" t="s">
        <v>381</v>
      </c>
      <c r="BY47" s="82">
        <v>1.285714E-2</v>
      </c>
      <c r="BZ47" s="82">
        <v>1.6813000000000002E-2</v>
      </c>
      <c r="CA47">
        <v>1.0339290000000001E-2</v>
      </c>
      <c r="CB47">
        <v>3.955860000000002E-3</v>
      </c>
      <c r="CC47" s="123" t="s">
        <v>3188</v>
      </c>
      <c r="CD47" s="124"/>
      <c r="CE47" s="124"/>
      <c r="CF47" s="123" t="s">
        <v>3189</v>
      </c>
      <c r="CG47" t="s">
        <v>3095</v>
      </c>
    </row>
    <row r="48" spans="1:85" ht="14.5">
      <c r="A48" s="128">
        <v>14</v>
      </c>
      <c r="B48" s="124" t="s">
        <v>365</v>
      </c>
      <c r="C48" s="124">
        <v>2017</v>
      </c>
      <c r="D48" s="124" t="s">
        <v>366</v>
      </c>
      <c r="E48" s="129">
        <v>44714</v>
      </c>
      <c r="F48" s="123" t="s">
        <v>90</v>
      </c>
      <c r="G48" s="124" t="s">
        <v>360</v>
      </c>
      <c r="H48" s="124" t="s">
        <v>367</v>
      </c>
      <c r="I48" s="124" t="s">
        <v>368</v>
      </c>
      <c r="J48" s="124" t="s">
        <v>369</v>
      </c>
      <c r="K48" s="124" t="s">
        <v>97</v>
      </c>
      <c r="L48" s="124" t="s">
        <v>137</v>
      </c>
      <c r="M48" s="124" t="s">
        <v>95</v>
      </c>
      <c r="N48" s="124" t="s">
        <v>370</v>
      </c>
      <c r="O48" s="124" t="s">
        <v>97</v>
      </c>
      <c r="P48" s="124" t="s">
        <v>97</v>
      </c>
      <c r="Q48" s="124" t="s">
        <v>367</v>
      </c>
      <c r="R48" s="124" t="s">
        <v>367</v>
      </c>
      <c r="S48" s="124" t="s">
        <v>90</v>
      </c>
      <c r="T48" s="117" t="s">
        <v>114</v>
      </c>
      <c r="U48" s="124" t="s">
        <v>191</v>
      </c>
      <c r="V48" s="124" t="s">
        <v>99</v>
      </c>
      <c r="W48" s="124" t="s">
        <v>367</v>
      </c>
      <c r="X48" s="123" t="s">
        <v>3083</v>
      </c>
      <c r="Y48" s="123" t="s">
        <v>3084</v>
      </c>
      <c r="Z48" s="124" t="s">
        <v>371</v>
      </c>
      <c r="AA48" s="123" t="s">
        <v>3102</v>
      </c>
      <c r="AB48" s="124" t="s">
        <v>319</v>
      </c>
      <c r="AC48" s="124" t="s">
        <v>105</v>
      </c>
      <c r="AD48" s="124" t="s">
        <v>372</v>
      </c>
      <c r="AE48" s="124" t="s">
        <v>373</v>
      </c>
      <c r="AF48" s="124" t="s">
        <v>197</v>
      </c>
      <c r="AG48" s="123">
        <v>3</v>
      </c>
      <c r="AH48" s="124" t="s">
        <v>90</v>
      </c>
      <c r="AI48" s="124" t="s">
        <v>374</v>
      </c>
      <c r="AJ48" s="124" t="s">
        <v>150</v>
      </c>
      <c r="AK48" s="124">
        <v>2</v>
      </c>
      <c r="AL48" s="124" t="s">
        <v>151</v>
      </c>
      <c r="AM48" s="124" t="s">
        <v>97</v>
      </c>
      <c r="AN48" s="124" t="s">
        <v>97</v>
      </c>
      <c r="AO48" s="124" t="s">
        <v>152</v>
      </c>
      <c r="AP48" s="124">
        <v>2</v>
      </c>
      <c r="AQ48" s="124" t="s">
        <v>155</v>
      </c>
      <c r="AR48" s="124" t="s">
        <v>119</v>
      </c>
      <c r="AS48" s="124" t="s">
        <v>114</v>
      </c>
      <c r="AT48" s="124" t="s">
        <v>120</v>
      </c>
      <c r="AU48" s="124" t="s">
        <v>116</v>
      </c>
      <c r="AV48" s="124" t="s">
        <v>375</v>
      </c>
      <c r="AW48" s="124">
        <v>2</v>
      </c>
      <c r="AX48" s="124" t="s">
        <v>184</v>
      </c>
      <c r="AY48" s="124" t="s">
        <v>113</v>
      </c>
      <c r="AZ48" s="124" t="s">
        <v>115</v>
      </c>
      <c r="BA48" s="124" t="s">
        <v>116</v>
      </c>
      <c r="BB48" s="124" t="s">
        <v>376</v>
      </c>
      <c r="BC48" s="124">
        <v>3</v>
      </c>
      <c r="BD48" s="124" t="s">
        <v>184</v>
      </c>
      <c r="BE48" s="124" t="s">
        <v>123</v>
      </c>
      <c r="BF48" s="124" t="s">
        <v>124</v>
      </c>
      <c r="BG48" s="124" t="s">
        <v>116</v>
      </c>
      <c r="BH48" s="124" t="s">
        <v>377</v>
      </c>
      <c r="BI48" s="124">
        <v>2</v>
      </c>
      <c r="BJ48" s="124">
        <v>4</v>
      </c>
      <c r="BK48" s="124" t="s">
        <v>412</v>
      </c>
      <c r="BL48" s="124" t="s">
        <v>240</v>
      </c>
      <c r="BN48" s="124">
        <v>3.7399999999999998E-3</v>
      </c>
      <c r="BO48" s="124">
        <v>7.9365100000000008E-3</v>
      </c>
      <c r="BP48" s="124">
        <v>1.2135999999999999E-2</v>
      </c>
      <c r="BQ48" s="124" t="s">
        <v>161</v>
      </c>
      <c r="BR48" s="124">
        <v>7</v>
      </c>
      <c r="BS48" s="124">
        <v>8.9016080000000001E-3</v>
      </c>
      <c r="BT48" s="124">
        <v>1.285714E-2</v>
      </c>
      <c r="BU48" s="124">
        <v>1.6813000000000002E-2</v>
      </c>
      <c r="BV48" s="124" t="s">
        <v>161</v>
      </c>
      <c r="BW48" s="124">
        <v>7</v>
      </c>
      <c r="BX48" s="124" t="s">
        <v>381</v>
      </c>
      <c r="BY48" s="82">
        <v>1.285714E-2</v>
      </c>
      <c r="BZ48" s="82">
        <v>1.6813000000000002E-2</v>
      </c>
      <c r="CA48">
        <v>4.1994899999999984E-3</v>
      </c>
      <c r="CB48">
        <v>3.955860000000002E-3</v>
      </c>
      <c r="CC48" s="123" t="s">
        <v>3188</v>
      </c>
      <c r="CD48" s="124"/>
      <c r="CE48" s="124"/>
      <c r="CF48" s="123" t="s">
        <v>3189</v>
      </c>
      <c r="CG48" t="s">
        <v>3095</v>
      </c>
    </row>
    <row r="49" spans="1:85" ht="14.5">
      <c r="A49" s="128">
        <v>14</v>
      </c>
      <c r="B49" s="124" t="s">
        <v>365</v>
      </c>
      <c r="C49" s="124">
        <v>2017</v>
      </c>
      <c r="D49" s="124" t="s">
        <v>366</v>
      </c>
      <c r="E49" s="129">
        <v>44714</v>
      </c>
      <c r="F49" s="123" t="s">
        <v>90</v>
      </c>
      <c r="G49" s="124" t="s">
        <v>360</v>
      </c>
      <c r="H49" s="124" t="s">
        <v>367</v>
      </c>
      <c r="I49" s="124" t="s">
        <v>368</v>
      </c>
      <c r="J49" s="124" t="s">
        <v>369</v>
      </c>
      <c r="K49" s="124" t="s">
        <v>97</v>
      </c>
      <c r="L49" s="124" t="s">
        <v>137</v>
      </c>
      <c r="M49" s="124" t="s">
        <v>95</v>
      </c>
      <c r="N49" s="124" t="s">
        <v>370</v>
      </c>
      <c r="O49" s="124" t="s">
        <v>97</v>
      </c>
      <c r="P49" s="124" t="s">
        <v>97</v>
      </c>
      <c r="Q49" s="124" t="s">
        <v>367</v>
      </c>
      <c r="R49" s="124" t="s">
        <v>367</v>
      </c>
      <c r="S49" s="124" t="s">
        <v>90</v>
      </c>
      <c r="T49" s="117" t="s">
        <v>114</v>
      </c>
      <c r="U49" s="124" t="s">
        <v>191</v>
      </c>
      <c r="V49" s="124" t="s">
        <v>99</v>
      </c>
      <c r="W49" s="124" t="s">
        <v>367</v>
      </c>
      <c r="X49" s="123" t="s">
        <v>3083</v>
      </c>
      <c r="Y49" s="123" t="s">
        <v>3084</v>
      </c>
      <c r="Z49" s="124" t="s">
        <v>371</v>
      </c>
      <c r="AA49" s="123" t="s">
        <v>3102</v>
      </c>
      <c r="AB49" s="124" t="s">
        <v>319</v>
      </c>
      <c r="AC49" s="124" t="s">
        <v>105</v>
      </c>
      <c r="AD49" s="124" t="s">
        <v>372</v>
      </c>
      <c r="AE49" s="124" t="s">
        <v>373</v>
      </c>
      <c r="AF49" s="124" t="s">
        <v>197</v>
      </c>
      <c r="AG49" s="123">
        <v>3</v>
      </c>
      <c r="AH49" s="124" t="s">
        <v>90</v>
      </c>
      <c r="AI49" s="124" t="s">
        <v>374</v>
      </c>
      <c r="AJ49" s="124" t="s">
        <v>150</v>
      </c>
      <c r="AK49" s="124">
        <v>2</v>
      </c>
      <c r="AL49" s="124" t="s">
        <v>151</v>
      </c>
      <c r="AM49" s="124" t="s">
        <v>97</v>
      </c>
      <c r="AN49" s="124" t="s">
        <v>97</v>
      </c>
      <c r="AO49" s="124" t="s">
        <v>152</v>
      </c>
      <c r="AP49" s="124">
        <v>2</v>
      </c>
      <c r="AQ49" s="124" t="s">
        <v>155</v>
      </c>
      <c r="AR49" s="124" t="s">
        <v>119</v>
      </c>
      <c r="AS49" s="124" t="s">
        <v>114</v>
      </c>
      <c r="AT49" s="124" t="s">
        <v>120</v>
      </c>
      <c r="AU49" s="124" t="s">
        <v>116</v>
      </c>
      <c r="AV49" s="124" t="s">
        <v>375</v>
      </c>
      <c r="AW49" s="124">
        <v>2</v>
      </c>
      <c r="AX49" s="124" t="s">
        <v>184</v>
      </c>
      <c r="AY49" s="124" t="s">
        <v>113</v>
      </c>
      <c r="AZ49" s="124" t="s">
        <v>115</v>
      </c>
      <c r="BA49" s="124" t="s">
        <v>116</v>
      </c>
      <c r="BB49" s="124" t="s">
        <v>376</v>
      </c>
      <c r="BC49" s="124">
        <v>3</v>
      </c>
      <c r="BD49" s="124" t="s">
        <v>184</v>
      </c>
      <c r="BE49" s="124" t="s">
        <v>123</v>
      </c>
      <c r="BF49" s="124" t="s">
        <v>124</v>
      </c>
      <c r="BG49" s="124" t="s">
        <v>116</v>
      </c>
      <c r="BH49" s="124" t="s">
        <v>377</v>
      </c>
      <c r="BI49" s="124">
        <v>2</v>
      </c>
      <c r="BJ49" s="124">
        <v>4</v>
      </c>
      <c r="BK49" s="124" t="s">
        <v>413</v>
      </c>
      <c r="BL49" s="124" t="s">
        <v>240</v>
      </c>
      <c r="BN49" s="124">
        <v>1.0070000000000001E-2</v>
      </c>
      <c r="BO49" s="124">
        <v>1.6071430000000001E-2</v>
      </c>
      <c r="BP49" s="124">
        <v>2.2069999999999999E-2</v>
      </c>
      <c r="BQ49" s="124" t="s">
        <v>161</v>
      </c>
      <c r="BR49" s="124">
        <v>7</v>
      </c>
      <c r="BS49" s="124">
        <v>8.9016080000000001E-3</v>
      </c>
      <c r="BT49" s="124">
        <v>1.285714E-2</v>
      </c>
      <c r="BU49" s="124">
        <v>1.6813000000000002E-2</v>
      </c>
      <c r="BV49" s="124" t="s">
        <v>161</v>
      </c>
      <c r="BW49" s="124">
        <v>7</v>
      </c>
      <c r="BX49" s="124" t="s">
        <v>381</v>
      </c>
      <c r="BY49" s="82">
        <v>1.285714E-2</v>
      </c>
      <c r="BZ49" s="82">
        <v>1.6813000000000002E-2</v>
      </c>
      <c r="CA49">
        <v>5.9985699999999982E-3</v>
      </c>
      <c r="CB49">
        <v>3.955860000000002E-3</v>
      </c>
      <c r="CC49" s="123" t="s">
        <v>3188</v>
      </c>
      <c r="CD49" s="124"/>
      <c r="CE49" s="124"/>
      <c r="CF49" s="123" t="s">
        <v>3189</v>
      </c>
      <c r="CG49" t="s">
        <v>3095</v>
      </c>
    </row>
    <row r="50" spans="1:85" ht="14.5">
      <c r="A50" s="128">
        <v>14</v>
      </c>
      <c r="B50" s="124" t="s">
        <v>365</v>
      </c>
      <c r="C50" s="124">
        <v>2017</v>
      </c>
      <c r="D50" s="124" t="s">
        <v>366</v>
      </c>
      <c r="E50" s="129">
        <v>44714</v>
      </c>
      <c r="F50" s="123" t="s">
        <v>90</v>
      </c>
      <c r="G50" s="124" t="s">
        <v>360</v>
      </c>
      <c r="H50" s="124" t="s">
        <v>367</v>
      </c>
      <c r="I50" s="124" t="s">
        <v>368</v>
      </c>
      <c r="J50" s="124" t="s">
        <v>369</v>
      </c>
      <c r="K50" s="124" t="s">
        <v>97</v>
      </c>
      <c r="L50" s="124" t="s">
        <v>137</v>
      </c>
      <c r="M50" s="124" t="s">
        <v>95</v>
      </c>
      <c r="N50" s="124" t="s">
        <v>370</v>
      </c>
      <c r="O50" s="124" t="s">
        <v>97</v>
      </c>
      <c r="P50" s="124" t="s">
        <v>97</v>
      </c>
      <c r="Q50" s="124" t="s">
        <v>367</v>
      </c>
      <c r="R50" s="124" t="s">
        <v>367</v>
      </c>
      <c r="S50" s="124" t="s">
        <v>90</v>
      </c>
      <c r="T50" s="117" t="s">
        <v>114</v>
      </c>
      <c r="U50" s="124" t="s">
        <v>191</v>
      </c>
      <c r="V50" s="124" t="s">
        <v>99</v>
      </c>
      <c r="W50" s="124" t="s">
        <v>367</v>
      </c>
      <c r="X50" s="123" t="s">
        <v>3083</v>
      </c>
      <c r="Y50" s="123" t="s">
        <v>3084</v>
      </c>
      <c r="Z50" s="124" t="s">
        <v>371</v>
      </c>
      <c r="AA50" s="123" t="s">
        <v>3102</v>
      </c>
      <c r="AB50" s="124" t="s">
        <v>319</v>
      </c>
      <c r="AC50" s="124" t="s">
        <v>105</v>
      </c>
      <c r="AD50" s="124" t="s">
        <v>372</v>
      </c>
      <c r="AE50" s="124" t="s">
        <v>373</v>
      </c>
      <c r="AF50" s="124" t="s">
        <v>197</v>
      </c>
      <c r="AG50" s="123">
        <v>3</v>
      </c>
      <c r="AH50" s="124" t="s">
        <v>90</v>
      </c>
      <c r="AI50" s="124" t="s">
        <v>374</v>
      </c>
      <c r="AJ50" s="124" t="s">
        <v>150</v>
      </c>
      <c r="AK50" s="124">
        <v>2</v>
      </c>
      <c r="AL50" s="124" t="s">
        <v>151</v>
      </c>
      <c r="AM50" s="124" t="s">
        <v>97</v>
      </c>
      <c r="AN50" s="124" t="s">
        <v>97</v>
      </c>
      <c r="AO50" s="124" t="s">
        <v>152</v>
      </c>
      <c r="AP50" s="124">
        <v>2</v>
      </c>
      <c r="AQ50" s="124" t="s">
        <v>155</v>
      </c>
      <c r="AR50" s="124" t="s">
        <v>119</v>
      </c>
      <c r="AS50" s="124" t="s">
        <v>114</v>
      </c>
      <c r="AT50" s="124" t="s">
        <v>120</v>
      </c>
      <c r="AU50" s="124" t="s">
        <v>116</v>
      </c>
      <c r="AV50" s="124" t="s">
        <v>375</v>
      </c>
      <c r="AW50" s="124">
        <v>2</v>
      </c>
      <c r="AX50" s="124" t="s">
        <v>184</v>
      </c>
      <c r="AY50" s="124" t="s">
        <v>113</v>
      </c>
      <c r="AZ50" s="124" t="s">
        <v>115</v>
      </c>
      <c r="BA50" s="124" t="s">
        <v>116</v>
      </c>
      <c r="BB50" s="124" t="s">
        <v>376</v>
      </c>
      <c r="BC50" s="124">
        <v>3</v>
      </c>
      <c r="BD50" s="124" t="s">
        <v>184</v>
      </c>
      <c r="BE50" s="124" t="s">
        <v>123</v>
      </c>
      <c r="BF50" s="124" t="s">
        <v>124</v>
      </c>
      <c r="BG50" s="124" t="s">
        <v>116</v>
      </c>
      <c r="BH50" s="124" t="s">
        <v>377</v>
      </c>
      <c r="BI50" s="124">
        <v>2</v>
      </c>
      <c r="BJ50" s="124">
        <v>4</v>
      </c>
      <c r="BK50" s="124" t="s">
        <v>414</v>
      </c>
      <c r="BL50" s="124" t="s">
        <v>240</v>
      </c>
      <c r="BN50" s="124">
        <v>1.3799999999999999E-3</v>
      </c>
      <c r="BO50" s="124">
        <v>3.57143E-3</v>
      </c>
      <c r="BP50" s="124">
        <v>5.7670000000000004E-3</v>
      </c>
      <c r="BQ50" s="124" t="s">
        <v>161</v>
      </c>
      <c r="BR50" s="124">
        <v>7</v>
      </c>
      <c r="BS50" s="124">
        <v>8.9016080000000001E-3</v>
      </c>
      <c r="BT50" s="124">
        <v>1.285714E-2</v>
      </c>
      <c r="BU50" s="124">
        <v>1.6813000000000002E-2</v>
      </c>
      <c r="BV50" s="124" t="s">
        <v>161</v>
      </c>
      <c r="BW50" s="124">
        <v>7</v>
      </c>
      <c r="BX50" s="124" t="s">
        <v>381</v>
      </c>
      <c r="BY50" s="82">
        <v>1.285714E-2</v>
      </c>
      <c r="BZ50" s="82">
        <v>1.6813000000000002E-2</v>
      </c>
      <c r="CA50">
        <v>2.1955700000000004E-3</v>
      </c>
      <c r="CB50">
        <v>3.955860000000002E-3</v>
      </c>
      <c r="CC50" s="123" t="s">
        <v>3188</v>
      </c>
      <c r="CD50" s="124"/>
      <c r="CE50" s="124"/>
      <c r="CF50" s="123" t="s">
        <v>3189</v>
      </c>
      <c r="CG50" t="s">
        <v>3095</v>
      </c>
    </row>
    <row r="51" spans="1:85" ht="14.5">
      <c r="A51" s="128">
        <v>14</v>
      </c>
      <c r="B51" s="124" t="s">
        <v>365</v>
      </c>
      <c r="C51" s="124">
        <v>2017</v>
      </c>
      <c r="D51" s="124" t="s">
        <v>366</v>
      </c>
      <c r="E51" s="129">
        <v>44714</v>
      </c>
      <c r="F51" s="123" t="s">
        <v>90</v>
      </c>
      <c r="G51" s="124" t="s">
        <v>360</v>
      </c>
      <c r="H51" s="124" t="s">
        <v>367</v>
      </c>
      <c r="I51" s="124" t="s">
        <v>368</v>
      </c>
      <c r="J51" s="124" t="s">
        <v>369</v>
      </c>
      <c r="K51" s="124" t="s">
        <v>97</v>
      </c>
      <c r="L51" s="124" t="s">
        <v>137</v>
      </c>
      <c r="M51" s="124" t="s">
        <v>95</v>
      </c>
      <c r="N51" s="124" t="s">
        <v>370</v>
      </c>
      <c r="O51" s="124" t="s">
        <v>97</v>
      </c>
      <c r="P51" s="124" t="s">
        <v>97</v>
      </c>
      <c r="Q51" s="124" t="s">
        <v>367</v>
      </c>
      <c r="R51" s="124" t="s">
        <v>367</v>
      </c>
      <c r="S51" s="124" t="s">
        <v>90</v>
      </c>
      <c r="T51" s="117" t="s">
        <v>114</v>
      </c>
      <c r="U51" s="124" t="s">
        <v>191</v>
      </c>
      <c r="V51" s="124" t="s">
        <v>99</v>
      </c>
      <c r="W51" s="124" t="s">
        <v>367</v>
      </c>
      <c r="X51" s="123" t="s">
        <v>3083</v>
      </c>
      <c r="Y51" s="123" t="s">
        <v>3084</v>
      </c>
      <c r="Z51" s="124" t="s">
        <v>371</v>
      </c>
      <c r="AA51" s="123" t="s">
        <v>3102</v>
      </c>
      <c r="AB51" s="124" t="s">
        <v>319</v>
      </c>
      <c r="AC51" s="124" t="s">
        <v>105</v>
      </c>
      <c r="AD51" s="124" t="s">
        <v>372</v>
      </c>
      <c r="AE51" s="124" t="s">
        <v>373</v>
      </c>
      <c r="AF51" s="124" t="s">
        <v>197</v>
      </c>
      <c r="AG51" s="123">
        <v>3</v>
      </c>
      <c r="AH51" s="124" t="s">
        <v>90</v>
      </c>
      <c r="AI51" s="124" t="s">
        <v>374</v>
      </c>
      <c r="AJ51" s="124" t="s">
        <v>150</v>
      </c>
      <c r="AK51" s="124">
        <v>2</v>
      </c>
      <c r="AL51" s="124" t="s">
        <v>151</v>
      </c>
      <c r="AM51" s="124" t="s">
        <v>97</v>
      </c>
      <c r="AN51" s="124" t="s">
        <v>97</v>
      </c>
      <c r="AO51" s="124" t="s">
        <v>152</v>
      </c>
      <c r="AP51" s="124">
        <v>2</v>
      </c>
      <c r="AQ51" s="124" t="s">
        <v>155</v>
      </c>
      <c r="AR51" s="124" t="s">
        <v>119</v>
      </c>
      <c r="AS51" s="124" t="s">
        <v>114</v>
      </c>
      <c r="AT51" s="124" t="s">
        <v>120</v>
      </c>
      <c r="AU51" s="124" t="s">
        <v>116</v>
      </c>
      <c r="AV51" s="124" t="s">
        <v>375</v>
      </c>
      <c r="AW51" s="124">
        <v>2</v>
      </c>
      <c r="AX51" s="124" t="s">
        <v>184</v>
      </c>
      <c r="AY51" s="124" t="s">
        <v>113</v>
      </c>
      <c r="AZ51" s="124" t="s">
        <v>115</v>
      </c>
      <c r="BA51" s="124" t="s">
        <v>116</v>
      </c>
      <c r="BB51" s="124" t="s">
        <v>376</v>
      </c>
      <c r="BC51" s="124">
        <v>3</v>
      </c>
      <c r="BD51" s="124" t="s">
        <v>184</v>
      </c>
      <c r="BE51" s="124" t="s">
        <v>123</v>
      </c>
      <c r="BF51" s="124" t="s">
        <v>124</v>
      </c>
      <c r="BG51" s="124" t="s">
        <v>116</v>
      </c>
      <c r="BH51" s="124" t="s">
        <v>377</v>
      </c>
      <c r="BI51" s="124">
        <v>2</v>
      </c>
      <c r="BJ51" s="124">
        <v>4</v>
      </c>
      <c r="BK51" s="124" t="s">
        <v>415</v>
      </c>
      <c r="BL51" s="124" t="s">
        <v>240</v>
      </c>
      <c r="BN51" s="124">
        <v>3.32E-3</v>
      </c>
      <c r="BO51" s="124">
        <v>7.14286E-3</v>
      </c>
      <c r="BP51" s="124">
        <v>1.0961E-2</v>
      </c>
      <c r="BQ51" s="124" t="s">
        <v>161</v>
      </c>
      <c r="BR51" s="124">
        <v>7</v>
      </c>
      <c r="BS51" s="124">
        <v>8.9016080000000001E-3</v>
      </c>
      <c r="BT51" s="124">
        <v>1.285714E-2</v>
      </c>
      <c r="BU51" s="124">
        <v>1.6813000000000002E-2</v>
      </c>
      <c r="BV51" s="124" t="s">
        <v>161</v>
      </c>
      <c r="BW51" s="124">
        <v>7</v>
      </c>
      <c r="BX51" s="124" t="s">
        <v>381</v>
      </c>
      <c r="BY51" s="82">
        <v>1.285714E-2</v>
      </c>
      <c r="BZ51" s="82">
        <v>1.6813000000000002E-2</v>
      </c>
      <c r="CA51">
        <v>3.8181400000000002E-3</v>
      </c>
      <c r="CB51">
        <v>3.955860000000002E-3</v>
      </c>
      <c r="CC51" s="123" t="s">
        <v>3188</v>
      </c>
      <c r="CD51" s="124"/>
      <c r="CE51" s="124"/>
      <c r="CF51" s="123" t="s">
        <v>3189</v>
      </c>
      <c r="CG51" t="s">
        <v>3095</v>
      </c>
    </row>
    <row r="52" spans="1:85" ht="14.5">
      <c r="A52" s="128">
        <v>14</v>
      </c>
      <c r="B52" s="124" t="s">
        <v>365</v>
      </c>
      <c r="C52" s="124">
        <v>2017</v>
      </c>
      <c r="D52" s="124" t="s">
        <v>366</v>
      </c>
      <c r="E52" s="129">
        <v>44714</v>
      </c>
      <c r="F52" s="123" t="s">
        <v>90</v>
      </c>
      <c r="G52" s="124" t="s">
        <v>360</v>
      </c>
      <c r="H52" s="124" t="s">
        <v>367</v>
      </c>
      <c r="I52" s="124" t="s">
        <v>368</v>
      </c>
      <c r="J52" s="124" t="s">
        <v>369</v>
      </c>
      <c r="K52" s="124" t="s">
        <v>97</v>
      </c>
      <c r="L52" s="124" t="s">
        <v>137</v>
      </c>
      <c r="M52" s="124" t="s">
        <v>95</v>
      </c>
      <c r="N52" s="124" t="s">
        <v>370</v>
      </c>
      <c r="O52" s="124" t="s">
        <v>97</v>
      </c>
      <c r="P52" s="124" t="s">
        <v>97</v>
      </c>
      <c r="Q52" s="124" t="s">
        <v>367</v>
      </c>
      <c r="R52" s="124" t="s">
        <v>367</v>
      </c>
      <c r="S52" s="124" t="s">
        <v>90</v>
      </c>
      <c r="T52" s="117" t="s">
        <v>114</v>
      </c>
      <c r="U52" s="124" t="s">
        <v>191</v>
      </c>
      <c r="V52" s="124" t="s">
        <v>99</v>
      </c>
      <c r="W52" s="124" t="s">
        <v>367</v>
      </c>
      <c r="X52" s="123" t="s">
        <v>3083</v>
      </c>
      <c r="Y52" s="123" t="s">
        <v>3084</v>
      </c>
      <c r="Z52" s="124" t="s">
        <v>371</v>
      </c>
      <c r="AA52" s="123" t="s">
        <v>3102</v>
      </c>
      <c r="AB52" s="124" t="s">
        <v>319</v>
      </c>
      <c r="AC52" s="124" t="s">
        <v>105</v>
      </c>
      <c r="AD52" s="124" t="s">
        <v>372</v>
      </c>
      <c r="AE52" s="124" t="s">
        <v>373</v>
      </c>
      <c r="AF52" s="124" t="s">
        <v>197</v>
      </c>
      <c r="AG52" s="123">
        <v>3</v>
      </c>
      <c r="AH52" s="124" t="s">
        <v>90</v>
      </c>
      <c r="AI52" s="124" t="s">
        <v>374</v>
      </c>
      <c r="AJ52" s="124" t="s">
        <v>150</v>
      </c>
      <c r="AK52" s="124">
        <v>2</v>
      </c>
      <c r="AL52" s="124" t="s">
        <v>151</v>
      </c>
      <c r="AM52" s="124" t="s">
        <v>97</v>
      </c>
      <c r="AN52" s="124" t="s">
        <v>97</v>
      </c>
      <c r="AO52" s="124" t="s">
        <v>152</v>
      </c>
      <c r="AP52" s="124">
        <v>2</v>
      </c>
      <c r="AQ52" s="124" t="s">
        <v>155</v>
      </c>
      <c r="AR52" s="124" t="s">
        <v>119</v>
      </c>
      <c r="AS52" s="124" t="s">
        <v>114</v>
      </c>
      <c r="AT52" s="124" t="s">
        <v>120</v>
      </c>
      <c r="AU52" s="124" t="s">
        <v>116</v>
      </c>
      <c r="AV52" s="124" t="s">
        <v>375</v>
      </c>
      <c r="AW52" s="124">
        <v>2</v>
      </c>
      <c r="AX52" s="124" t="s">
        <v>184</v>
      </c>
      <c r="AY52" s="124" t="s">
        <v>113</v>
      </c>
      <c r="AZ52" s="124" t="s">
        <v>115</v>
      </c>
      <c r="BA52" s="124" t="s">
        <v>116</v>
      </c>
      <c r="BB52" s="124" t="s">
        <v>376</v>
      </c>
      <c r="BC52" s="124">
        <v>3</v>
      </c>
      <c r="BD52" s="124" t="s">
        <v>184</v>
      </c>
      <c r="BE52" s="124" t="s">
        <v>123</v>
      </c>
      <c r="BF52" s="124" t="s">
        <v>124</v>
      </c>
      <c r="BG52" s="124" t="s">
        <v>116</v>
      </c>
      <c r="BH52" s="124" t="s">
        <v>377</v>
      </c>
      <c r="BI52" s="124">
        <v>2</v>
      </c>
      <c r="BJ52" s="124">
        <v>4</v>
      </c>
      <c r="BK52" s="124" t="s">
        <v>416</v>
      </c>
      <c r="BL52" s="124" t="s">
        <v>240</v>
      </c>
      <c r="BN52" s="124">
        <v>0</v>
      </c>
      <c r="BO52" s="124">
        <v>0</v>
      </c>
      <c r="BP52" s="124">
        <v>0</v>
      </c>
      <c r="BQ52" s="124" t="s">
        <v>161</v>
      </c>
      <c r="BR52" s="124">
        <v>7</v>
      </c>
      <c r="BS52" s="124">
        <v>8.9016080000000001E-3</v>
      </c>
      <c r="BT52" s="124">
        <v>1.285714E-2</v>
      </c>
      <c r="BU52" s="124">
        <v>1.6813000000000002E-2</v>
      </c>
      <c r="BV52" s="124" t="s">
        <v>161</v>
      </c>
      <c r="BW52" s="124">
        <v>7</v>
      </c>
      <c r="BX52" s="124" t="s">
        <v>381</v>
      </c>
      <c r="BY52" s="82">
        <v>1.285714E-2</v>
      </c>
      <c r="BZ52" s="82">
        <v>1.6813000000000002E-2</v>
      </c>
      <c r="CA52">
        <v>0</v>
      </c>
      <c r="CB52">
        <v>3.955860000000002E-3</v>
      </c>
      <c r="CC52" s="123" t="s">
        <v>3188</v>
      </c>
      <c r="CD52" s="124"/>
      <c r="CE52" s="124"/>
      <c r="CF52" s="123" t="s">
        <v>3189</v>
      </c>
      <c r="CG52" t="s">
        <v>3095</v>
      </c>
    </row>
    <row r="53" spans="1:85" ht="14.5">
      <c r="A53" s="128">
        <v>14</v>
      </c>
      <c r="B53" s="124" t="s">
        <v>365</v>
      </c>
      <c r="C53" s="124">
        <v>2017</v>
      </c>
      <c r="D53" s="124" t="s">
        <v>366</v>
      </c>
      <c r="E53" s="129">
        <v>44714</v>
      </c>
      <c r="F53" s="123" t="s">
        <v>90</v>
      </c>
      <c r="G53" s="124" t="s">
        <v>360</v>
      </c>
      <c r="H53" s="124" t="s">
        <v>367</v>
      </c>
      <c r="I53" s="124" t="s">
        <v>368</v>
      </c>
      <c r="J53" s="124" t="s">
        <v>369</v>
      </c>
      <c r="K53" s="124" t="s">
        <v>97</v>
      </c>
      <c r="L53" s="124" t="s">
        <v>137</v>
      </c>
      <c r="M53" s="124" t="s">
        <v>95</v>
      </c>
      <c r="N53" s="124" t="s">
        <v>370</v>
      </c>
      <c r="O53" s="124" t="s">
        <v>97</v>
      </c>
      <c r="P53" s="124" t="s">
        <v>97</v>
      </c>
      <c r="Q53" s="124" t="s">
        <v>367</v>
      </c>
      <c r="R53" s="124" t="s">
        <v>367</v>
      </c>
      <c r="S53" s="124" t="s">
        <v>90</v>
      </c>
      <c r="T53" s="117" t="s">
        <v>114</v>
      </c>
      <c r="U53" s="124" t="s">
        <v>191</v>
      </c>
      <c r="V53" s="124" t="s">
        <v>99</v>
      </c>
      <c r="W53" s="124" t="s">
        <v>367</v>
      </c>
      <c r="X53" s="123" t="s">
        <v>3083</v>
      </c>
      <c r="Y53" s="123" t="s">
        <v>3084</v>
      </c>
      <c r="Z53" s="124" t="s">
        <v>371</v>
      </c>
      <c r="AA53" s="123" t="s">
        <v>3102</v>
      </c>
      <c r="AB53" s="124" t="s">
        <v>319</v>
      </c>
      <c r="AC53" s="124" t="s">
        <v>105</v>
      </c>
      <c r="AD53" s="124" t="s">
        <v>372</v>
      </c>
      <c r="AE53" s="124" t="s">
        <v>373</v>
      </c>
      <c r="AF53" s="124" t="s">
        <v>197</v>
      </c>
      <c r="AG53" s="123">
        <v>3</v>
      </c>
      <c r="AH53" s="124" t="s">
        <v>90</v>
      </c>
      <c r="AI53" s="124" t="s">
        <v>374</v>
      </c>
      <c r="AJ53" s="124" t="s">
        <v>150</v>
      </c>
      <c r="AK53" s="124">
        <v>2</v>
      </c>
      <c r="AL53" s="124" t="s">
        <v>151</v>
      </c>
      <c r="AM53" s="124" t="s">
        <v>97</v>
      </c>
      <c r="AN53" s="124" t="s">
        <v>97</v>
      </c>
      <c r="AO53" s="124" t="s">
        <v>152</v>
      </c>
      <c r="AP53" s="124">
        <v>2</v>
      </c>
      <c r="AQ53" s="124" t="s">
        <v>155</v>
      </c>
      <c r="AR53" s="124" t="s">
        <v>119</v>
      </c>
      <c r="AS53" s="124" t="s">
        <v>114</v>
      </c>
      <c r="AT53" s="124" t="s">
        <v>120</v>
      </c>
      <c r="AU53" s="124" t="s">
        <v>116</v>
      </c>
      <c r="AV53" s="124" t="s">
        <v>375</v>
      </c>
      <c r="AW53" s="124">
        <v>2</v>
      </c>
      <c r="AX53" s="124" t="s">
        <v>184</v>
      </c>
      <c r="AY53" s="124" t="s">
        <v>113</v>
      </c>
      <c r="AZ53" s="124" t="s">
        <v>115</v>
      </c>
      <c r="BA53" s="124" t="s">
        <v>116</v>
      </c>
      <c r="BB53" s="124" t="s">
        <v>376</v>
      </c>
      <c r="BC53" s="124">
        <v>3</v>
      </c>
      <c r="BD53" s="124" t="s">
        <v>184</v>
      </c>
      <c r="BE53" s="124" t="s">
        <v>123</v>
      </c>
      <c r="BF53" s="124" t="s">
        <v>124</v>
      </c>
      <c r="BG53" s="124" t="s">
        <v>116</v>
      </c>
      <c r="BH53" s="124" t="s">
        <v>377</v>
      </c>
      <c r="BI53" s="124">
        <v>2</v>
      </c>
      <c r="BJ53" s="124">
        <v>4</v>
      </c>
      <c r="BK53" s="124" t="s">
        <v>417</v>
      </c>
      <c r="BL53" s="124" t="s">
        <v>240</v>
      </c>
      <c r="BN53" s="124">
        <v>0</v>
      </c>
      <c r="BO53" s="124">
        <v>7.1429000000000002E-4</v>
      </c>
      <c r="BP53" s="124">
        <v>1.4289999999999999E-3</v>
      </c>
      <c r="BQ53" s="124" t="s">
        <v>161</v>
      </c>
      <c r="BR53" s="124">
        <v>7</v>
      </c>
      <c r="BS53" s="124">
        <v>8.9016080000000001E-3</v>
      </c>
      <c r="BT53" s="124">
        <v>1.285714E-2</v>
      </c>
      <c r="BU53" s="124">
        <v>1.6813000000000002E-2</v>
      </c>
      <c r="BV53" s="124" t="s">
        <v>161</v>
      </c>
      <c r="BW53" s="124">
        <v>7</v>
      </c>
      <c r="BX53" s="124" t="s">
        <v>381</v>
      </c>
      <c r="BY53" s="82">
        <v>1.285714E-2</v>
      </c>
      <c r="BZ53" s="82">
        <v>1.6813000000000002E-2</v>
      </c>
      <c r="CA53">
        <v>7.1470999999999991E-4</v>
      </c>
      <c r="CB53">
        <v>3.955860000000002E-3</v>
      </c>
      <c r="CC53" s="123" t="s">
        <v>3188</v>
      </c>
      <c r="CD53" s="124"/>
      <c r="CE53" s="124"/>
      <c r="CF53" s="123" t="s">
        <v>3189</v>
      </c>
      <c r="CG53" t="s">
        <v>3095</v>
      </c>
    </row>
    <row r="54" spans="1:85" ht="14.5">
      <c r="A54" s="128">
        <v>14</v>
      </c>
      <c r="B54" s="124" t="s">
        <v>365</v>
      </c>
      <c r="C54" s="124">
        <v>2017</v>
      </c>
      <c r="D54" s="124" t="s">
        <v>366</v>
      </c>
      <c r="E54" s="129">
        <v>44714</v>
      </c>
      <c r="F54" s="123" t="s">
        <v>90</v>
      </c>
      <c r="G54" s="124" t="s">
        <v>360</v>
      </c>
      <c r="H54" s="124" t="s">
        <v>367</v>
      </c>
      <c r="I54" s="124" t="s">
        <v>368</v>
      </c>
      <c r="J54" s="124" t="s">
        <v>369</v>
      </c>
      <c r="K54" s="124" t="s">
        <v>97</v>
      </c>
      <c r="L54" s="124" t="s">
        <v>137</v>
      </c>
      <c r="M54" s="124" t="s">
        <v>95</v>
      </c>
      <c r="N54" s="124" t="s">
        <v>370</v>
      </c>
      <c r="O54" s="124" t="s">
        <v>97</v>
      </c>
      <c r="P54" s="124" t="s">
        <v>97</v>
      </c>
      <c r="Q54" s="124" t="s">
        <v>367</v>
      </c>
      <c r="R54" s="124" t="s">
        <v>367</v>
      </c>
      <c r="S54" s="124" t="s">
        <v>90</v>
      </c>
      <c r="T54" s="117" t="s">
        <v>114</v>
      </c>
      <c r="U54" s="124" t="s">
        <v>191</v>
      </c>
      <c r="V54" s="124" t="s">
        <v>99</v>
      </c>
      <c r="W54" s="124" t="s">
        <v>367</v>
      </c>
      <c r="X54" s="123" t="s">
        <v>3083</v>
      </c>
      <c r="Y54" s="123" t="s">
        <v>3084</v>
      </c>
      <c r="Z54" s="124" t="s">
        <v>371</v>
      </c>
      <c r="AA54" s="123" t="s">
        <v>3102</v>
      </c>
      <c r="AB54" s="124" t="s">
        <v>319</v>
      </c>
      <c r="AC54" s="124" t="s">
        <v>105</v>
      </c>
      <c r="AD54" s="124" t="s">
        <v>372</v>
      </c>
      <c r="AE54" s="124" t="s">
        <v>373</v>
      </c>
      <c r="AF54" s="124" t="s">
        <v>197</v>
      </c>
      <c r="AG54" s="123">
        <v>3</v>
      </c>
      <c r="AH54" s="124" t="s">
        <v>90</v>
      </c>
      <c r="AI54" s="124" t="s">
        <v>374</v>
      </c>
      <c r="AJ54" s="124" t="s">
        <v>150</v>
      </c>
      <c r="AK54" s="124">
        <v>2</v>
      </c>
      <c r="AL54" s="124" t="s">
        <v>151</v>
      </c>
      <c r="AM54" s="124" t="s">
        <v>97</v>
      </c>
      <c r="AN54" s="124" t="s">
        <v>97</v>
      </c>
      <c r="AO54" s="124" t="s">
        <v>152</v>
      </c>
      <c r="AP54" s="124">
        <v>2</v>
      </c>
      <c r="AQ54" s="124" t="s">
        <v>155</v>
      </c>
      <c r="AR54" s="124" t="s">
        <v>119</v>
      </c>
      <c r="AS54" s="124" t="s">
        <v>114</v>
      </c>
      <c r="AT54" s="124" t="s">
        <v>120</v>
      </c>
      <c r="AU54" s="124" t="s">
        <v>116</v>
      </c>
      <c r="AV54" s="124" t="s">
        <v>375</v>
      </c>
      <c r="AW54" s="124">
        <v>2</v>
      </c>
      <c r="AX54" s="124" t="s">
        <v>184</v>
      </c>
      <c r="AY54" s="124" t="s">
        <v>113</v>
      </c>
      <c r="AZ54" s="124" t="s">
        <v>115</v>
      </c>
      <c r="BA54" s="124" t="s">
        <v>116</v>
      </c>
      <c r="BB54" s="124" t="s">
        <v>376</v>
      </c>
      <c r="BC54" s="124">
        <v>3</v>
      </c>
      <c r="BD54" s="124" t="s">
        <v>184</v>
      </c>
      <c r="BE54" s="124" t="s">
        <v>123</v>
      </c>
      <c r="BF54" s="124" t="s">
        <v>124</v>
      </c>
      <c r="BG54" s="124" t="s">
        <v>116</v>
      </c>
      <c r="BH54" s="124" t="s">
        <v>377</v>
      </c>
      <c r="BI54" s="124">
        <v>2</v>
      </c>
      <c r="BJ54" s="124">
        <v>4</v>
      </c>
      <c r="BK54" s="124" t="s">
        <v>418</v>
      </c>
      <c r="BL54" s="124" t="s">
        <v>240</v>
      </c>
      <c r="BN54" s="124">
        <v>2.581E-2</v>
      </c>
      <c r="BO54" s="124">
        <v>4.9350650000000003E-2</v>
      </c>
      <c r="BP54" s="124">
        <v>7.2895000000000001E-2</v>
      </c>
      <c r="BQ54" s="124" t="s">
        <v>161</v>
      </c>
      <c r="BR54" s="124">
        <v>7</v>
      </c>
      <c r="BS54" s="124">
        <v>7.0680899999999997E-4</v>
      </c>
      <c r="BT54" s="124">
        <v>2.47934E-3</v>
      </c>
      <c r="BU54" s="124">
        <v>4.2519999999999997E-3</v>
      </c>
      <c r="BV54" s="124" t="s">
        <v>161</v>
      </c>
      <c r="BW54" s="124">
        <v>7</v>
      </c>
      <c r="BX54" s="124" t="s">
        <v>381</v>
      </c>
      <c r="BY54" s="82">
        <v>2.47934E-3</v>
      </c>
      <c r="BZ54" s="82">
        <v>4.2519999999999997E-3</v>
      </c>
      <c r="CA54">
        <v>2.3544349999999999E-2</v>
      </c>
      <c r="CB54">
        <v>1.7726599999999997E-3</v>
      </c>
      <c r="CC54" s="123" t="s">
        <v>3188</v>
      </c>
      <c r="CD54" s="124"/>
      <c r="CE54" s="124"/>
      <c r="CF54" s="123" t="s">
        <v>3189</v>
      </c>
      <c r="CG54" t="s">
        <v>3095</v>
      </c>
    </row>
    <row r="55" spans="1:85" ht="14.5">
      <c r="A55" s="128">
        <v>14</v>
      </c>
      <c r="B55" s="124" t="s">
        <v>365</v>
      </c>
      <c r="C55" s="124">
        <v>2017</v>
      </c>
      <c r="D55" s="124" t="s">
        <v>366</v>
      </c>
      <c r="E55" s="129">
        <v>44714</v>
      </c>
      <c r="F55" s="123" t="s">
        <v>90</v>
      </c>
      <c r="G55" s="124" t="s">
        <v>360</v>
      </c>
      <c r="H55" s="124" t="s">
        <v>367</v>
      </c>
      <c r="I55" s="124" t="s">
        <v>368</v>
      </c>
      <c r="J55" s="124" t="s">
        <v>369</v>
      </c>
      <c r="K55" s="124" t="s">
        <v>97</v>
      </c>
      <c r="L55" s="124" t="s">
        <v>137</v>
      </c>
      <c r="M55" s="124" t="s">
        <v>95</v>
      </c>
      <c r="N55" s="124" t="s">
        <v>370</v>
      </c>
      <c r="O55" s="124" t="s">
        <v>97</v>
      </c>
      <c r="P55" s="124" t="s">
        <v>97</v>
      </c>
      <c r="Q55" s="124" t="s">
        <v>367</v>
      </c>
      <c r="R55" s="124" t="s">
        <v>367</v>
      </c>
      <c r="S55" s="124" t="s">
        <v>90</v>
      </c>
      <c r="T55" s="117" t="s">
        <v>114</v>
      </c>
      <c r="U55" s="124" t="s">
        <v>191</v>
      </c>
      <c r="V55" s="124" t="s">
        <v>99</v>
      </c>
      <c r="W55" s="124" t="s">
        <v>367</v>
      </c>
      <c r="X55" s="123" t="s">
        <v>3083</v>
      </c>
      <c r="Y55" s="123" t="s">
        <v>3084</v>
      </c>
      <c r="Z55" s="124" t="s">
        <v>371</v>
      </c>
      <c r="AA55" s="123" t="s">
        <v>3102</v>
      </c>
      <c r="AB55" s="124" t="s">
        <v>319</v>
      </c>
      <c r="AC55" s="124" t="s">
        <v>105</v>
      </c>
      <c r="AD55" s="124" t="s">
        <v>372</v>
      </c>
      <c r="AE55" s="124" t="s">
        <v>373</v>
      </c>
      <c r="AF55" s="124" t="s">
        <v>197</v>
      </c>
      <c r="AG55" s="123">
        <v>3</v>
      </c>
      <c r="AH55" s="124" t="s">
        <v>90</v>
      </c>
      <c r="AI55" s="124" t="s">
        <v>374</v>
      </c>
      <c r="AJ55" s="124" t="s">
        <v>150</v>
      </c>
      <c r="AK55" s="124">
        <v>2</v>
      </c>
      <c r="AL55" s="124" t="s">
        <v>151</v>
      </c>
      <c r="AM55" s="124" t="s">
        <v>97</v>
      </c>
      <c r="AN55" s="124" t="s">
        <v>97</v>
      </c>
      <c r="AO55" s="124" t="s">
        <v>152</v>
      </c>
      <c r="AP55" s="124">
        <v>2</v>
      </c>
      <c r="AQ55" s="124" t="s">
        <v>155</v>
      </c>
      <c r="AR55" s="124" t="s">
        <v>119</v>
      </c>
      <c r="AS55" s="124" t="s">
        <v>114</v>
      </c>
      <c r="AT55" s="124" t="s">
        <v>120</v>
      </c>
      <c r="AU55" s="124" t="s">
        <v>116</v>
      </c>
      <c r="AV55" s="124" t="s">
        <v>375</v>
      </c>
      <c r="AW55" s="124">
        <v>2</v>
      </c>
      <c r="AX55" s="124" t="s">
        <v>184</v>
      </c>
      <c r="AY55" s="124" t="s">
        <v>113</v>
      </c>
      <c r="AZ55" s="124" t="s">
        <v>115</v>
      </c>
      <c r="BA55" s="124" t="s">
        <v>116</v>
      </c>
      <c r="BB55" s="124" t="s">
        <v>376</v>
      </c>
      <c r="BC55" s="124">
        <v>3</v>
      </c>
      <c r="BD55" s="124" t="s">
        <v>184</v>
      </c>
      <c r="BE55" s="124" t="s">
        <v>123</v>
      </c>
      <c r="BF55" s="124" t="s">
        <v>124</v>
      </c>
      <c r="BG55" s="124" t="s">
        <v>116</v>
      </c>
      <c r="BH55" s="124" t="s">
        <v>377</v>
      </c>
      <c r="BI55" s="124">
        <v>2</v>
      </c>
      <c r="BJ55" s="124">
        <v>4</v>
      </c>
      <c r="BK55" s="124" t="s">
        <v>419</v>
      </c>
      <c r="BL55" s="124" t="s">
        <v>240</v>
      </c>
      <c r="BN55" s="124">
        <v>1.273E-2</v>
      </c>
      <c r="BO55" s="124">
        <v>5.5844159999999997E-2</v>
      </c>
      <c r="BP55" s="124">
        <v>9.8962999999999995E-2</v>
      </c>
      <c r="BQ55" s="124" t="s">
        <v>161</v>
      </c>
      <c r="BR55" s="124">
        <v>7</v>
      </c>
      <c r="BS55" s="124">
        <v>7.0680899999999997E-4</v>
      </c>
      <c r="BT55" s="124">
        <v>2.47934E-3</v>
      </c>
      <c r="BU55" s="124">
        <v>4.2519999999999997E-3</v>
      </c>
      <c r="BV55" s="124" t="s">
        <v>161</v>
      </c>
      <c r="BW55" s="124">
        <v>7</v>
      </c>
      <c r="BX55" s="124" t="s">
        <v>381</v>
      </c>
      <c r="BY55" s="82">
        <v>2.47934E-3</v>
      </c>
      <c r="BZ55" s="82">
        <v>4.2519999999999997E-3</v>
      </c>
      <c r="CA55">
        <v>4.3118839999999999E-2</v>
      </c>
      <c r="CB55">
        <v>1.7726599999999997E-3</v>
      </c>
      <c r="CC55" s="123" t="s">
        <v>3188</v>
      </c>
      <c r="CD55" s="124"/>
      <c r="CE55" s="124"/>
      <c r="CF55" s="123" t="s">
        <v>3189</v>
      </c>
      <c r="CG55" t="s">
        <v>3095</v>
      </c>
    </row>
    <row r="56" spans="1:85" ht="14.5">
      <c r="A56" s="128">
        <v>14</v>
      </c>
      <c r="B56" s="124" t="s">
        <v>365</v>
      </c>
      <c r="C56" s="124">
        <v>2017</v>
      </c>
      <c r="D56" s="124" t="s">
        <v>366</v>
      </c>
      <c r="E56" s="129">
        <v>44714</v>
      </c>
      <c r="F56" s="123" t="s">
        <v>90</v>
      </c>
      <c r="G56" s="124" t="s">
        <v>360</v>
      </c>
      <c r="H56" s="124" t="s">
        <v>367</v>
      </c>
      <c r="I56" s="124" t="s">
        <v>368</v>
      </c>
      <c r="J56" s="124" t="s">
        <v>369</v>
      </c>
      <c r="K56" s="124" t="s">
        <v>97</v>
      </c>
      <c r="L56" s="124" t="s">
        <v>137</v>
      </c>
      <c r="M56" s="124" t="s">
        <v>95</v>
      </c>
      <c r="N56" s="124" t="s">
        <v>370</v>
      </c>
      <c r="O56" s="124" t="s">
        <v>97</v>
      </c>
      <c r="P56" s="124" t="s">
        <v>97</v>
      </c>
      <c r="Q56" s="124" t="s">
        <v>367</v>
      </c>
      <c r="R56" s="124" t="s">
        <v>367</v>
      </c>
      <c r="S56" s="124" t="s">
        <v>90</v>
      </c>
      <c r="T56" s="117" t="s">
        <v>114</v>
      </c>
      <c r="U56" s="124" t="s">
        <v>191</v>
      </c>
      <c r="V56" s="124" t="s">
        <v>99</v>
      </c>
      <c r="W56" s="124" t="s">
        <v>367</v>
      </c>
      <c r="X56" s="123" t="s">
        <v>3083</v>
      </c>
      <c r="Y56" s="123" t="s">
        <v>3084</v>
      </c>
      <c r="Z56" s="124" t="s">
        <v>371</v>
      </c>
      <c r="AA56" s="123" t="s">
        <v>3102</v>
      </c>
      <c r="AB56" s="124" t="s">
        <v>319</v>
      </c>
      <c r="AC56" s="124" t="s">
        <v>105</v>
      </c>
      <c r="AD56" s="124" t="s">
        <v>372</v>
      </c>
      <c r="AE56" s="124" t="s">
        <v>373</v>
      </c>
      <c r="AF56" s="124" t="s">
        <v>197</v>
      </c>
      <c r="AG56" s="123">
        <v>3</v>
      </c>
      <c r="AH56" s="124" t="s">
        <v>90</v>
      </c>
      <c r="AI56" s="124" t="s">
        <v>374</v>
      </c>
      <c r="AJ56" s="124" t="s">
        <v>150</v>
      </c>
      <c r="AK56" s="124">
        <v>2</v>
      </c>
      <c r="AL56" s="124" t="s">
        <v>151</v>
      </c>
      <c r="AM56" s="124" t="s">
        <v>97</v>
      </c>
      <c r="AN56" s="124" t="s">
        <v>97</v>
      </c>
      <c r="AO56" s="124" t="s">
        <v>152</v>
      </c>
      <c r="AP56" s="124">
        <v>2</v>
      </c>
      <c r="AQ56" s="124" t="s">
        <v>155</v>
      </c>
      <c r="AR56" s="124" t="s">
        <v>119</v>
      </c>
      <c r="AS56" s="124" t="s">
        <v>114</v>
      </c>
      <c r="AT56" s="124" t="s">
        <v>120</v>
      </c>
      <c r="AU56" s="124" t="s">
        <v>116</v>
      </c>
      <c r="AV56" s="124" t="s">
        <v>375</v>
      </c>
      <c r="AW56" s="124">
        <v>2</v>
      </c>
      <c r="AX56" s="124" t="s">
        <v>184</v>
      </c>
      <c r="AY56" s="124" t="s">
        <v>113</v>
      </c>
      <c r="AZ56" s="124" t="s">
        <v>115</v>
      </c>
      <c r="BA56" s="124" t="s">
        <v>116</v>
      </c>
      <c r="BB56" s="124" t="s">
        <v>376</v>
      </c>
      <c r="BC56" s="124">
        <v>3</v>
      </c>
      <c r="BD56" s="124" t="s">
        <v>184</v>
      </c>
      <c r="BE56" s="124" t="s">
        <v>123</v>
      </c>
      <c r="BF56" s="124" t="s">
        <v>124</v>
      </c>
      <c r="BG56" s="124" t="s">
        <v>116</v>
      </c>
      <c r="BH56" s="124" t="s">
        <v>377</v>
      </c>
      <c r="BI56" s="124">
        <v>2</v>
      </c>
      <c r="BJ56" s="124">
        <v>4</v>
      </c>
      <c r="BK56" s="124" t="s">
        <v>420</v>
      </c>
      <c r="BL56" s="124" t="s">
        <v>240</v>
      </c>
      <c r="BN56" s="124">
        <v>1.325E-2</v>
      </c>
      <c r="BO56" s="124">
        <v>3.2467530000000001E-2</v>
      </c>
      <c r="BP56" s="124">
        <v>5.1686999999999997E-2</v>
      </c>
      <c r="BQ56" s="124" t="s">
        <v>161</v>
      </c>
      <c r="BR56" s="124">
        <v>7</v>
      </c>
      <c r="BS56" s="124">
        <v>7.0680899999999997E-4</v>
      </c>
      <c r="BT56" s="124">
        <v>2.47934E-3</v>
      </c>
      <c r="BU56" s="124">
        <v>4.2519999999999997E-3</v>
      </c>
      <c r="BV56" s="124" t="s">
        <v>161</v>
      </c>
      <c r="BW56" s="124">
        <v>7</v>
      </c>
      <c r="BX56" s="124" t="s">
        <v>381</v>
      </c>
      <c r="BY56" s="82">
        <v>2.47934E-3</v>
      </c>
      <c r="BZ56" s="82">
        <v>4.2519999999999997E-3</v>
      </c>
      <c r="CA56">
        <v>1.9219469999999995E-2</v>
      </c>
      <c r="CB56">
        <v>1.7726599999999997E-3</v>
      </c>
      <c r="CC56" s="123" t="s">
        <v>3188</v>
      </c>
      <c r="CD56" s="124"/>
      <c r="CE56" s="124"/>
      <c r="CF56" s="123" t="s">
        <v>3189</v>
      </c>
      <c r="CG56" t="s">
        <v>3095</v>
      </c>
    </row>
    <row r="57" spans="1:85" ht="14.5">
      <c r="A57" s="128">
        <v>14</v>
      </c>
      <c r="B57" s="124" t="s">
        <v>365</v>
      </c>
      <c r="C57" s="124">
        <v>2017</v>
      </c>
      <c r="D57" s="124" t="s">
        <v>366</v>
      </c>
      <c r="E57" s="129">
        <v>44714</v>
      </c>
      <c r="F57" s="123" t="s">
        <v>90</v>
      </c>
      <c r="G57" s="124" t="s">
        <v>360</v>
      </c>
      <c r="H57" s="124" t="s">
        <v>367</v>
      </c>
      <c r="I57" s="124" t="s">
        <v>368</v>
      </c>
      <c r="J57" s="124" t="s">
        <v>369</v>
      </c>
      <c r="K57" s="124" t="s">
        <v>97</v>
      </c>
      <c r="L57" s="124" t="s">
        <v>137</v>
      </c>
      <c r="M57" s="124" t="s">
        <v>95</v>
      </c>
      <c r="N57" s="124" t="s">
        <v>370</v>
      </c>
      <c r="O57" s="124" t="s">
        <v>97</v>
      </c>
      <c r="P57" s="124" t="s">
        <v>97</v>
      </c>
      <c r="Q57" s="124" t="s">
        <v>367</v>
      </c>
      <c r="R57" s="124" t="s">
        <v>367</v>
      </c>
      <c r="S57" s="124" t="s">
        <v>90</v>
      </c>
      <c r="T57" s="117" t="s">
        <v>114</v>
      </c>
      <c r="U57" s="124" t="s">
        <v>191</v>
      </c>
      <c r="V57" s="124" t="s">
        <v>99</v>
      </c>
      <c r="W57" s="124" t="s">
        <v>367</v>
      </c>
      <c r="X57" s="123" t="s">
        <v>3083</v>
      </c>
      <c r="Y57" s="123" t="s">
        <v>3084</v>
      </c>
      <c r="Z57" s="124" t="s">
        <v>371</v>
      </c>
      <c r="AA57" s="123" t="s">
        <v>3102</v>
      </c>
      <c r="AB57" s="124" t="s">
        <v>319</v>
      </c>
      <c r="AC57" s="124" t="s">
        <v>105</v>
      </c>
      <c r="AD57" s="124" t="s">
        <v>372</v>
      </c>
      <c r="AE57" s="124" t="s">
        <v>373</v>
      </c>
      <c r="AF57" s="124" t="s">
        <v>197</v>
      </c>
      <c r="AG57" s="123">
        <v>3</v>
      </c>
      <c r="AH57" s="124" t="s">
        <v>90</v>
      </c>
      <c r="AI57" s="124" t="s">
        <v>374</v>
      </c>
      <c r="AJ57" s="124" t="s">
        <v>150</v>
      </c>
      <c r="AK57" s="124">
        <v>2</v>
      </c>
      <c r="AL57" s="124" t="s">
        <v>151</v>
      </c>
      <c r="AM57" s="124" t="s">
        <v>97</v>
      </c>
      <c r="AN57" s="124" t="s">
        <v>97</v>
      </c>
      <c r="AO57" s="124" t="s">
        <v>152</v>
      </c>
      <c r="AP57" s="124">
        <v>2</v>
      </c>
      <c r="AQ57" s="124" t="s">
        <v>155</v>
      </c>
      <c r="AR57" s="124" t="s">
        <v>119</v>
      </c>
      <c r="AS57" s="124" t="s">
        <v>114</v>
      </c>
      <c r="AT57" s="124" t="s">
        <v>120</v>
      </c>
      <c r="AU57" s="124" t="s">
        <v>116</v>
      </c>
      <c r="AV57" s="124" t="s">
        <v>375</v>
      </c>
      <c r="AW57" s="124">
        <v>2</v>
      </c>
      <c r="AX57" s="124" t="s">
        <v>184</v>
      </c>
      <c r="AY57" s="124" t="s">
        <v>113</v>
      </c>
      <c r="AZ57" s="124" t="s">
        <v>115</v>
      </c>
      <c r="BA57" s="124" t="s">
        <v>116</v>
      </c>
      <c r="BB57" s="124" t="s">
        <v>376</v>
      </c>
      <c r="BC57" s="124">
        <v>3</v>
      </c>
      <c r="BD57" s="124" t="s">
        <v>184</v>
      </c>
      <c r="BE57" s="124" t="s">
        <v>123</v>
      </c>
      <c r="BF57" s="124" t="s">
        <v>124</v>
      </c>
      <c r="BG57" s="124" t="s">
        <v>116</v>
      </c>
      <c r="BH57" s="124" t="s">
        <v>377</v>
      </c>
      <c r="BI57" s="124">
        <v>2</v>
      </c>
      <c r="BJ57" s="124">
        <v>4</v>
      </c>
      <c r="BK57" s="124" t="s">
        <v>421</v>
      </c>
      <c r="BL57" s="124" t="s">
        <v>240</v>
      </c>
      <c r="BN57" s="124">
        <v>7.8300000000000002E-3</v>
      </c>
      <c r="BO57" s="124">
        <v>9.5959600000000006E-3</v>
      </c>
      <c r="BP57" s="124">
        <v>1.1364000000000001E-2</v>
      </c>
      <c r="BQ57" s="124" t="s">
        <v>161</v>
      </c>
      <c r="BR57" s="124">
        <v>7</v>
      </c>
      <c r="BS57" s="124">
        <v>7.0680899999999997E-4</v>
      </c>
      <c r="BT57" s="124">
        <v>2.47934E-3</v>
      </c>
      <c r="BU57" s="124">
        <v>4.2519999999999997E-3</v>
      </c>
      <c r="BV57" s="124" t="s">
        <v>161</v>
      </c>
      <c r="BW57" s="124">
        <v>7</v>
      </c>
      <c r="BX57" s="124" t="s">
        <v>381</v>
      </c>
      <c r="BY57" s="82">
        <v>2.47934E-3</v>
      </c>
      <c r="BZ57" s="82">
        <v>4.2519999999999997E-3</v>
      </c>
      <c r="CA57">
        <v>1.7680400000000002E-3</v>
      </c>
      <c r="CB57">
        <v>1.7726599999999997E-3</v>
      </c>
      <c r="CC57" s="123" t="s">
        <v>3188</v>
      </c>
      <c r="CD57" s="124"/>
      <c r="CE57" s="124"/>
      <c r="CF57" s="123" t="s">
        <v>3189</v>
      </c>
      <c r="CG57" t="s">
        <v>3095</v>
      </c>
    </row>
    <row r="58" spans="1:85" ht="14.5">
      <c r="A58" s="128">
        <v>14</v>
      </c>
      <c r="B58" s="124" t="s">
        <v>365</v>
      </c>
      <c r="C58" s="124">
        <v>2017</v>
      </c>
      <c r="D58" s="124" t="s">
        <v>366</v>
      </c>
      <c r="E58" s="129">
        <v>44714</v>
      </c>
      <c r="F58" s="123" t="s">
        <v>90</v>
      </c>
      <c r="G58" s="124" t="s">
        <v>360</v>
      </c>
      <c r="H58" s="124" t="s">
        <v>367</v>
      </c>
      <c r="I58" s="124" t="s">
        <v>368</v>
      </c>
      <c r="J58" s="124" t="s">
        <v>369</v>
      </c>
      <c r="K58" s="124" t="s">
        <v>97</v>
      </c>
      <c r="L58" s="124" t="s">
        <v>137</v>
      </c>
      <c r="M58" s="124" t="s">
        <v>95</v>
      </c>
      <c r="N58" s="124" t="s">
        <v>370</v>
      </c>
      <c r="O58" s="124" t="s">
        <v>97</v>
      </c>
      <c r="P58" s="124" t="s">
        <v>97</v>
      </c>
      <c r="Q58" s="124" t="s">
        <v>367</v>
      </c>
      <c r="R58" s="124" t="s">
        <v>367</v>
      </c>
      <c r="S58" s="124" t="s">
        <v>90</v>
      </c>
      <c r="T58" s="117" t="s">
        <v>114</v>
      </c>
      <c r="U58" s="124" t="s">
        <v>191</v>
      </c>
      <c r="V58" s="124" t="s">
        <v>99</v>
      </c>
      <c r="W58" s="124" t="s">
        <v>367</v>
      </c>
      <c r="X58" s="123" t="s">
        <v>3083</v>
      </c>
      <c r="Y58" s="123" t="s">
        <v>3084</v>
      </c>
      <c r="Z58" s="124" t="s">
        <v>371</v>
      </c>
      <c r="AA58" s="123" t="s">
        <v>3102</v>
      </c>
      <c r="AB58" s="124" t="s">
        <v>319</v>
      </c>
      <c r="AC58" s="124" t="s">
        <v>105</v>
      </c>
      <c r="AD58" s="124" t="s">
        <v>372</v>
      </c>
      <c r="AE58" s="124" t="s">
        <v>373</v>
      </c>
      <c r="AF58" s="124" t="s">
        <v>197</v>
      </c>
      <c r="AG58" s="123">
        <v>3</v>
      </c>
      <c r="AH58" s="124" t="s">
        <v>90</v>
      </c>
      <c r="AI58" s="124" t="s">
        <v>374</v>
      </c>
      <c r="AJ58" s="124" t="s">
        <v>150</v>
      </c>
      <c r="AK58" s="124">
        <v>2</v>
      </c>
      <c r="AL58" s="124" t="s">
        <v>151</v>
      </c>
      <c r="AM58" s="124" t="s">
        <v>97</v>
      </c>
      <c r="AN58" s="124" t="s">
        <v>97</v>
      </c>
      <c r="AO58" s="124" t="s">
        <v>152</v>
      </c>
      <c r="AP58" s="124">
        <v>2</v>
      </c>
      <c r="AQ58" s="124" t="s">
        <v>155</v>
      </c>
      <c r="AR58" s="124" t="s">
        <v>119</v>
      </c>
      <c r="AS58" s="124" t="s">
        <v>114</v>
      </c>
      <c r="AT58" s="124" t="s">
        <v>120</v>
      </c>
      <c r="AU58" s="124" t="s">
        <v>116</v>
      </c>
      <c r="AV58" s="124" t="s">
        <v>375</v>
      </c>
      <c r="AW58" s="124">
        <v>2</v>
      </c>
      <c r="AX58" s="124" t="s">
        <v>184</v>
      </c>
      <c r="AY58" s="124" t="s">
        <v>113</v>
      </c>
      <c r="AZ58" s="124" t="s">
        <v>115</v>
      </c>
      <c r="BA58" s="124" t="s">
        <v>116</v>
      </c>
      <c r="BB58" s="124" t="s">
        <v>376</v>
      </c>
      <c r="BC58" s="124">
        <v>3</v>
      </c>
      <c r="BD58" s="124" t="s">
        <v>184</v>
      </c>
      <c r="BE58" s="124" t="s">
        <v>123</v>
      </c>
      <c r="BF58" s="124" t="s">
        <v>124</v>
      </c>
      <c r="BG58" s="124" t="s">
        <v>116</v>
      </c>
      <c r="BH58" s="124" t="s">
        <v>377</v>
      </c>
      <c r="BI58" s="124">
        <v>2</v>
      </c>
      <c r="BJ58" s="124">
        <v>4</v>
      </c>
      <c r="BK58" s="124" t="s">
        <v>422</v>
      </c>
      <c r="BL58" s="124" t="s">
        <v>240</v>
      </c>
      <c r="BN58" s="124">
        <v>2.342E-2</v>
      </c>
      <c r="BO58" s="124">
        <v>3.5795460000000001E-2</v>
      </c>
      <c r="BP58" s="124">
        <v>4.8168000000000002E-2</v>
      </c>
      <c r="BQ58" s="124" t="s">
        <v>161</v>
      </c>
      <c r="BR58" s="124">
        <v>7</v>
      </c>
      <c r="BS58" s="124">
        <v>7.0680899999999997E-4</v>
      </c>
      <c r="BT58" s="124">
        <v>2.47934E-3</v>
      </c>
      <c r="BU58" s="124">
        <v>4.2519999999999997E-3</v>
      </c>
      <c r="BV58" s="124" t="s">
        <v>161</v>
      </c>
      <c r="BW58" s="124">
        <v>7</v>
      </c>
      <c r="BX58" s="124" t="s">
        <v>381</v>
      </c>
      <c r="BY58" s="82">
        <v>2.47934E-3</v>
      </c>
      <c r="BZ58" s="82">
        <v>4.2519999999999997E-3</v>
      </c>
      <c r="CA58">
        <v>1.2372540000000001E-2</v>
      </c>
      <c r="CB58">
        <v>1.7726599999999997E-3</v>
      </c>
      <c r="CC58" s="123" t="s">
        <v>3188</v>
      </c>
      <c r="CD58" s="124"/>
      <c r="CE58" s="124"/>
      <c r="CF58" s="123" t="s">
        <v>3189</v>
      </c>
      <c r="CG58" t="s">
        <v>3095</v>
      </c>
    </row>
    <row r="59" spans="1:85" ht="14.5">
      <c r="A59" s="128">
        <v>14</v>
      </c>
      <c r="B59" s="124" t="s">
        <v>365</v>
      </c>
      <c r="C59" s="124">
        <v>2017</v>
      </c>
      <c r="D59" s="124" t="s">
        <v>366</v>
      </c>
      <c r="E59" s="129">
        <v>44714</v>
      </c>
      <c r="F59" s="123" t="s">
        <v>90</v>
      </c>
      <c r="G59" s="124" t="s">
        <v>360</v>
      </c>
      <c r="H59" s="124" t="s">
        <v>367</v>
      </c>
      <c r="I59" s="124" t="s">
        <v>368</v>
      </c>
      <c r="J59" s="124" t="s">
        <v>369</v>
      </c>
      <c r="K59" s="124" t="s">
        <v>97</v>
      </c>
      <c r="L59" s="124" t="s">
        <v>137</v>
      </c>
      <c r="M59" s="124" t="s">
        <v>95</v>
      </c>
      <c r="N59" s="124" t="s">
        <v>370</v>
      </c>
      <c r="O59" s="124" t="s">
        <v>97</v>
      </c>
      <c r="P59" s="124" t="s">
        <v>97</v>
      </c>
      <c r="Q59" s="124" t="s">
        <v>367</v>
      </c>
      <c r="R59" s="124" t="s">
        <v>367</v>
      </c>
      <c r="S59" s="124" t="s">
        <v>90</v>
      </c>
      <c r="T59" s="117" t="s">
        <v>114</v>
      </c>
      <c r="U59" s="124" t="s">
        <v>191</v>
      </c>
      <c r="V59" s="124" t="s">
        <v>99</v>
      </c>
      <c r="W59" s="124" t="s">
        <v>367</v>
      </c>
      <c r="X59" s="123" t="s">
        <v>3083</v>
      </c>
      <c r="Y59" s="123" t="s">
        <v>3084</v>
      </c>
      <c r="Z59" s="124" t="s">
        <v>371</v>
      </c>
      <c r="AA59" s="123" t="s">
        <v>3102</v>
      </c>
      <c r="AB59" s="124" t="s">
        <v>319</v>
      </c>
      <c r="AC59" s="124" t="s">
        <v>105</v>
      </c>
      <c r="AD59" s="124" t="s">
        <v>372</v>
      </c>
      <c r="AE59" s="124" t="s">
        <v>373</v>
      </c>
      <c r="AF59" s="124" t="s">
        <v>197</v>
      </c>
      <c r="AG59" s="123">
        <v>3</v>
      </c>
      <c r="AH59" s="124" t="s">
        <v>90</v>
      </c>
      <c r="AI59" s="124" t="s">
        <v>374</v>
      </c>
      <c r="AJ59" s="124" t="s">
        <v>150</v>
      </c>
      <c r="AK59" s="124">
        <v>2</v>
      </c>
      <c r="AL59" s="124" t="s">
        <v>151</v>
      </c>
      <c r="AM59" s="124" t="s">
        <v>97</v>
      </c>
      <c r="AN59" s="124" t="s">
        <v>97</v>
      </c>
      <c r="AO59" s="124" t="s">
        <v>152</v>
      </c>
      <c r="AP59" s="124">
        <v>2</v>
      </c>
      <c r="AQ59" s="124" t="s">
        <v>155</v>
      </c>
      <c r="AR59" s="124" t="s">
        <v>119</v>
      </c>
      <c r="AS59" s="124" t="s">
        <v>114</v>
      </c>
      <c r="AT59" s="124" t="s">
        <v>120</v>
      </c>
      <c r="AU59" s="124" t="s">
        <v>116</v>
      </c>
      <c r="AV59" s="124" t="s">
        <v>375</v>
      </c>
      <c r="AW59" s="124">
        <v>2</v>
      </c>
      <c r="AX59" s="124" t="s">
        <v>184</v>
      </c>
      <c r="AY59" s="124" t="s">
        <v>113</v>
      </c>
      <c r="AZ59" s="124" t="s">
        <v>115</v>
      </c>
      <c r="BA59" s="124" t="s">
        <v>116</v>
      </c>
      <c r="BB59" s="124" t="s">
        <v>376</v>
      </c>
      <c r="BC59" s="124">
        <v>3</v>
      </c>
      <c r="BD59" s="124" t="s">
        <v>184</v>
      </c>
      <c r="BE59" s="124" t="s">
        <v>123</v>
      </c>
      <c r="BF59" s="124" t="s">
        <v>124</v>
      </c>
      <c r="BG59" s="124" t="s">
        <v>116</v>
      </c>
      <c r="BH59" s="124" t="s">
        <v>377</v>
      </c>
      <c r="BI59" s="124">
        <v>2</v>
      </c>
      <c r="BJ59" s="124">
        <v>4</v>
      </c>
      <c r="BK59" s="124" t="s">
        <v>423</v>
      </c>
      <c r="BL59" s="124" t="s">
        <v>240</v>
      </c>
      <c r="BN59" s="124">
        <v>7.9699999999999997E-3</v>
      </c>
      <c r="BO59" s="124">
        <v>1.262626E-2</v>
      </c>
      <c r="BP59" s="124">
        <v>1.7283E-2</v>
      </c>
      <c r="BQ59" s="124" t="s">
        <v>161</v>
      </c>
      <c r="BR59" s="124">
        <v>7</v>
      </c>
      <c r="BS59" s="124">
        <v>7.0680899999999997E-4</v>
      </c>
      <c r="BT59" s="124">
        <v>2.47934E-3</v>
      </c>
      <c r="BU59" s="124">
        <v>4.2519999999999997E-3</v>
      </c>
      <c r="BV59" s="124" t="s">
        <v>161</v>
      </c>
      <c r="BW59" s="124">
        <v>7</v>
      </c>
      <c r="BX59" s="124" t="s">
        <v>381</v>
      </c>
      <c r="BY59" s="82">
        <v>2.47934E-3</v>
      </c>
      <c r="BZ59" s="82">
        <v>4.2519999999999997E-3</v>
      </c>
      <c r="CA59">
        <v>4.6567399999999995E-3</v>
      </c>
      <c r="CB59">
        <v>1.7726599999999997E-3</v>
      </c>
      <c r="CC59" s="123" t="s">
        <v>3188</v>
      </c>
      <c r="CD59" s="124"/>
      <c r="CE59" s="124"/>
      <c r="CF59" s="123" t="s">
        <v>3189</v>
      </c>
      <c r="CG59" t="s">
        <v>3095</v>
      </c>
    </row>
    <row r="60" spans="1:85" ht="14.5">
      <c r="A60" s="128">
        <v>14</v>
      </c>
      <c r="B60" s="124" t="s">
        <v>365</v>
      </c>
      <c r="C60" s="124">
        <v>2017</v>
      </c>
      <c r="D60" s="124" t="s">
        <v>366</v>
      </c>
      <c r="E60" s="129">
        <v>44714</v>
      </c>
      <c r="F60" s="123" t="s">
        <v>90</v>
      </c>
      <c r="G60" s="124" t="s">
        <v>360</v>
      </c>
      <c r="H60" s="124" t="s">
        <v>367</v>
      </c>
      <c r="I60" s="124" t="s">
        <v>368</v>
      </c>
      <c r="J60" s="124" t="s">
        <v>369</v>
      </c>
      <c r="K60" s="124" t="s">
        <v>97</v>
      </c>
      <c r="L60" s="124" t="s">
        <v>137</v>
      </c>
      <c r="M60" s="124" t="s">
        <v>95</v>
      </c>
      <c r="N60" s="124" t="s">
        <v>370</v>
      </c>
      <c r="O60" s="124" t="s">
        <v>97</v>
      </c>
      <c r="P60" s="124" t="s">
        <v>97</v>
      </c>
      <c r="Q60" s="124" t="s">
        <v>367</v>
      </c>
      <c r="R60" s="124" t="s">
        <v>367</v>
      </c>
      <c r="S60" s="124" t="s">
        <v>90</v>
      </c>
      <c r="T60" s="117" t="s">
        <v>114</v>
      </c>
      <c r="U60" s="124" t="s">
        <v>191</v>
      </c>
      <c r="V60" s="124" t="s">
        <v>99</v>
      </c>
      <c r="W60" s="124" t="s">
        <v>367</v>
      </c>
      <c r="X60" s="123" t="s">
        <v>3083</v>
      </c>
      <c r="Y60" s="123" t="s">
        <v>3084</v>
      </c>
      <c r="Z60" s="124" t="s">
        <v>371</v>
      </c>
      <c r="AA60" s="123" t="s">
        <v>3102</v>
      </c>
      <c r="AB60" s="124" t="s">
        <v>319</v>
      </c>
      <c r="AC60" s="124" t="s">
        <v>105</v>
      </c>
      <c r="AD60" s="124" t="s">
        <v>372</v>
      </c>
      <c r="AE60" s="124" t="s">
        <v>373</v>
      </c>
      <c r="AF60" s="124" t="s">
        <v>197</v>
      </c>
      <c r="AG60" s="123">
        <v>3</v>
      </c>
      <c r="AH60" s="124" t="s">
        <v>90</v>
      </c>
      <c r="AI60" s="124" t="s">
        <v>374</v>
      </c>
      <c r="AJ60" s="124" t="s">
        <v>150</v>
      </c>
      <c r="AK60" s="124">
        <v>2</v>
      </c>
      <c r="AL60" s="124" t="s">
        <v>151</v>
      </c>
      <c r="AM60" s="124" t="s">
        <v>97</v>
      </c>
      <c r="AN60" s="124" t="s">
        <v>97</v>
      </c>
      <c r="AO60" s="124" t="s">
        <v>152</v>
      </c>
      <c r="AP60" s="124">
        <v>2</v>
      </c>
      <c r="AQ60" s="124" t="s">
        <v>155</v>
      </c>
      <c r="AR60" s="124" t="s">
        <v>119</v>
      </c>
      <c r="AS60" s="124" t="s">
        <v>114</v>
      </c>
      <c r="AT60" s="124" t="s">
        <v>120</v>
      </c>
      <c r="AU60" s="124" t="s">
        <v>116</v>
      </c>
      <c r="AV60" s="124" t="s">
        <v>375</v>
      </c>
      <c r="AW60" s="124">
        <v>2</v>
      </c>
      <c r="AX60" s="124" t="s">
        <v>184</v>
      </c>
      <c r="AY60" s="124" t="s">
        <v>113</v>
      </c>
      <c r="AZ60" s="124" t="s">
        <v>115</v>
      </c>
      <c r="BA60" s="124" t="s">
        <v>116</v>
      </c>
      <c r="BB60" s="124" t="s">
        <v>376</v>
      </c>
      <c r="BC60" s="124">
        <v>3</v>
      </c>
      <c r="BD60" s="124" t="s">
        <v>184</v>
      </c>
      <c r="BE60" s="124" t="s">
        <v>123</v>
      </c>
      <c r="BF60" s="124" t="s">
        <v>124</v>
      </c>
      <c r="BG60" s="124" t="s">
        <v>116</v>
      </c>
      <c r="BH60" s="124" t="s">
        <v>377</v>
      </c>
      <c r="BI60" s="124">
        <v>2</v>
      </c>
      <c r="BJ60" s="124">
        <v>4</v>
      </c>
      <c r="BK60" s="124" t="s">
        <v>424</v>
      </c>
      <c r="BL60" s="124" t="s">
        <v>240</v>
      </c>
      <c r="BN60" s="124">
        <v>2.0100000000000001E-3</v>
      </c>
      <c r="BO60" s="124">
        <v>6.5656600000000001E-3</v>
      </c>
      <c r="BP60" s="124">
        <v>1.1117999999999999E-2</v>
      </c>
      <c r="BQ60" s="124" t="s">
        <v>161</v>
      </c>
      <c r="BR60" s="124">
        <v>7</v>
      </c>
      <c r="BS60" s="124">
        <v>7.0680899999999997E-4</v>
      </c>
      <c r="BT60" s="124">
        <v>2.47934E-3</v>
      </c>
      <c r="BU60" s="124">
        <v>4.2519999999999997E-3</v>
      </c>
      <c r="BV60" s="124" t="s">
        <v>161</v>
      </c>
      <c r="BW60" s="124">
        <v>7</v>
      </c>
      <c r="BX60" s="124" t="s">
        <v>381</v>
      </c>
      <c r="BY60" s="82">
        <v>2.47934E-3</v>
      </c>
      <c r="BZ60" s="82">
        <v>4.2519999999999997E-3</v>
      </c>
      <c r="CA60">
        <v>4.5523399999999993E-3</v>
      </c>
      <c r="CB60">
        <v>1.7726599999999997E-3</v>
      </c>
      <c r="CC60" s="123" t="s">
        <v>3188</v>
      </c>
      <c r="CD60" s="124"/>
      <c r="CE60" s="124"/>
      <c r="CF60" s="123" t="s">
        <v>3189</v>
      </c>
      <c r="CG60" t="s">
        <v>3095</v>
      </c>
    </row>
    <row r="61" spans="1:85" ht="14.5">
      <c r="A61" s="128">
        <v>14</v>
      </c>
      <c r="B61" s="124" t="s">
        <v>365</v>
      </c>
      <c r="C61" s="124">
        <v>2017</v>
      </c>
      <c r="D61" s="124" t="s">
        <v>366</v>
      </c>
      <c r="E61" s="129">
        <v>44714</v>
      </c>
      <c r="F61" s="123" t="s">
        <v>90</v>
      </c>
      <c r="G61" s="124" t="s">
        <v>360</v>
      </c>
      <c r="H61" s="124" t="s">
        <v>367</v>
      </c>
      <c r="I61" s="124" t="s">
        <v>368</v>
      </c>
      <c r="J61" s="124" t="s">
        <v>369</v>
      </c>
      <c r="K61" s="124" t="s">
        <v>97</v>
      </c>
      <c r="L61" s="124" t="s">
        <v>137</v>
      </c>
      <c r="M61" s="124" t="s">
        <v>95</v>
      </c>
      <c r="N61" s="124" t="s">
        <v>370</v>
      </c>
      <c r="O61" s="124" t="s">
        <v>97</v>
      </c>
      <c r="P61" s="124" t="s">
        <v>97</v>
      </c>
      <c r="Q61" s="124" t="s">
        <v>367</v>
      </c>
      <c r="R61" s="124" t="s">
        <v>367</v>
      </c>
      <c r="S61" s="124" t="s">
        <v>90</v>
      </c>
      <c r="T61" s="117" t="s">
        <v>114</v>
      </c>
      <c r="U61" s="124" t="s">
        <v>191</v>
      </c>
      <c r="V61" s="124" t="s">
        <v>99</v>
      </c>
      <c r="W61" s="124" t="s">
        <v>367</v>
      </c>
      <c r="X61" s="123" t="s">
        <v>3083</v>
      </c>
      <c r="Y61" s="123" t="s">
        <v>3084</v>
      </c>
      <c r="Z61" s="124" t="s">
        <v>371</v>
      </c>
      <c r="AA61" s="123" t="s">
        <v>3102</v>
      </c>
      <c r="AB61" s="124" t="s">
        <v>319</v>
      </c>
      <c r="AC61" s="124" t="s">
        <v>105</v>
      </c>
      <c r="AD61" s="124" t="s">
        <v>372</v>
      </c>
      <c r="AE61" s="124" t="s">
        <v>373</v>
      </c>
      <c r="AF61" s="124" t="s">
        <v>197</v>
      </c>
      <c r="AG61" s="123">
        <v>3</v>
      </c>
      <c r="AH61" s="124" t="s">
        <v>90</v>
      </c>
      <c r="AI61" s="124" t="s">
        <v>374</v>
      </c>
      <c r="AJ61" s="124" t="s">
        <v>150</v>
      </c>
      <c r="AK61" s="124">
        <v>2</v>
      </c>
      <c r="AL61" s="124" t="s">
        <v>151</v>
      </c>
      <c r="AM61" s="124" t="s">
        <v>97</v>
      </c>
      <c r="AN61" s="124" t="s">
        <v>97</v>
      </c>
      <c r="AO61" s="124" t="s">
        <v>152</v>
      </c>
      <c r="AP61" s="124">
        <v>2</v>
      </c>
      <c r="AQ61" s="124" t="s">
        <v>155</v>
      </c>
      <c r="AR61" s="124" t="s">
        <v>119</v>
      </c>
      <c r="AS61" s="124" t="s">
        <v>114</v>
      </c>
      <c r="AT61" s="124" t="s">
        <v>120</v>
      </c>
      <c r="AU61" s="124" t="s">
        <v>116</v>
      </c>
      <c r="AV61" s="124" t="s">
        <v>375</v>
      </c>
      <c r="AW61" s="124">
        <v>2</v>
      </c>
      <c r="AX61" s="124" t="s">
        <v>184</v>
      </c>
      <c r="AY61" s="124" t="s">
        <v>113</v>
      </c>
      <c r="AZ61" s="124" t="s">
        <v>115</v>
      </c>
      <c r="BA61" s="124" t="s">
        <v>116</v>
      </c>
      <c r="BB61" s="124" t="s">
        <v>376</v>
      </c>
      <c r="BC61" s="124">
        <v>3</v>
      </c>
      <c r="BD61" s="124" t="s">
        <v>184</v>
      </c>
      <c r="BE61" s="124" t="s">
        <v>123</v>
      </c>
      <c r="BF61" s="124" t="s">
        <v>124</v>
      </c>
      <c r="BG61" s="124" t="s">
        <v>116</v>
      </c>
      <c r="BH61" s="124" t="s">
        <v>377</v>
      </c>
      <c r="BI61" s="124">
        <v>2</v>
      </c>
      <c r="BJ61" s="124">
        <v>4</v>
      </c>
      <c r="BK61" s="124" t="s">
        <v>425</v>
      </c>
      <c r="BL61" s="124" t="s">
        <v>240</v>
      </c>
      <c r="BN61" s="124">
        <v>0</v>
      </c>
      <c r="BO61" s="124">
        <v>4.0404000000000004E-3</v>
      </c>
      <c r="BP61" s="124">
        <v>8.0809999999999996E-3</v>
      </c>
      <c r="BQ61" s="124" t="s">
        <v>161</v>
      </c>
      <c r="BR61" s="124">
        <v>7</v>
      </c>
      <c r="BS61" s="124">
        <v>7.0680899999999997E-4</v>
      </c>
      <c r="BT61" s="124">
        <v>2.47934E-3</v>
      </c>
      <c r="BU61" s="124">
        <v>4.2519999999999997E-3</v>
      </c>
      <c r="BV61" s="124" t="s">
        <v>161</v>
      </c>
      <c r="BW61" s="124">
        <v>7</v>
      </c>
      <c r="BX61" s="124" t="s">
        <v>381</v>
      </c>
      <c r="BY61" s="82">
        <v>2.47934E-3</v>
      </c>
      <c r="BZ61" s="82">
        <v>4.2519999999999997E-3</v>
      </c>
      <c r="CA61">
        <v>4.0405999999999992E-3</v>
      </c>
      <c r="CB61">
        <v>1.7726599999999997E-3</v>
      </c>
      <c r="CC61" s="123" t="s">
        <v>3188</v>
      </c>
      <c r="CD61" s="124"/>
      <c r="CE61" s="124"/>
      <c r="CF61" s="123" t="s">
        <v>3189</v>
      </c>
      <c r="CG61" t="s">
        <v>3095</v>
      </c>
    </row>
    <row r="62" spans="1:85" ht="14.5">
      <c r="A62" s="128">
        <v>14</v>
      </c>
      <c r="B62" s="124" t="s">
        <v>365</v>
      </c>
      <c r="C62" s="124">
        <v>2017</v>
      </c>
      <c r="D62" s="124" t="s">
        <v>366</v>
      </c>
      <c r="E62" s="129">
        <v>44714</v>
      </c>
      <c r="F62" s="123" t="s">
        <v>90</v>
      </c>
      <c r="G62" s="124" t="s">
        <v>360</v>
      </c>
      <c r="H62" s="124" t="s">
        <v>367</v>
      </c>
      <c r="I62" s="124" t="s">
        <v>368</v>
      </c>
      <c r="J62" s="124" t="s">
        <v>369</v>
      </c>
      <c r="K62" s="124" t="s">
        <v>97</v>
      </c>
      <c r="L62" s="124" t="s">
        <v>137</v>
      </c>
      <c r="M62" s="124" t="s">
        <v>95</v>
      </c>
      <c r="N62" s="124" t="s">
        <v>370</v>
      </c>
      <c r="O62" s="124" t="s">
        <v>97</v>
      </c>
      <c r="P62" s="124" t="s">
        <v>97</v>
      </c>
      <c r="Q62" s="124" t="s">
        <v>367</v>
      </c>
      <c r="R62" s="124" t="s">
        <v>367</v>
      </c>
      <c r="S62" s="124" t="s">
        <v>90</v>
      </c>
      <c r="T62" s="117" t="s">
        <v>114</v>
      </c>
      <c r="U62" s="124" t="s">
        <v>191</v>
      </c>
      <c r="V62" s="124" t="s">
        <v>99</v>
      </c>
      <c r="W62" s="124" t="s">
        <v>367</v>
      </c>
      <c r="X62" s="123" t="s">
        <v>3083</v>
      </c>
      <c r="Y62" s="123" t="s">
        <v>3084</v>
      </c>
      <c r="Z62" s="124" t="s">
        <v>371</v>
      </c>
      <c r="AA62" s="123" t="s">
        <v>3102</v>
      </c>
      <c r="AB62" s="124" t="s">
        <v>319</v>
      </c>
      <c r="AC62" s="124" t="s">
        <v>105</v>
      </c>
      <c r="AD62" s="124" t="s">
        <v>372</v>
      </c>
      <c r="AE62" s="124" t="s">
        <v>373</v>
      </c>
      <c r="AF62" s="124" t="s">
        <v>197</v>
      </c>
      <c r="AG62" s="123">
        <v>3</v>
      </c>
      <c r="AH62" s="124" t="s">
        <v>90</v>
      </c>
      <c r="AI62" s="124" t="s">
        <v>374</v>
      </c>
      <c r="AJ62" s="124" t="s">
        <v>150</v>
      </c>
      <c r="AK62" s="124">
        <v>2</v>
      </c>
      <c r="AL62" s="124" t="s">
        <v>151</v>
      </c>
      <c r="AM62" s="124" t="s">
        <v>97</v>
      </c>
      <c r="AN62" s="124" t="s">
        <v>97</v>
      </c>
      <c r="AO62" s="124" t="s">
        <v>152</v>
      </c>
      <c r="AP62" s="124">
        <v>2</v>
      </c>
      <c r="AQ62" s="124" t="s">
        <v>155</v>
      </c>
      <c r="AR62" s="124" t="s">
        <v>119</v>
      </c>
      <c r="AS62" s="124" t="s">
        <v>114</v>
      </c>
      <c r="AT62" s="124" t="s">
        <v>120</v>
      </c>
      <c r="AU62" s="124" t="s">
        <v>116</v>
      </c>
      <c r="AV62" s="124" t="s">
        <v>375</v>
      </c>
      <c r="AW62" s="124">
        <v>2</v>
      </c>
      <c r="AX62" s="124" t="s">
        <v>184</v>
      </c>
      <c r="AY62" s="124" t="s">
        <v>113</v>
      </c>
      <c r="AZ62" s="124" t="s">
        <v>115</v>
      </c>
      <c r="BA62" s="124" t="s">
        <v>116</v>
      </c>
      <c r="BB62" s="124" t="s">
        <v>376</v>
      </c>
      <c r="BC62" s="124">
        <v>3</v>
      </c>
      <c r="BD62" s="124" t="s">
        <v>184</v>
      </c>
      <c r="BE62" s="124" t="s">
        <v>123</v>
      </c>
      <c r="BF62" s="124" t="s">
        <v>124</v>
      </c>
      <c r="BG62" s="124" t="s">
        <v>116</v>
      </c>
      <c r="BH62" s="124" t="s">
        <v>377</v>
      </c>
      <c r="BI62" s="124">
        <v>2</v>
      </c>
      <c r="BJ62" s="124">
        <v>4</v>
      </c>
      <c r="BK62" s="124" t="s">
        <v>426</v>
      </c>
      <c r="BL62" s="124" t="s">
        <v>240</v>
      </c>
      <c r="BN62" s="124">
        <v>2.9499999999999999E-3</v>
      </c>
      <c r="BO62" s="124">
        <v>5.9090899999999997E-3</v>
      </c>
      <c r="BP62" s="124">
        <v>8.8669999999999999E-3</v>
      </c>
      <c r="BQ62" s="124" t="s">
        <v>161</v>
      </c>
      <c r="BR62" s="124">
        <v>7</v>
      </c>
      <c r="BS62" s="124">
        <v>7.0680899999999997E-4</v>
      </c>
      <c r="BT62" s="124">
        <v>2.47934E-3</v>
      </c>
      <c r="BU62" s="124">
        <v>4.2519999999999997E-3</v>
      </c>
      <c r="BV62" s="124" t="s">
        <v>161</v>
      </c>
      <c r="BW62" s="124">
        <v>7</v>
      </c>
      <c r="BX62" s="124" t="s">
        <v>381</v>
      </c>
      <c r="BY62" s="82">
        <v>2.47934E-3</v>
      </c>
      <c r="BZ62" s="82">
        <v>4.2519999999999997E-3</v>
      </c>
      <c r="CA62">
        <v>2.9579100000000002E-3</v>
      </c>
      <c r="CB62">
        <v>1.7726599999999997E-3</v>
      </c>
      <c r="CC62" s="123" t="s">
        <v>3188</v>
      </c>
      <c r="CD62" s="124"/>
      <c r="CE62" s="124"/>
      <c r="CF62" s="123" t="s">
        <v>3189</v>
      </c>
      <c r="CG62" t="s">
        <v>3095</v>
      </c>
    </row>
    <row r="63" spans="1:85" ht="14.5">
      <c r="A63" s="128">
        <v>14</v>
      </c>
      <c r="B63" s="124" t="s">
        <v>365</v>
      </c>
      <c r="C63" s="124">
        <v>2017</v>
      </c>
      <c r="D63" s="124" t="s">
        <v>366</v>
      </c>
      <c r="E63" s="129">
        <v>44714</v>
      </c>
      <c r="F63" s="123" t="s">
        <v>90</v>
      </c>
      <c r="G63" s="124" t="s">
        <v>360</v>
      </c>
      <c r="H63" s="124" t="s">
        <v>367</v>
      </c>
      <c r="I63" s="124" t="s">
        <v>368</v>
      </c>
      <c r="J63" s="124" t="s">
        <v>369</v>
      </c>
      <c r="K63" s="124" t="s">
        <v>97</v>
      </c>
      <c r="L63" s="124" t="s">
        <v>137</v>
      </c>
      <c r="M63" s="124" t="s">
        <v>95</v>
      </c>
      <c r="N63" s="124" t="s">
        <v>370</v>
      </c>
      <c r="O63" s="124" t="s">
        <v>97</v>
      </c>
      <c r="P63" s="124" t="s">
        <v>97</v>
      </c>
      <c r="Q63" s="124" t="s">
        <v>367</v>
      </c>
      <c r="R63" s="124" t="s">
        <v>367</v>
      </c>
      <c r="S63" s="124" t="s">
        <v>90</v>
      </c>
      <c r="T63" s="117" t="s">
        <v>114</v>
      </c>
      <c r="U63" s="124" t="s">
        <v>191</v>
      </c>
      <c r="V63" s="124" t="s">
        <v>99</v>
      </c>
      <c r="W63" s="124" t="s">
        <v>367</v>
      </c>
      <c r="X63" s="123" t="s">
        <v>3083</v>
      </c>
      <c r="Y63" s="123" t="s">
        <v>3084</v>
      </c>
      <c r="Z63" s="124" t="s">
        <v>371</v>
      </c>
      <c r="AA63" s="123" t="s">
        <v>3102</v>
      </c>
      <c r="AB63" s="124" t="s">
        <v>319</v>
      </c>
      <c r="AC63" s="124" t="s">
        <v>105</v>
      </c>
      <c r="AD63" s="124" t="s">
        <v>372</v>
      </c>
      <c r="AE63" s="124" t="s">
        <v>373</v>
      </c>
      <c r="AF63" s="124" t="s">
        <v>197</v>
      </c>
      <c r="AG63" s="123">
        <v>3</v>
      </c>
      <c r="AH63" s="124" t="s">
        <v>90</v>
      </c>
      <c r="AI63" s="124" t="s">
        <v>374</v>
      </c>
      <c r="AJ63" s="124" t="s">
        <v>150</v>
      </c>
      <c r="AK63" s="124">
        <v>2</v>
      </c>
      <c r="AL63" s="124" t="s">
        <v>151</v>
      </c>
      <c r="AM63" s="124" t="s">
        <v>97</v>
      </c>
      <c r="AN63" s="124" t="s">
        <v>97</v>
      </c>
      <c r="AO63" s="124" t="s">
        <v>152</v>
      </c>
      <c r="AP63" s="124">
        <v>2</v>
      </c>
      <c r="AQ63" s="124" t="s">
        <v>155</v>
      </c>
      <c r="AR63" s="124" t="s">
        <v>119</v>
      </c>
      <c r="AS63" s="124" t="s">
        <v>114</v>
      </c>
      <c r="AT63" s="124" t="s">
        <v>120</v>
      </c>
      <c r="AU63" s="124" t="s">
        <v>116</v>
      </c>
      <c r="AV63" s="124" t="s">
        <v>375</v>
      </c>
      <c r="AW63" s="124">
        <v>2</v>
      </c>
      <c r="AX63" s="124" t="s">
        <v>184</v>
      </c>
      <c r="AY63" s="124" t="s">
        <v>113</v>
      </c>
      <c r="AZ63" s="124" t="s">
        <v>115</v>
      </c>
      <c r="BA63" s="124" t="s">
        <v>116</v>
      </c>
      <c r="BB63" s="124" t="s">
        <v>376</v>
      </c>
      <c r="BC63" s="124">
        <v>3</v>
      </c>
      <c r="BD63" s="124" t="s">
        <v>184</v>
      </c>
      <c r="BE63" s="124" t="s">
        <v>123</v>
      </c>
      <c r="BF63" s="124" t="s">
        <v>124</v>
      </c>
      <c r="BG63" s="124" t="s">
        <v>116</v>
      </c>
      <c r="BH63" s="124" t="s">
        <v>377</v>
      </c>
      <c r="BI63" s="124">
        <v>2</v>
      </c>
      <c r="BJ63" s="124">
        <v>4</v>
      </c>
      <c r="BK63" s="124" t="s">
        <v>427</v>
      </c>
      <c r="BL63" s="124" t="s">
        <v>240</v>
      </c>
      <c r="BN63" s="124">
        <v>3.3980000000000003E-2</v>
      </c>
      <c r="BO63" s="124">
        <v>0.05</v>
      </c>
      <c r="BP63" s="124">
        <v>6.6025E-2</v>
      </c>
      <c r="BQ63" s="124" t="s">
        <v>161</v>
      </c>
      <c r="BR63" s="124">
        <v>7</v>
      </c>
      <c r="BS63" s="124">
        <v>1.1163724999999999E-2</v>
      </c>
      <c r="BT63" s="124">
        <v>1.3961039999999999E-2</v>
      </c>
      <c r="BU63" s="124">
        <v>1.6757999999999999E-2</v>
      </c>
      <c r="BV63" s="124" t="s">
        <v>161</v>
      </c>
      <c r="BW63" s="124">
        <v>7</v>
      </c>
      <c r="BX63" s="124" t="s">
        <v>381</v>
      </c>
      <c r="BY63" s="82">
        <v>1.3961039999999999E-2</v>
      </c>
      <c r="BZ63" s="82">
        <v>1.6757999999999999E-2</v>
      </c>
      <c r="CA63">
        <v>1.6024999999999998E-2</v>
      </c>
      <c r="CB63">
        <v>2.7969599999999994E-3</v>
      </c>
      <c r="CC63" s="123" t="s">
        <v>3188</v>
      </c>
      <c r="CD63" s="124"/>
      <c r="CE63" s="124"/>
      <c r="CF63" s="123" t="s">
        <v>3189</v>
      </c>
      <c r="CG63" t="s">
        <v>3095</v>
      </c>
    </row>
    <row r="64" spans="1:85" ht="14.5">
      <c r="A64" s="128">
        <v>14</v>
      </c>
      <c r="B64" s="124" t="s">
        <v>365</v>
      </c>
      <c r="C64" s="124">
        <v>2017</v>
      </c>
      <c r="D64" s="124" t="s">
        <v>366</v>
      </c>
      <c r="E64" s="129">
        <v>44714</v>
      </c>
      <c r="F64" s="123" t="s">
        <v>90</v>
      </c>
      <c r="G64" s="124" t="s">
        <v>360</v>
      </c>
      <c r="H64" s="124" t="s">
        <v>367</v>
      </c>
      <c r="I64" s="124" t="s">
        <v>368</v>
      </c>
      <c r="J64" s="124" t="s">
        <v>369</v>
      </c>
      <c r="K64" s="124" t="s">
        <v>97</v>
      </c>
      <c r="L64" s="124" t="s">
        <v>137</v>
      </c>
      <c r="M64" s="124" t="s">
        <v>95</v>
      </c>
      <c r="N64" s="124" t="s">
        <v>370</v>
      </c>
      <c r="O64" s="124" t="s">
        <v>97</v>
      </c>
      <c r="P64" s="124" t="s">
        <v>97</v>
      </c>
      <c r="Q64" s="124" t="s">
        <v>367</v>
      </c>
      <c r="R64" s="124" t="s">
        <v>367</v>
      </c>
      <c r="S64" s="124" t="s">
        <v>90</v>
      </c>
      <c r="T64" s="117" t="s">
        <v>114</v>
      </c>
      <c r="U64" s="124" t="s">
        <v>191</v>
      </c>
      <c r="V64" s="124" t="s">
        <v>99</v>
      </c>
      <c r="W64" s="124" t="s">
        <v>367</v>
      </c>
      <c r="X64" s="123" t="s">
        <v>3083</v>
      </c>
      <c r="Y64" s="123" t="s">
        <v>3084</v>
      </c>
      <c r="Z64" s="124" t="s">
        <v>371</v>
      </c>
      <c r="AA64" s="123" t="s">
        <v>3102</v>
      </c>
      <c r="AB64" s="124" t="s">
        <v>319</v>
      </c>
      <c r="AC64" s="124" t="s">
        <v>105</v>
      </c>
      <c r="AD64" s="124" t="s">
        <v>372</v>
      </c>
      <c r="AE64" s="124" t="s">
        <v>373</v>
      </c>
      <c r="AF64" s="124" t="s">
        <v>197</v>
      </c>
      <c r="AG64" s="123">
        <v>3</v>
      </c>
      <c r="AH64" s="124" t="s">
        <v>90</v>
      </c>
      <c r="AI64" s="124" t="s">
        <v>374</v>
      </c>
      <c r="AJ64" s="124" t="s">
        <v>150</v>
      </c>
      <c r="AK64" s="124">
        <v>2</v>
      </c>
      <c r="AL64" s="124" t="s">
        <v>151</v>
      </c>
      <c r="AM64" s="124" t="s">
        <v>97</v>
      </c>
      <c r="AN64" s="124" t="s">
        <v>97</v>
      </c>
      <c r="AO64" s="124" t="s">
        <v>152</v>
      </c>
      <c r="AP64" s="124">
        <v>2</v>
      </c>
      <c r="AQ64" s="124" t="s">
        <v>155</v>
      </c>
      <c r="AR64" s="124" t="s">
        <v>119</v>
      </c>
      <c r="AS64" s="124" t="s">
        <v>114</v>
      </c>
      <c r="AT64" s="124" t="s">
        <v>120</v>
      </c>
      <c r="AU64" s="124" t="s">
        <v>116</v>
      </c>
      <c r="AV64" s="124" t="s">
        <v>375</v>
      </c>
      <c r="AW64" s="124">
        <v>2</v>
      </c>
      <c r="AX64" s="124" t="s">
        <v>184</v>
      </c>
      <c r="AY64" s="124" t="s">
        <v>113</v>
      </c>
      <c r="AZ64" s="124" t="s">
        <v>115</v>
      </c>
      <c r="BA64" s="124" t="s">
        <v>116</v>
      </c>
      <c r="BB64" s="124" t="s">
        <v>376</v>
      </c>
      <c r="BC64" s="124">
        <v>3</v>
      </c>
      <c r="BD64" s="124" t="s">
        <v>184</v>
      </c>
      <c r="BE64" s="124" t="s">
        <v>123</v>
      </c>
      <c r="BF64" s="124" t="s">
        <v>124</v>
      </c>
      <c r="BG64" s="124" t="s">
        <v>116</v>
      </c>
      <c r="BH64" s="124" t="s">
        <v>377</v>
      </c>
      <c r="BI64" s="124">
        <v>2</v>
      </c>
      <c r="BJ64" s="124">
        <v>4</v>
      </c>
      <c r="BK64" s="124" t="s">
        <v>428</v>
      </c>
      <c r="BL64" s="124" t="s">
        <v>240</v>
      </c>
      <c r="BN64" s="124">
        <v>0.10376000000000001</v>
      </c>
      <c r="BO64" s="124">
        <v>0.12532467999999999</v>
      </c>
      <c r="BP64" s="124">
        <v>0.146894</v>
      </c>
      <c r="BQ64" s="124" t="s">
        <v>161</v>
      </c>
      <c r="BR64" s="124">
        <v>7</v>
      </c>
      <c r="BS64" s="124">
        <v>1.1163724999999999E-2</v>
      </c>
      <c r="BT64" s="124">
        <v>1.3961039999999999E-2</v>
      </c>
      <c r="BU64" s="124">
        <v>1.6757999999999999E-2</v>
      </c>
      <c r="BV64" s="124" t="s">
        <v>161</v>
      </c>
      <c r="BW64" s="124">
        <v>7</v>
      </c>
      <c r="BX64" s="124" t="s">
        <v>381</v>
      </c>
      <c r="BY64" s="82">
        <v>1.3961039999999999E-2</v>
      </c>
      <c r="BZ64" s="82">
        <v>1.6757999999999999E-2</v>
      </c>
      <c r="CA64">
        <v>2.1569320000000003E-2</v>
      </c>
      <c r="CB64">
        <v>2.7969599999999994E-3</v>
      </c>
      <c r="CC64" s="123" t="s">
        <v>3188</v>
      </c>
      <c r="CD64" s="124"/>
      <c r="CE64" s="124"/>
      <c r="CF64" s="123" t="s">
        <v>3189</v>
      </c>
      <c r="CG64" t="s">
        <v>3095</v>
      </c>
    </row>
    <row r="65" spans="1:85" ht="14.5">
      <c r="A65" s="128">
        <v>14</v>
      </c>
      <c r="B65" s="124" t="s">
        <v>365</v>
      </c>
      <c r="C65" s="124">
        <v>2017</v>
      </c>
      <c r="D65" s="124" t="s">
        <v>366</v>
      </c>
      <c r="E65" s="129">
        <v>44714</v>
      </c>
      <c r="F65" s="123" t="s">
        <v>90</v>
      </c>
      <c r="G65" s="124" t="s">
        <v>360</v>
      </c>
      <c r="H65" s="124" t="s">
        <v>367</v>
      </c>
      <c r="I65" s="124" t="s">
        <v>368</v>
      </c>
      <c r="J65" s="124" t="s">
        <v>369</v>
      </c>
      <c r="K65" s="124" t="s">
        <v>97</v>
      </c>
      <c r="L65" s="124" t="s">
        <v>137</v>
      </c>
      <c r="M65" s="124" t="s">
        <v>95</v>
      </c>
      <c r="N65" s="124" t="s">
        <v>370</v>
      </c>
      <c r="O65" s="124" t="s">
        <v>97</v>
      </c>
      <c r="P65" s="124" t="s">
        <v>97</v>
      </c>
      <c r="Q65" s="124" t="s">
        <v>367</v>
      </c>
      <c r="R65" s="124" t="s">
        <v>367</v>
      </c>
      <c r="S65" s="124" t="s">
        <v>90</v>
      </c>
      <c r="T65" s="117" t="s">
        <v>114</v>
      </c>
      <c r="U65" s="124" t="s">
        <v>191</v>
      </c>
      <c r="V65" s="124" t="s">
        <v>99</v>
      </c>
      <c r="W65" s="124" t="s">
        <v>367</v>
      </c>
      <c r="X65" s="123" t="s">
        <v>3083</v>
      </c>
      <c r="Y65" s="123" t="s">
        <v>3084</v>
      </c>
      <c r="Z65" s="124" t="s">
        <v>371</v>
      </c>
      <c r="AA65" s="123" t="s">
        <v>3102</v>
      </c>
      <c r="AB65" s="124" t="s">
        <v>319</v>
      </c>
      <c r="AC65" s="124" t="s">
        <v>105</v>
      </c>
      <c r="AD65" s="124" t="s">
        <v>372</v>
      </c>
      <c r="AE65" s="124" t="s">
        <v>373</v>
      </c>
      <c r="AF65" s="124" t="s">
        <v>197</v>
      </c>
      <c r="AG65" s="123">
        <v>3</v>
      </c>
      <c r="AH65" s="124" t="s">
        <v>90</v>
      </c>
      <c r="AI65" s="124" t="s">
        <v>374</v>
      </c>
      <c r="AJ65" s="124" t="s">
        <v>150</v>
      </c>
      <c r="AK65" s="124">
        <v>2</v>
      </c>
      <c r="AL65" s="124" t="s">
        <v>151</v>
      </c>
      <c r="AM65" s="124" t="s">
        <v>97</v>
      </c>
      <c r="AN65" s="124" t="s">
        <v>97</v>
      </c>
      <c r="AO65" s="124" t="s">
        <v>152</v>
      </c>
      <c r="AP65" s="124">
        <v>2</v>
      </c>
      <c r="AQ65" s="124" t="s">
        <v>155</v>
      </c>
      <c r="AR65" s="124" t="s">
        <v>119</v>
      </c>
      <c r="AS65" s="124" t="s">
        <v>114</v>
      </c>
      <c r="AT65" s="124" t="s">
        <v>120</v>
      </c>
      <c r="AU65" s="124" t="s">
        <v>116</v>
      </c>
      <c r="AV65" s="124" t="s">
        <v>375</v>
      </c>
      <c r="AW65" s="124">
        <v>2</v>
      </c>
      <c r="AX65" s="124" t="s">
        <v>184</v>
      </c>
      <c r="AY65" s="124" t="s">
        <v>113</v>
      </c>
      <c r="AZ65" s="124" t="s">
        <v>115</v>
      </c>
      <c r="BA65" s="124" t="s">
        <v>116</v>
      </c>
      <c r="BB65" s="124" t="s">
        <v>376</v>
      </c>
      <c r="BC65" s="124">
        <v>3</v>
      </c>
      <c r="BD65" s="124" t="s">
        <v>184</v>
      </c>
      <c r="BE65" s="124" t="s">
        <v>123</v>
      </c>
      <c r="BF65" s="124" t="s">
        <v>124</v>
      </c>
      <c r="BG65" s="124" t="s">
        <v>116</v>
      </c>
      <c r="BH65" s="124" t="s">
        <v>377</v>
      </c>
      <c r="BI65" s="124">
        <v>2</v>
      </c>
      <c r="BJ65" s="124">
        <v>4</v>
      </c>
      <c r="BK65" s="124" t="s">
        <v>429</v>
      </c>
      <c r="BL65" s="124" t="s">
        <v>240</v>
      </c>
      <c r="BN65" s="124">
        <v>2.801E-2</v>
      </c>
      <c r="BO65" s="124">
        <v>3.9610390000000002E-2</v>
      </c>
      <c r="BP65" s="124">
        <v>5.1207999999999997E-2</v>
      </c>
      <c r="BQ65" s="124" t="s">
        <v>161</v>
      </c>
      <c r="BR65" s="124">
        <v>7</v>
      </c>
      <c r="BS65" s="124">
        <v>1.1163724999999999E-2</v>
      </c>
      <c r="BT65" s="124">
        <v>1.3961039999999999E-2</v>
      </c>
      <c r="BU65" s="124">
        <v>1.6757999999999999E-2</v>
      </c>
      <c r="BV65" s="124" t="s">
        <v>161</v>
      </c>
      <c r="BW65" s="124">
        <v>7</v>
      </c>
      <c r="BX65" s="124" t="s">
        <v>381</v>
      </c>
      <c r="BY65" s="82">
        <v>1.3961039999999999E-2</v>
      </c>
      <c r="BZ65" s="82">
        <v>1.6757999999999999E-2</v>
      </c>
      <c r="CA65">
        <v>1.1597609999999994E-2</v>
      </c>
      <c r="CB65">
        <v>2.7969599999999994E-3</v>
      </c>
      <c r="CC65" s="123" t="s">
        <v>3188</v>
      </c>
      <c r="CD65" s="124"/>
      <c r="CE65" s="124"/>
      <c r="CF65" s="123" t="s">
        <v>3189</v>
      </c>
      <c r="CG65" t="s">
        <v>3095</v>
      </c>
    </row>
    <row r="66" spans="1:85" ht="14.5">
      <c r="A66" s="128">
        <v>14</v>
      </c>
      <c r="B66" s="124" t="s">
        <v>365</v>
      </c>
      <c r="C66" s="124">
        <v>2017</v>
      </c>
      <c r="D66" s="124" t="s">
        <v>366</v>
      </c>
      <c r="E66" s="129">
        <v>44714</v>
      </c>
      <c r="F66" s="123" t="s">
        <v>90</v>
      </c>
      <c r="G66" s="124" t="s">
        <v>360</v>
      </c>
      <c r="H66" s="124" t="s">
        <v>367</v>
      </c>
      <c r="I66" s="124" t="s">
        <v>368</v>
      </c>
      <c r="J66" s="124" t="s">
        <v>369</v>
      </c>
      <c r="K66" s="124" t="s">
        <v>97</v>
      </c>
      <c r="L66" s="124" t="s">
        <v>137</v>
      </c>
      <c r="M66" s="124" t="s">
        <v>95</v>
      </c>
      <c r="N66" s="124" t="s">
        <v>370</v>
      </c>
      <c r="O66" s="124" t="s">
        <v>97</v>
      </c>
      <c r="P66" s="124" t="s">
        <v>97</v>
      </c>
      <c r="Q66" s="124" t="s">
        <v>367</v>
      </c>
      <c r="R66" s="124" t="s">
        <v>367</v>
      </c>
      <c r="S66" s="124" t="s">
        <v>90</v>
      </c>
      <c r="T66" s="117" t="s">
        <v>114</v>
      </c>
      <c r="U66" s="124" t="s">
        <v>191</v>
      </c>
      <c r="V66" s="124" t="s">
        <v>99</v>
      </c>
      <c r="W66" s="124" t="s">
        <v>367</v>
      </c>
      <c r="X66" s="123" t="s">
        <v>3083</v>
      </c>
      <c r="Y66" s="123" t="s">
        <v>3084</v>
      </c>
      <c r="Z66" s="124" t="s">
        <v>371</v>
      </c>
      <c r="AA66" s="123" t="s">
        <v>3102</v>
      </c>
      <c r="AB66" s="124" t="s">
        <v>319</v>
      </c>
      <c r="AC66" s="124" t="s">
        <v>105</v>
      </c>
      <c r="AD66" s="124" t="s">
        <v>372</v>
      </c>
      <c r="AE66" s="124" t="s">
        <v>373</v>
      </c>
      <c r="AF66" s="124" t="s">
        <v>197</v>
      </c>
      <c r="AG66" s="123">
        <v>3</v>
      </c>
      <c r="AH66" s="124" t="s">
        <v>90</v>
      </c>
      <c r="AI66" s="124" t="s">
        <v>374</v>
      </c>
      <c r="AJ66" s="124" t="s">
        <v>150</v>
      </c>
      <c r="AK66" s="124">
        <v>2</v>
      </c>
      <c r="AL66" s="124" t="s">
        <v>151</v>
      </c>
      <c r="AM66" s="124" t="s">
        <v>97</v>
      </c>
      <c r="AN66" s="124" t="s">
        <v>97</v>
      </c>
      <c r="AO66" s="124" t="s">
        <v>152</v>
      </c>
      <c r="AP66" s="124">
        <v>2</v>
      </c>
      <c r="AQ66" s="124" t="s">
        <v>155</v>
      </c>
      <c r="AR66" s="124" t="s">
        <v>119</v>
      </c>
      <c r="AS66" s="124" t="s">
        <v>114</v>
      </c>
      <c r="AT66" s="124" t="s">
        <v>120</v>
      </c>
      <c r="AU66" s="124" t="s">
        <v>116</v>
      </c>
      <c r="AV66" s="124" t="s">
        <v>375</v>
      </c>
      <c r="AW66" s="124">
        <v>2</v>
      </c>
      <c r="AX66" s="124" t="s">
        <v>184</v>
      </c>
      <c r="AY66" s="124" t="s">
        <v>113</v>
      </c>
      <c r="AZ66" s="124" t="s">
        <v>115</v>
      </c>
      <c r="BA66" s="124" t="s">
        <v>116</v>
      </c>
      <c r="BB66" s="124" t="s">
        <v>376</v>
      </c>
      <c r="BC66" s="124">
        <v>3</v>
      </c>
      <c r="BD66" s="124" t="s">
        <v>184</v>
      </c>
      <c r="BE66" s="124" t="s">
        <v>123</v>
      </c>
      <c r="BF66" s="124" t="s">
        <v>124</v>
      </c>
      <c r="BG66" s="124" t="s">
        <v>116</v>
      </c>
      <c r="BH66" s="124" t="s">
        <v>377</v>
      </c>
      <c r="BI66" s="124">
        <v>2</v>
      </c>
      <c r="BJ66" s="124">
        <v>4</v>
      </c>
      <c r="BK66" s="124" t="s">
        <v>430</v>
      </c>
      <c r="BL66" s="124" t="s">
        <v>240</v>
      </c>
      <c r="BN66" s="124">
        <v>9.5999999999999992E-3</v>
      </c>
      <c r="BO66" s="124">
        <v>1.313131E-2</v>
      </c>
      <c r="BP66" s="124">
        <v>1.6660000000000001E-2</v>
      </c>
      <c r="BQ66" s="124" t="s">
        <v>161</v>
      </c>
      <c r="BR66" s="124">
        <v>7</v>
      </c>
      <c r="BS66" s="124">
        <v>1.1163724999999999E-2</v>
      </c>
      <c r="BT66" s="124">
        <v>1.3961039999999999E-2</v>
      </c>
      <c r="BU66" s="124">
        <v>1.6757999999999999E-2</v>
      </c>
      <c r="BV66" s="124" t="s">
        <v>161</v>
      </c>
      <c r="BW66" s="124">
        <v>7</v>
      </c>
      <c r="BX66" s="124" t="s">
        <v>381</v>
      </c>
      <c r="BY66" s="82">
        <v>1.3961039999999999E-2</v>
      </c>
      <c r="BZ66" s="82">
        <v>1.6757999999999999E-2</v>
      </c>
      <c r="CA66">
        <v>3.528690000000001E-3</v>
      </c>
      <c r="CB66">
        <v>2.7969599999999994E-3</v>
      </c>
      <c r="CC66" s="123" t="s">
        <v>3188</v>
      </c>
      <c r="CD66" s="124"/>
      <c r="CE66" s="124"/>
      <c r="CF66" s="123" t="s">
        <v>3189</v>
      </c>
      <c r="CG66" t="s">
        <v>3095</v>
      </c>
    </row>
    <row r="67" spans="1:85" ht="14.5">
      <c r="A67" s="128">
        <v>14</v>
      </c>
      <c r="B67" s="124" t="s">
        <v>365</v>
      </c>
      <c r="C67" s="124">
        <v>2017</v>
      </c>
      <c r="D67" s="124" t="s">
        <v>366</v>
      </c>
      <c r="E67" s="129">
        <v>44714</v>
      </c>
      <c r="F67" s="123" t="s">
        <v>90</v>
      </c>
      <c r="G67" s="124" t="s">
        <v>360</v>
      </c>
      <c r="H67" s="124" t="s">
        <v>367</v>
      </c>
      <c r="I67" s="124" t="s">
        <v>368</v>
      </c>
      <c r="J67" s="124" t="s">
        <v>369</v>
      </c>
      <c r="K67" s="124" t="s">
        <v>97</v>
      </c>
      <c r="L67" s="124" t="s">
        <v>137</v>
      </c>
      <c r="M67" s="124" t="s">
        <v>95</v>
      </c>
      <c r="N67" s="124" t="s">
        <v>370</v>
      </c>
      <c r="O67" s="124" t="s">
        <v>97</v>
      </c>
      <c r="P67" s="124" t="s">
        <v>97</v>
      </c>
      <c r="Q67" s="124" t="s">
        <v>367</v>
      </c>
      <c r="R67" s="124" t="s">
        <v>367</v>
      </c>
      <c r="S67" s="124" t="s">
        <v>90</v>
      </c>
      <c r="T67" s="117" t="s">
        <v>114</v>
      </c>
      <c r="U67" s="124" t="s">
        <v>191</v>
      </c>
      <c r="V67" s="124" t="s">
        <v>99</v>
      </c>
      <c r="W67" s="124" t="s">
        <v>367</v>
      </c>
      <c r="X67" s="123" t="s">
        <v>3083</v>
      </c>
      <c r="Y67" s="123" t="s">
        <v>3084</v>
      </c>
      <c r="Z67" s="124" t="s">
        <v>371</v>
      </c>
      <c r="AA67" s="123" t="s">
        <v>3102</v>
      </c>
      <c r="AB67" s="124" t="s">
        <v>319</v>
      </c>
      <c r="AC67" s="124" t="s">
        <v>105</v>
      </c>
      <c r="AD67" s="124" t="s">
        <v>372</v>
      </c>
      <c r="AE67" s="124" t="s">
        <v>373</v>
      </c>
      <c r="AF67" s="124" t="s">
        <v>197</v>
      </c>
      <c r="AG67" s="123">
        <v>3</v>
      </c>
      <c r="AH67" s="124" t="s">
        <v>90</v>
      </c>
      <c r="AI67" s="124" t="s">
        <v>374</v>
      </c>
      <c r="AJ67" s="124" t="s">
        <v>150</v>
      </c>
      <c r="AK67" s="124">
        <v>2</v>
      </c>
      <c r="AL67" s="124" t="s">
        <v>151</v>
      </c>
      <c r="AM67" s="124" t="s">
        <v>97</v>
      </c>
      <c r="AN67" s="124" t="s">
        <v>97</v>
      </c>
      <c r="AO67" s="124" t="s">
        <v>152</v>
      </c>
      <c r="AP67" s="124">
        <v>2</v>
      </c>
      <c r="AQ67" s="124" t="s">
        <v>155</v>
      </c>
      <c r="AR67" s="124" t="s">
        <v>119</v>
      </c>
      <c r="AS67" s="124" t="s">
        <v>114</v>
      </c>
      <c r="AT67" s="124" t="s">
        <v>120</v>
      </c>
      <c r="AU67" s="124" t="s">
        <v>116</v>
      </c>
      <c r="AV67" s="124" t="s">
        <v>375</v>
      </c>
      <c r="AW67" s="124">
        <v>2</v>
      </c>
      <c r="AX67" s="124" t="s">
        <v>184</v>
      </c>
      <c r="AY67" s="124" t="s">
        <v>113</v>
      </c>
      <c r="AZ67" s="124" t="s">
        <v>115</v>
      </c>
      <c r="BA67" s="124" t="s">
        <v>116</v>
      </c>
      <c r="BB67" s="124" t="s">
        <v>376</v>
      </c>
      <c r="BC67" s="124">
        <v>3</v>
      </c>
      <c r="BD67" s="124" t="s">
        <v>184</v>
      </c>
      <c r="BE67" s="124" t="s">
        <v>123</v>
      </c>
      <c r="BF67" s="124" t="s">
        <v>124</v>
      </c>
      <c r="BG67" s="124" t="s">
        <v>116</v>
      </c>
      <c r="BH67" s="124" t="s">
        <v>377</v>
      </c>
      <c r="BI67" s="124">
        <v>2</v>
      </c>
      <c r="BJ67" s="124">
        <v>4</v>
      </c>
      <c r="BK67" s="124" t="s">
        <v>431</v>
      </c>
      <c r="BL67" s="124" t="s">
        <v>240</v>
      </c>
      <c r="BN67" s="124">
        <v>1.124E-2</v>
      </c>
      <c r="BO67" s="124">
        <v>1.915584E-2</v>
      </c>
      <c r="BP67" s="124">
        <v>2.7073E-2</v>
      </c>
      <c r="BQ67" s="124" t="s">
        <v>161</v>
      </c>
      <c r="BR67" s="124">
        <v>7</v>
      </c>
      <c r="BS67" s="124">
        <v>1.1163724999999999E-2</v>
      </c>
      <c r="BT67" s="124">
        <v>1.3961039999999999E-2</v>
      </c>
      <c r="BU67" s="124">
        <v>1.6757999999999999E-2</v>
      </c>
      <c r="BV67" s="124" t="s">
        <v>161</v>
      </c>
      <c r="BW67" s="124">
        <v>7</v>
      </c>
      <c r="BX67" s="124" t="s">
        <v>381</v>
      </c>
      <c r="BY67" s="82">
        <v>1.3961039999999999E-2</v>
      </c>
      <c r="BZ67" s="82">
        <v>1.6757999999999999E-2</v>
      </c>
      <c r="CA67">
        <v>7.9171599999999995E-3</v>
      </c>
      <c r="CB67">
        <v>2.7969599999999994E-3</v>
      </c>
      <c r="CC67" s="123" t="s">
        <v>3188</v>
      </c>
      <c r="CD67" s="124"/>
      <c r="CE67" s="124"/>
      <c r="CF67" s="123" t="s">
        <v>3189</v>
      </c>
      <c r="CG67" t="s">
        <v>3095</v>
      </c>
    </row>
    <row r="68" spans="1:85" ht="14.5">
      <c r="A68" s="128">
        <v>14</v>
      </c>
      <c r="B68" s="124" t="s">
        <v>365</v>
      </c>
      <c r="C68" s="124">
        <v>2017</v>
      </c>
      <c r="D68" s="124" t="s">
        <v>366</v>
      </c>
      <c r="E68" s="129">
        <v>44714</v>
      </c>
      <c r="F68" s="123" t="s">
        <v>90</v>
      </c>
      <c r="G68" s="124" t="s">
        <v>360</v>
      </c>
      <c r="H68" s="124" t="s">
        <v>367</v>
      </c>
      <c r="I68" s="124" t="s">
        <v>368</v>
      </c>
      <c r="J68" s="124" t="s">
        <v>369</v>
      </c>
      <c r="K68" s="124" t="s">
        <v>97</v>
      </c>
      <c r="L68" s="124" t="s">
        <v>137</v>
      </c>
      <c r="M68" s="124" t="s">
        <v>95</v>
      </c>
      <c r="N68" s="124" t="s">
        <v>370</v>
      </c>
      <c r="O68" s="124" t="s">
        <v>97</v>
      </c>
      <c r="P68" s="124" t="s">
        <v>97</v>
      </c>
      <c r="Q68" s="124" t="s">
        <v>367</v>
      </c>
      <c r="R68" s="124" t="s">
        <v>367</v>
      </c>
      <c r="S68" s="124" t="s">
        <v>90</v>
      </c>
      <c r="T68" s="117" t="s">
        <v>114</v>
      </c>
      <c r="U68" s="124" t="s">
        <v>191</v>
      </c>
      <c r="V68" s="124" t="s">
        <v>99</v>
      </c>
      <c r="W68" s="124" t="s">
        <v>367</v>
      </c>
      <c r="X68" s="123" t="s">
        <v>3083</v>
      </c>
      <c r="Y68" s="123" t="s">
        <v>3084</v>
      </c>
      <c r="Z68" s="124" t="s">
        <v>371</v>
      </c>
      <c r="AA68" s="123" t="s">
        <v>3102</v>
      </c>
      <c r="AB68" s="124" t="s">
        <v>319</v>
      </c>
      <c r="AC68" s="124" t="s">
        <v>105</v>
      </c>
      <c r="AD68" s="124" t="s">
        <v>372</v>
      </c>
      <c r="AE68" s="124" t="s">
        <v>373</v>
      </c>
      <c r="AF68" s="124" t="s">
        <v>197</v>
      </c>
      <c r="AG68" s="123">
        <v>3</v>
      </c>
      <c r="AH68" s="124" t="s">
        <v>90</v>
      </c>
      <c r="AI68" s="124" t="s">
        <v>374</v>
      </c>
      <c r="AJ68" s="124" t="s">
        <v>150</v>
      </c>
      <c r="AK68" s="124">
        <v>2</v>
      </c>
      <c r="AL68" s="124" t="s">
        <v>151</v>
      </c>
      <c r="AM68" s="124" t="s">
        <v>97</v>
      </c>
      <c r="AN68" s="124" t="s">
        <v>97</v>
      </c>
      <c r="AO68" s="124" t="s">
        <v>152</v>
      </c>
      <c r="AP68" s="124">
        <v>2</v>
      </c>
      <c r="AQ68" s="124" t="s">
        <v>155</v>
      </c>
      <c r="AR68" s="124" t="s">
        <v>119</v>
      </c>
      <c r="AS68" s="124" t="s">
        <v>114</v>
      </c>
      <c r="AT68" s="124" t="s">
        <v>120</v>
      </c>
      <c r="AU68" s="124" t="s">
        <v>116</v>
      </c>
      <c r="AV68" s="124" t="s">
        <v>375</v>
      </c>
      <c r="AW68" s="124">
        <v>2</v>
      </c>
      <c r="AX68" s="124" t="s">
        <v>184</v>
      </c>
      <c r="AY68" s="124" t="s">
        <v>113</v>
      </c>
      <c r="AZ68" s="124" t="s">
        <v>115</v>
      </c>
      <c r="BA68" s="124" t="s">
        <v>116</v>
      </c>
      <c r="BB68" s="124" t="s">
        <v>376</v>
      </c>
      <c r="BC68" s="124">
        <v>3</v>
      </c>
      <c r="BD68" s="124" t="s">
        <v>184</v>
      </c>
      <c r="BE68" s="124" t="s">
        <v>123</v>
      </c>
      <c r="BF68" s="124" t="s">
        <v>124</v>
      </c>
      <c r="BG68" s="124" t="s">
        <v>116</v>
      </c>
      <c r="BH68" s="124" t="s">
        <v>377</v>
      </c>
      <c r="BI68" s="124">
        <v>2</v>
      </c>
      <c r="BJ68" s="124">
        <v>4</v>
      </c>
      <c r="BK68" s="124" t="s">
        <v>432</v>
      </c>
      <c r="BL68" s="124" t="s">
        <v>240</v>
      </c>
      <c r="BN68" s="124">
        <v>1.128E-2</v>
      </c>
      <c r="BO68" s="124">
        <v>1.7424240000000001E-2</v>
      </c>
      <c r="BP68" s="124">
        <v>2.3567000000000001E-2</v>
      </c>
      <c r="BQ68" s="124" t="s">
        <v>161</v>
      </c>
      <c r="BR68" s="124">
        <v>7</v>
      </c>
      <c r="BS68" s="124">
        <v>1.1163724999999999E-2</v>
      </c>
      <c r="BT68" s="124">
        <v>1.3961039999999999E-2</v>
      </c>
      <c r="BU68" s="124">
        <v>1.6757999999999999E-2</v>
      </c>
      <c r="BV68" s="124" t="s">
        <v>161</v>
      </c>
      <c r="BW68" s="124">
        <v>7</v>
      </c>
      <c r="BX68" s="124" t="s">
        <v>381</v>
      </c>
      <c r="BY68" s="82">
        <v>1.3961039999999999E-2</v>
      </c>
      <c r="BZ68" s="82">
        <v>1.6757999999999999E-2</v>
      </c>
      <c r="CA68">
        <v>6.1427600000000006E-3</v>
      </c>
      <c r="CB68">
        <v>2.7969599999999994E-3</v>
      </c>
      <c r="CC68" s="123" t="s">
        <v>3188</v>
      </c>
      <c r="CD68" s="124"/>
      <c r="CE68" s="124"/>
      <c r="CF68" s="123" t="s">
        <v>3189</v>
      </c>
      <c r="CG68" t="s">
        <v>3095</v>
      </c>
    </row>
    <row r="69" spans="1:85" ht="14.5">
      <c r="A69" s="128">
        <v>14</v>
      </c>
      <c r="B69" s="124" t="s">
        <v>365</v>
      </c>
      <c r="C69" s="124">
        <v>2017</v>
      </c>
      <c r="D69" s="124" t="s">
        <v>366</v>
      </c>
      <c r="E69" s="129">
        <v>44714</v>
      </c>
      <c r="F69" s="123" t="s">
        <v>90</v>
      </c>
      <c r="G69" s="124" t="s">
        <v>360</v>
      </c>
      <c r="H69" s="124" t="s">
        <v>367</v>
      </c>
      <c r="I69" s="124" t="s">
        <v>368</v>
      </c>
      <c r="J69" s="124" t="s">
        <v>369</v>
      </c>
      <c r="K69" s="124" t="s">
        <v>97</v>
      </c>
      <c r="L69" s="124" t="s">
        <v>137</v>
      </c>
      <c r="M69" s="124" t="s">
        <v>95</v>
      </c>
      <c r="N69" s="124" t="s">
        <v>370</v>
      </c>
      <c r="O69" s="124" t="s">
        <v>97</v>
      </c>
      <c r="P69" s="124" t="s">
        <v>97</v>
      </c>
      <c r="Q69" s="124" t="s">
        <v>367</v>
      </c>
      <c r="R69" s="124" t="s">
        <v>367</v>
      </c>
      <c r="S69" s="124" t="s">
        <v>90</v>
      </c>
      <c r="T69" s="117" t="s">
        <v>114</v>
      </c>
      <c r="U69" s="124" t="s">
        <v>191</v>
      </c>
      <c r="V69" s="124" t="s">
        <v>99</v>
      </c>
      <c r="W69" s="124" t="s">
        <v>367</v>
      </c>
      <c r="X69" s="123" t="s">
        <v>3083</v>
      </c>
      <c r="Y69" s="123" t="s">
        <v>3084</v>
      </c>
      <c r="Z69" s="124" t="s">
        <v>371</v>
      </c>
      <c r="AA69" s="123" t="s">
        <v>3102</v>
      </c>
      <c r="AB69" s="124" t="s">
        <v>319</v>
      </c>
      <c r="AC69" s="124" t="s">
        <v>105</v>
      </c>
      <c r="AD69" s="124" t="s">
        <v>372</v>
      </c>
      <c r="AE69" s="124" t="s">
        <v>373</v>
      </c>
      <c r="AF69" s="124" t="s">
        <v>197</v>
      </c>
      <c r="AG69" s="123">
        <v>3</v>
      </c>
      <c r="AH69" s="124" t="s">
        <v>90</v>
      </c>
      <c r="AI69" s="124" t="s">
        <v>374</v>
      </c>
      <c r="AJ69" s="124" t="s">
        <v>150</v>
      </c>
      <c r="AK69" s="124">
        <v>2</v>
      </c>
      <c r="AL69" s="124" t="s">
        <v>151</v>
      </c>
      <c r="AM69" s="124" t="s">
        <v>97</v>
      </c>
      <c r="AN69" s="124" t="s">
        <v>97</v>
      </c>
      <c r="AO69" s="124" t="s">
        <v>152</v>
      </c>
      <c r="AP69" s="124">
        <v>2</v>
      </c>
      <c r="AQ69" s="124" t="s">
        <v>155</v>
      </c>
      <c r="AR69" s="124" t="s">
        <v>119</v>
      </c>
      <c r="AS69" s="124" t="s">
        <v>114</v>
      </c>
      <c r="AT69" s="124" t="s">
        <v>120</v>
      </c>
      <c r="AU69" s="124" t="s">
        <v>116</v>
      </c>
      <c r="AV69" s="124" t="s">
        <v>375</v>
      </c>
      <c r="AW69" s="124">
        <v>2</v>
      </c>
      <c r="AX69" s="124" t="s">
        <v>184</v>
      </c>
      <c r="AY69" s="124" t="s">
        <v>113</v>
      </c>
      <c r="AZ69" s="124" t="s">
        <v>115</v>
      </c>
      <c r="BA69" s="124" t="s">
        <v>116</v>
      </c>
      <c r="BB69" s="124" t="s">
        <v>376</v>
      </c>
      <c r="BC69" s="124">
        <v>3</v>
      </c>
      <c r="BD69" s="124" t="s">
        <v>184</v>
      </c>
      <c r="BE69" s="124" t="s">
        <v>123</v>
      </c>
      <c r="BF69" s="124" t="s">
        <v>124</v>
      </c>
      <c r="BG69" s="124" t="s">
        <v>116</v>
      </c>
      <c r="BH69" s="124" t="s">
        <v>377</v>
      </c>
      <c r="BI69" s="124">
        <v>2</v>
      </c>
      <c r="BJ69" s="124">
        <v>4</v>
      </c>
      <c r="BK69" s="124" t="s">
        <v>433</v>
      </c>
      <c r="BL69" s="124" t="s">
        <v>240</v>
      </c>
      <c r="BN69" s="124">
        <v>7.3400000000000002E-3</v>
      </c>
      <c r="BO69" s="124">
        <v>1.3920449999999999E-2</v>
      </c>
      <c r="BP69" s="124">
        <v>2.0497000000000001E-2</v>
      </c>
      <c r="BQ69" s="124" t="s">
        <v>161</v>
      </c>
      <c r="BR69" s="124">
        <v>7</v>
      </c>
      <c r="BS69" s="124">
        <v>1.1163724999999999E-2</v>
      </c>
      <c r="BT69" s="124">
        <v>1.3961039999999999E-2</v>
      </c>
      <c r="BU69" s="124">
        <v>1.6757999999999999E-2</v>
      </c>
      <c r="BV69" s="124" t="s">
        <v>161</v>
      </c>
      <c r="BW69" s="124">
        <v>7</v>
      </c>
      <c r="BX69" s="124" t="s">
        <v>381</v>
      </c>
      <c r="BY69" s="82">
        <v>1.3961039999999999E-2</v>
      </c>
      <c r="BZ69" s="82">
        <v>1.6757999999999999E-2</v>
      </c>
      <c r="CA69">
        <v>6.5765500000000022E-3</v>
      </c>
      <c r="CB69">
        <v>2.7969599999999994E-3</v>
      </c>
      <c r="CC69" s="123" t="s">
        <v>3188</v>
      </c>
      <c r="CD69" s="124"/>
      <c r="CE69" s="124"/>
      <c r="CF69" s="123" t="s">
        <v>3189</v>
      </c>
      <c r="CG69" t="s">
        <v>3095</v>
      </c>
    </row>
    <row r="70" spans="1:85" ht="14.5">
      <c r="A70" s="128">
        <v>14</v>
      </c>
      <c r="B70" s="124" t="s">
        <v>365</v>
      </c>
      <c r="C70" s="124">
        <v>2017</v>
      </c>
      <c r="D70" s="124" t="s">
        <v>366</v>
      </c>
      <c r="E70" s="129">
        <v>44714</v>
      </c>
      <c r="F70" s="123" t="s">
        <v>90</v>
      </c>
      <c r="G70" s="124" t="s">
        <v>360</v>
      </c>
      <c r="H70" s="124" t="s">
        <v>367</v>
      </c>
      <c r="I70" s="124" t="s">
        <v>368</v>
      </c>
      <c r="J70" s="124" t="s">
        <v>369</v>
      </c>
      <c r="K70" s="124" t="s">
        <v>97</v>
      </c>
      <c r="L70" s="124" t="s">
        <v>137</v>
      </c>
      <c r="M70" s="124" t="s">
        <v>95</v>
      </c>
      <c r="N70" s="124" t="s">
        <v>370</v>
      </c>
      <c r="O70" s="124" t="s">
        <v>97</v>
      </c>
      <c r="P70" s="124" t="s">
        <v>97</v>
      </c>
      <c r="Q70" s="124" t="s">
        <v>367</v>
      </c>
      <c r="R70" s="124" t="s">
        <v>367</v>
      </c>
      <c r="S70" s="124" t="s">
        <v>90</v>
      </c>
      <c r="T70" s="117" t="s">
        <v>114</v>
      </c>
      <c r="U70" s="124" t="s">
        <v>191</v>
      </c>
      <c r="V70" s="124" t="s">
        <v>99</v>
      </c>
      <c r="W70" s="124" t="s">
        <v>367</v>
      </c>
      <c r="X70" s="123" t="s">
        <v>3083</v>
      </c>
      <c r="Y70" s="123" t="s">
        <v>3084</v>
      </c>
      <c r="Z70" s="124" t="s">
        <v>371</v>
      </c>
      <c r="AA70" s="123" t="s">
        <v>3102</v>
      </c>
      <c r="AB70" s="124" t="s">
        <v>319</v>
      </c>
      <c r="AC70" s="124" t="s">
        <v>105</v>
      </c>
      <c r="AD70" s="124" t="s">
        <v>372</v>
      </c>
      <c r="AE70" s="124" t="s">
        <v>373</v>
      </c>
      <c r="AF70" s="124" t="s">
        <v>197</v>
      </c>
      <c r="AG70" s="123">
        <v>3</v>
      </c>
      <c r="AH70" s="124" t="s">
        <v>90</v>
      </c>
      <c r="AI70" s="124" t="s">
        <v>374</v>
      </c>
      <c r="AJ70" s="124" t="s">
        <v>150</v>
      </c>
      <c r="AK70" s="124">
        <v>2</v>
      </c>
      <c r="AL70" s="124" t="s">
        <v>151</v>
      </c>
      <c r="AM70" s="124" t="s">
        <v>97</v>
      </c>
      <c r="AN70" s="124" t="s">
        <v>97</v>
      </c>
      <c r="AO70" s="124" t="s">
        <v>152</v>
      </c>
      <c r="AP70" s="124">
        <v>2</v>
      </c>
      <c r="AQ70" s="124" t="s">
        <v>155</v>
      </c>
      <c r="AR70" s="124" t="s">
        <v>119</v>
      </c>
      <c r="AS70" s="124" t="s">
        <v>114</v>
      </c>
      <c r="AT70" s="124" t="s">
        <v>120</v>
      </c>
      <c r="AU70" s="124" t="s">
        <v>116</v>
      </c>
      <c r="AV70" s="124" t="s">
        <v>375</v>
      </c>
      <c r="AW70" s="124">
        <v>2</v>
      </c>
      <c r="AX70" s="124" t="s">
        <v>184</v>
      </c>
      <c r="AY70" s="124" t="s">
        <v>113</v>
      </c>
      <c r="AZ70" s="124" t="s">
        <v>115</v>
      </c>
      <c r="BA70" s="124" t="s">
        <v>116</v>
      </c>
      <c r="BB70" s="124" t="s">
        <v>376</v>
      </c>
      <c r="BC70" s="124">
        <v>3</v>
      </c>
      <c r="BD70" s="124" t="s">
        <v>184</v>
      </c>
      <c r="BE70" s="124" t="s">
        <v>123</v>
      </c>
      <c r="BF70" s="124" t="s">
        <v>124</v>
      </c>
      <c r="BG70" s="124" t="s">
        <v>116</v>
      </c>
      <c r="BH70" s="124" t="s">
        <v>377</v>
      </c>
      <c r="BI70" s="124">
        <v>2</v>
      </c>
      <c r="BJ70" s="124">
        <v>4</v>
      </c>
      <c r="BK70" s="124" t="s">
        <v>434</v>
      </c>
      <c r="BL70" s="124" t="s">
        <v>240</v>
      </c>
      <c r="BN70" s="124">
        <v>1.031E-2</v>
      </c>
      <c r="BO70" s="124">
        <v>1.8863640000000001E-2</v>
      </c>
      <c r="BP70" s="124">
        <v>2.7414999999999998E-2</v>
      </c>
      <c r="BQ70" s="124" t="s">
        <v>161</v>
      </c>
      <c r="BR70" s="124">
        <v>7</v>
      </c>
      <c r="BS70" s="124">
        <v>1.1163724999999999E-2</v>
      </c>
      <c r="BT70" s="124">
        <v>1.3961039999999999E-2</v>
      </c>
      <c r="BU70" s="124">
        <v>1.6757999999999999E-2</v>
      </c>
      <c r="BV70" s="124" t="s">
        <v>161</v>
      </c>
      <c r="BW70" s="124">
        <v>7</v>
      </c>
      <c r="BX70" s="124" t="s">
        <v>381</v>
      </c>
      <c r="BY70" s="82">
        <v>1.3961039999999999E-2</v>
      </c>
      <c r="BZ70" s="82">
        <v>1.6757999999999999E-2</v>
      </c>
      <c r="CA70">
        <v>8.5513599999999974E-3</v>
      </c>
      <c r="CB70">
        <v>2.7969599999999994E-3</v>
      </c>
      <c r="CC70" s="123" t="s">
        <v>3188</v>
      </c>
      <c r="CD70" s="124"/>
      <c r="CE70" s="124"/>
      <c r="CF70" s="123" t="s">
        <v>3189</v>
      </c>
      <c r="CG70" t="s">
        <v>3095</v>
      </c>
    </row>
    <row r="71" spans="1:85" ht="14.5">
      <c r="A71" s="128">
        <v>14</v>
      </c>
      <c r="B71" s="124" t="s">
        <v>365</v>
      </c>
      <c r="C71" s="124">
        <v>2017</v>
      </c>
      <c r="D71" s="124" t="s">
        <v>366</v>
      </c>
      <c r="E71" s="129">
        <v>44714</v>
      </c>
      <c r="F71" s="123" t="s">
        <v>90</v>
      </c>
      <c r="G71" s="124" t="s">
        <v>360</v>
      </c>
      <c r="H71" s="124" t="s">
        <v>367</v>
      </c>
      <c r="I71" s="124" t="s">
        <v>368</v>
      </c>
      <c r="J71" s="124" t="s">
        <v>369</v>
      </c>
      <c r="K71" s="124" t="s">
        <v>97</v>
      </c>
      <c r="L71" s="124" t="s">
        <v>137</v>
      </c>
      <c r="M71" s="124" t="s">
        <v>95</v>
      </c>
      <c r="N71" s="124" t="s">
        <v>370</v>
      </c>
      <c r="O71" s="124" t="s">
        <v>97</v>
      </c>
      <c r="P71" s="124" t="s">
        <v>97</v>
      </c>
      <c r="Q71" s="124" t="s">
        <v>367</v>
      </c>
      <c r="R71" s="124" t="s">
        <v>367</v>
      </c>
      <c r="S71" s="124" t="s">
        <v>90</v>
      </c>
      <c r="T71" s="117" t="s">
        <v>114</v>
      </c>
      <c r="U71" s="124" t="s">
        <v>191</v>
      </c>
      <c r="V71" s="124" t="s">
        <v>99</v>
      </c>
      <c r="W71" s="124" t="s">
        <v>367</v>
      </c>
      <c r="X71" s="123" t="s">
        <v>3083</v>
      </c>
      <c r="Y71" s="123" t="s">
        <v>3084</v>
      </c>
      <c r="Z71" s="124" t="s">
        <v>371</v>
      </c>
      <c r="AA71" s="123" t="s">
        <v>3102</v>
      </c>
      <c r="AB71" s="124" t="s">
        <v>319</v>
      </c>
      <c r="AC71" s="124" t="s">
        <v>105</v>
      </c>
      <c r="AD71" s="124" t="s">
        <v>372</v>
      </c>
      <c r="AE71" s="124" t="s">
        <v>373</v>
      </c>
      <c r="AF71" s="124" t="s">
        <v>197</v>
      </c>
      <c r="AG71" s="123">
        <v>3</v>
      </c>
      <c r="AH71" s="124" t="s">
        <v>90</v>
      </c>
      <c r="AI71" s="124" t="s">
        <v>374</v>
      </c>
      <c r="AJ71" s="124" t="s">
        <v>150</v>
      </c>
      <c r="AK71" s="124">
        <v>2</v>
      </c>
      <c r="AL71" s="124" t="s">
        <v>151</v>
      </c>
      <c r="AM71" s="124" t="s">
        <v>97</v>
      </c>
      <c r="AN71" s="124" t="s">
        <v>97</v>
      </c>
      <c r="AO71" s="124" t="s">
        <v>152</v>
      </c>
      <c r="AP71" s="124">
        <v>2</v>
      </c>
      <c r="AQ71" s="124" t="s">
        <v>155</v>
      </c>
      <c r="AR71" s="124" t="s">
        <v>119</v>
      </c>
      <c r="AS71" s="124" t="s">
        <v>114</v>
      </c>
      <c r="AT71" s="124" t="s">
        <v>120</v>
      </c>
      <c r="AU71" s="124" t="s">
        <v>116</v>
      </c>
      <c r="AV71" s="124" t="s">
        <v>375</v>
      </c>
      <c r="AW71" s="124">
        <v>2</v>
      </c>
      <c r="AX71" s="124" t="s">
        <v>184</v>
      </c>
      <c r="AY71" s="124" t="s">
        <v>113</v>
      </c>
      <c r="AZ71" s="124" t="s">
        <v>115</v>
      </c>
      <c r="BA71" s="124" t="s">
        <v>116</v>
      </c>
      <c r="BB71" s="124" t="s">
        <v>376</v>
      </c>
      <c r="BC71" s="124">
        <v>3</v>
      </c>
      <c r="BD71" s="124" t="s">
        <v>184</v>
      </c>
      <c r="BE71" s="124" t="s">
        <v>123</v>
      </c>
      <c r="BF71" s="124" t="s">
        <v>124</v>
      </c>
      <c r="BG71" s="124" t="s">
        <v>116</v>
      </c>
      <c r="BH71" s="124" t="s">
        <v>377</v>
      </c>
      <c r="BI71" s="124">
        <v>2</v>
      </c>
      <c r="BJ71" s="124">
        <v>4</v>
      </c>
      <c r="BK71" s="124" t="s">
        <v>435</v>
      </c>
      <c r="BL71" s="124" t="s">
        <v>240</v>
      </c>
      <c r="BN71" s="124">
        <v>2.5400000000000002E-3</v>
      </c>
      <c r="BO71" s="124">
        <v>5.4545499999999998E-3</v>
      </c>
      <c r="BP71" s="124">
        <v>8.3730000000000002E-3</v>
      </c>
      <c r="BQ71" s="124" t="s">
        <v>161</v>
      </c>
      <c r="BR71" s="124">
        <v>7</v>
      </c>
      <c r="BS71" s="124">
        <v>1.1163724999999999E-2</v>
      </c>
      <c r="BT71" s="124">
        <v>1.3961039999999999E-2</v>
      </c>
      <c r="BU71" s="124">
        <v>1.6757999999999999E-2</v>
      </c>
      <c r="BV71" s="124" t="s">
        <v>161</v>
      </c>
      <c r="BW71" s="124">
        <v>7</v>
      </c>
      <c r="BX71" s="124" t="s">
        <v>381</v>
      </c>
      <c r="BY71" s="82">
        <v>1.3961039999999999E-2</v>
      </c>
      <c r="BZ71" s="82">
        <v>1.6757999999999999E-2</v>
      </c>
      <c r="CA71">
        <v>2.9184500000000004E-3</v>
      </c>
      <c r="CB71">
        <v>2.7969599999999994E-3</v>
      </c>
      <c r="CC71" s="123" t="s">
        <v>3188</v>
      </c>
      <c r="CD71" s="124"/>
      <c r="CE71" s="124"/>
      <c r="CF71" s="123" t="s">
        <v>3189</v>
      </c>
      <c r="CG71" t="s">
        <v>3095</v>
      </c>
    </row>
    <row r="72" spans="1:85" ht="14.5">
      <c r="A72" s="117">
        <v>15</v>
      </c>
      <c r="B72" s="117" t="s">
        <v>436</v>
      </c>
      <c r="C72" s="117">
        <v>2017</v>
      </c>
      <c r="D72" s="117" t="s">
        <v>437</v>
      </c>
      <c r="E72" s="118">
        <v>44707</v>
      </c>
      <c r="F72" t="s">
        <v>90</v>
      </c>
      <c r="G72" s="117" t="s">
        <v>360</v>
      </c>
      <c r="H72" s="117"/>
      <c r="I72" s="117" t="s">
        <v>368</v>
      </c>
      <c r="J72" s="117" t="s">
        <v>438</v>
      </c>
      <c r="K72" s="117" t="s">
        <v>97</v>
      </c>
      <c r="L72" s="117" t="s">
        <v>137</v>
      </c>
      <c r="M72" s="117" t="s">
        <v>138</v>
      </c>
      <c r="N72" s="117" t="s">
        <v>439</v>
      </c>
      <c r="O72" s="117" t="s">
        <v>97</v>
      </c>
      <c r="P72" s="117" t="s">
        <v>97</v>
      </c>
      <c r="Q72" s="117"/>
      <c r="R72" s="117"/>
      <c r="S72" s="117" t="s">
        <v>90</v>
      </c>
      <c r="T72" s="117" t="s">
        <v>114</v>
      </c>
      <c r="U72" s="117" t="s">
        <v>141</v>
      </c>
      <c r="V72" s="117" t="s">
        <v>99</v>
      </c>
      <c r="W72" s="117"/>
      <c r="X72" s="117" t="s">
        <v>3086</v>
      </c>
      <c r="Y72" s="117" t="s">
        <v>3085</v>
      </c>
      <c r="Z72" s="117" t="s">
        <v>102</v>
      </c>
      <c r="AA72" s="117" t="s">
        <v>3103</v>
      </c>
      <c r="AB72" s="117" t="s">
        <v>440</v>
      </c>
      <c r="AC72" s="117" t="s">
        <v>105</v>
      </c>
      <c r="AD72" s="117" t="s">
        <v>441</v>
      </c>
      <c r="AE72" s="117" t="s">
        <v>442</v>
      </c>
      <c r="AF72" s="117" t="s">
        <v>148</v>
      </c>
      <c r="AG72" s="117">
        <v>2</v>
      </c>
      <c r="AH72" s="117" t="s">
        <v>97</v>
      </c>
      <c r="AI72" s="117" t="s">
        <v>443</v>
      </c>
      <c r="AJ72" s="117" t="s">
        <v>150</v>
      </c>
      <c r="AK72" s="117">
        <v>2</v>
      </c>
      <c r="AL72" s="117" t="s">
        <v>151</v>
      </c>
      <c r="AM72" s="117" t="s">
        <v>97</v>
      </c>
      <c r="AN72" s="117" t="s">
        <v>97</v>
      </c>
      <c r="AO72" s="117" t="s">
        <v>444</v>
      </c>
      <c r="AP72" s="117">
        <v>2</v>
      </c>
      <c r="AQ72" s="117" t="s">
        <v>122</v>
      </c>
      <c r="AR72" s="117" t="s">
        <v>123</v>
      </c>
      <c r="AS72" s="117" t="s">
        <v>114</v>
      </c>
      <c r="AT72" s="117" t="s">
        <v>124</v>
      </c>
      <c r="AU72" s="117" t="s">
        <v>116</v>
      </c>
      <c r="AV72" s="117" t="s">
        <v>445</v>
      </c>
      <c r="AW72" s="117">
        <v>2</v>
      </c>
      <c r="AX72" s="117" t="s">
        <v>290</v>
      </c>
      <c r="AY72" s="117" t="s">
        <v>119</v>
      </c>
      <c r="AZ72" s="117" t="s">
        <v>120</v>
      </c>
      <c r="BA72" s="117" t="s">
        <v>116</v>
      </c>
      <c r="BB72" s="117" t="s">
        <v>446</v>
      </c>
      <c r="BC72" s="117">
        <v>2</v>
      </c>
      <c r="BD72" s="117"/>
      <c r="BE72" s="117"/>
      <c r="BF72" s="117"/>
      <c r="BG72" s="117"/>
      <c r="BH72" s="117"/>
      <c r="BI72" s="117"/>
      <c r="BJ72" s="117">
        <v>16</v>
      </c>
      <c r="BK72" s="117" t="s">
        <v>447</v>
      </c>
      <c r="BL72" s="117" t="s">
        <v>184</v>
      </c>
      <c r="BM72" s="117" t="s">
        <v>448</v>
      </c>
      <c r="BN72" s="117">
        <v>8.0839999999999996</v>
      </c>
      <c r="BO72" s="117">
        <v>15.747</v>
      </c>
      <c r="BP72" s="117">
        <v>23.747</v>
      </c>
      <c r="BQ72" s="117" t="s">
        <v>129</v>
      </c>
      <c r="BR72" s="117">
        <v>5</v>
      </c>
      <c r="BS72" s="117">
        <v>20.379000000000001</v>
      </c>
      <c r="BT72" s="117">
        <v>31.158000000000001</v>
      </c>
      <c r="BU72" s="117">
        <v>42.189</v>
      </c>
      <c r="BV72" s="117" t="s">
        <v>129</v>
      </c>
      <c r="BW72" s="117">
        <v>10</v>
      </c>
      <c r="BX72" s="117" t="s">
        <v>449</v>
      </c>
      <c r="BY72" s="117">
        <v>31.158000000000001</v>
      </c>
      <c r="BZ72" s="117">
        <v>42.189</v>
      </c>
      <c r="CA72">
        <v>8</v>
      </c>
      <c r="CB72">
        <v>11.030999999999999</v>
      </c>
      <c r="CC72" s="117" t="s">
        <v>450</v>
      </c>
      <c r="CD72" s="117"/>
      <c r="CE72" s="117"/>
      <c r="CF72" s="117" t="s">
        <v>451</v>
      </c>
      <c r="CG72" t="s">
        <v>3095</v>
      </c>
    </row>
    <row r="73" spans="1:85" ht="14.5">
      <c r="A73" s="117">
        <v>15</v>
      </c>
      <c r="B73" s="117" t="s">
        <v>436</v>
      </c>
      <c r="C73" s="117">
        <v>2017</v>
      </c>
      <c r="D73" s="117" t="s">
        <v>437</v>
      </c>
      <c r="E73" s="118">
        <v>44707</v>
      </c>
      <c r="F73" t="s">
        <v>90</v>
      </c>
      <c r="G73" s="117" t="s">
        <v>360</v>
      </c>
      <c r="H73" s="117"/>
      <c r="I73" s="117" t="s">
        <v>368</v>
      </c>
      <c r="J73" s="117" t="s">
        <v>438</v>
      </c>
      <c r="K73" s="117" t="s">
        <v>97</v>
      </c>
      <c r="L73" s="117" t="s">
        <v>137</v>
      </c>
      <c r="M73" s="117" t="s">
        <v>138</v>
      </c>
      <c r="N73" s="117" t="s">
        <v>439</v>
      </c>
      <c r="O73" s="117" t="s">
        <v>97</v>
      </c>
      <c r="P73" s="117" t="s">
        <v>97</v>
      </c>
      <c r="Q73" s="117"/>
      <c r="R73" s="117"/>
      <c r="S73" s="117" t="s">
        <v>90</v>
      </c>
      <c r="T73" s="117" t="s">
        <v>114</v>
      </c>
      <c r="U73" s="117" t="s">
        <v>141</v>
      </c>
      <c r="V73" s="117" t="s">
        <v>99</v>
      </c>
      <c r="W73" s="117"/>
      <c r="X73" s="117" t="s">
        <v>3086</v>
      </c>
      <c r="Y73" s="117" t="s">
        <v>3085</v>
      </c>
      <c r="Z73" s="117" t="s">
        <v>102</v>
      </c>
      <c r="AA73" s="117" t="s">
        <v>3103</v>
      </c>
      <c r="AB73" s="117" t="s">
        <v>440</v>
      </c>
      <c r="AC73" s="117" t="s">
        <v>105</v>
      </c>
      <c r="AD73" s="117" t="s">
        <v>441</v>
      </c>
      <c r="AE73" s="117" t="s">
        <v>442</v>
      </c>
      <c r="AF73" s="117" t="s">
        <v>148</v>
      </c>
      <c r="AG73" s="117">
        <v>2</v>
      </c>
      <c r="AH73" s="117" t="s">
        <v>97</v>
      </c>
      <c r="AI73" s="117" t="s">
        <v>443</v>
      </c>
      <c r="AJ73" s="117" t="s">
        <v>150</v>
      </c>
      <c r="AK73" s="117">
        <v>2</v>
      </c>
      <c r="AL73" s="117" t="s">
        <v>151</v>
      </c>
      <c r="AM73" s="117" t="s">
        <v>97</v>
      </c>
      <c r="AN73" s="117" t="s">
        <v>97</v>
      </c>
      <c r="AO73" s="117" t="s">
        <v>444</v>
      </c>
      <c r="AP73" s="117">
        <v>2</v>
      </c>
      <c r="AQ73" s="117" t="s">
        <v>122</v>
      </c>
      <c r="AR73" s="117" t="s">
        <v>123</v>
      </c>
      <c r="AS73" s="117" t="s">
        <v>114</v>
      </c>
      <c r="AT73" s="117" t="s">
        <v>124</v>
      </c>
      <c r="AU73" s="117" t="s">
        <v>116</v>
      </c>
      <c r="AV73" s="117" t="s">
        <v>445</v>
      </c>
      <c r="AW73" s="117">
        <v>2</v>
      </c>
      <c r="AX73" s="117" t="s">
        <v>290</v>
      </c>
      <c r="AY73" s="117" t="s">
        <v>119</v>
      </c>
      <c r="AZ73" s="117" t="s">
        <v>120</v>
      </c>
      <c r="BA73" s="117" t="s">
        <v>116</v>
      </c>
      <c r="BB73" s="117" t="s">
        <v>446</v>
      </c>
      <c r="BC73" s="117">
        <v>2</v>
      </c>
      <c r="BD73" s="117"/>
      <c r="BE73" s="117"/>
      <c r="BF73" s="117"/>
      <c r="BG73" s="117"/>
      <c r="BH73" s="117"/>
      <c r="BI73" s="117"/>
      <c r="BJ73" s="117">
        <v>16</v>
      </c>
      <c r="BK73" s="117" t="s">
        <v>452</v>
      </c>
      <c r="BL73" s="117" t="s">
        <v>184</v>
      </c>
      <c r="BM73" s="117" t="s">
        <v>448</v>
      </c>
      <c r="BN73" s="117">
        <v>11.031499999999999</v>
      </c>
      <c r="BO73" s="117">
        <v>17.010999999999999</v>
      </c>
      <c r="BP73" s="117">
        <v>22.989000000000001</v>
      </c>
      <c r="BQ73" s="117" t="s">
        <v>129</v>
      </c>
      <c r="BR73" s="117">
        <v>5</v>
      </c>
      <c r="BS73" s="117">
        <v>20.379000000000001</v>
      </c>
      <c r="BT73" s="117">
        <v>31.158000000000001</v>
      </c>
      <c r="BU73" s="117">
        <v>42.189</v>
      </c>
      <c r="BV73" s="117" t="s">
        <v>129</v>
      </c>
      <c r="BW73" s="117">
        <v>10</v>
      </c>
      <c r="BX73" s="117" t="s">
        <v>449</v>
      </c>
      <c r="BY73" s="117">
        <v>31.158000000000001</v>
      </c>
      <c r="BZ73" s="117">
        <v>42.189</v>
      </c>
      <c r="CA73">
        <v>5.9780000000000015</v>
      </c>
      <c r="CB73">
        <v>11.030999999999999</v>
      </c>
      <c r="CC73" s="117" t="s">
        <v>450</v>
      </c>
      <c r="CD73" s="117"/>
      <c r="CE73" s="117"/>
      <c r="CF73" s="117" t="s">
        <v>451</v>
      </c>
      <c r="CG73" t="s">
        <v>3095</v>
      </c>
    </row>
    <row r="74" spans="1:85" ht="14.5">
      <c r="A74" s="117">
        <v>15</v>
      </c>
      <c r="B74" s="117" t="s">
        <v>436</v>
      </c>
      <c r="C74" s="117">
        <v>2017</v>
      </c>
      <c r="D74" s="117" t="s">
        <v>437</v>
      </c>
      <c r="E74" s="118">
        <v>44707</v>
      </c>
      <c r="F74" t="s">
        <v>90</v>
      </c>
      <c r="G74" s="117" t="s">
        <v>360</v>
      </c>
      <c r="H74" s="117"/>
      <c r="I74" s="117" t="s">
        <v>368</v>
      </c>
      <c r="J74" s="117" t="s">
        <v>438</v>
      </c>
      <c r="K74" s="117" t="s">
        <v>97</v>
      </c>
      <c r="L74" s="117" t="s">
        <v>137</v>
      </c>
      <c r="M74" s="117" t="s">
        <v>138</v>
      </c>
      <c r="N74" s="117" t="s">
        <v>439</v>
      </c>
      <c r="O74" s="117" t="s">
        <v>97</v>
      </c>
      <c r="P74" s="117" t="s">
        <v>97</v>
      </c>
      <c r="Q74" s="117"/>
      <c r="R74" s="117"/>
      <c r="S74" s="117" t="s">
        <v>90</v>
      </c>
      <c r="T74" s="117" t="s">
        <v>114</v>
      </c>
      <c r="U74" s="117" t="s">
        <v>141</v>
      </c>
      <c r="V74" s="117" t="s">
        <v>99</v>
      </c>
      <c r="W74" s="117"/>
      <c r="X74" s="117" t="s">
        <v>3086</v>
      </c>
      <c r="Y74" s="117" t="s">
        <v>3085</v>
      </c>
      <c r="Z74" s="117" t="s">
        <v>102</v>
      </c>
      <c r="AA74" s="117" t="s">
        <v>3103</v>
      </c>
      <c r="AB74" s="117" t="s">
        <v>440</v>
      </c>
      <c r="AC74" s="117" t="s">
        <v>105</v>
      </c>
      <c r="AD74" s="117" t="s">
        <v>441</v>
      </c>
      <c r="AE74" s="117" t="s">
        <v>442</v>
      </c>
      <c r="AF74" s="117" t="s">
        <v>148</v>
      </c>
      <c r="AG74" s="117">
        <v>2</v>
      </c>
      <c r="AH74" s="117" t="s">
        <v>97</v>
      </c>
      <c r="AI74" s="117" t="s">
        <v>443</v>
      </c>
      <c r="AJ74" s="117" t="s">
        <v>150</v>
      </c>
      <c r="AK74" s="117">
        <v>2</v>
      </c>
      <c r="AL74" s="117" t="s">
        <v>151</v>
      </c>
      <c r="AM74" s="117" t="s">
        <v>97</v>
      </c>
      <c r="AN74" s="117" t="s">
        <v>97</v>
      </c>
      <c r="AO74" s="117" t="s">
        <v>444</v>
      </c>
      <c r="AP74" s="117">
        <v>2</v>
      </c>
      <c r="AQ74" s="117" t="s">
        <v>122</v>
      </c>
      <c r="AR74" s="117" t="s">
        <v>123</v>
      </c>
      <c r="AS74" s="117" t="s">
        <v>114</v>
      </c>
      <c r="AT74" s="117" t="s">
        <v>124</v>
      </c>
      <c r="AU74" s="117" t="s">
        <v>116</v>
      </c>
      <c r="AV74" s="117" t="s">
        <v>445</v>
      </c>
      <c r="AW74" s="117">
        <v>2</v>
      </c>
      <c r="AX74" s="117" t="s">
        <v>290</v>
      </c>
      <c r="AY74" s="117" t="s">
        <v>119</v>
      </c>
      <c r="AZ74" s="117" t="s">
        <v>120</v>
      </c>
      <c r="BA74" s="117" t="s">
        <v>116</v>
      </c>
      <c r="BB74" s="117" t="s">
        <v>446</v>
      </c>
      <c r="BC74" s="117">
        <v>2</v>
      </c>
      <c r="BD74" s="117"/>
      <c r="BE74" s="117"/>
      <c r="BF74" s="117"/>
      <c r="BG74" s="117"/>
      <c r="BH74" s="117"/>
      <c r="BI74" s="117"/>
      <c r="BJ74" s="117">
        <v>0</v>
      </c>
      <c r="BK74" s="117" t="s">
        <v>453</v>
      </c>
      <c r="BL74" s="117" t="s">
        <v>184</v>
      </c>
      <c r="BM74" s="117" t="s">
        <v>448</v>
      </c>
      <c r="BN74" s="117">
        <v>8.4209000000000006E-2</v>
      </c>
      <c r="BO74" s="117">
        <v>5.1368</v>
      </c>
      <c r="BP74" s="117">
        <v>10.526</v>
      </c>
      <c r="BQ74" s="117" t="s">
        <v>129</v>
      </c>
      <c r="BR74" s="117">
        <v>5</v>
      </c>
      <c r="BS74" s="117">
        <v>3.8736999999999999</v>
      </c>
      <c r="BT74" s="117">
        <v>8.8421000000000003</v>
      </c>
      <c r="BU74" s="117">
        <v>14.147</v>
      </c>
      <c r="BV74" s="117" t="s">
        <v>129</v>
      </c>
      <c r="BW74" s="117">
        <v>10</v>
      </c>
      <c r="BX74" s="117" t="s">
        <v>449</v>
      </c>
      <c r="BY74" s="117">
        <v>8.8421000000000003</v>
      </c>
      <c r="BZ74" s="117">
        <v>14.147</v>
      </c>
      <c r="CA74">
        <v>5.3891999999999998</v>
      </c>
      <c r="CB74">
        <v>5.3048999999999999</v>
      </c>
      <c r="CC74" s="117" t="s">
        <v>450</v>
      </c>
      <c r="CD74" s="117"/>
      <c r="CE74" s="117"/>
      <c r="CF74" s="117" t="s">
        <v>451</v>
      </c>
      <c r="CG74" t="s">
        <v>3095</v>
      </c>
    </row>
    <row r="75" spans="1:85" ht="14.5">
      <c r="A75" s="117">
        <v>15</v>
      </c>
      <c r="B75" s="117" t="s">
        <v>436</v>
      </c>
      <c r="C75" s="117">
        <v>2017</v>
      </c>
      <c r="D75" s="117" t="s">
        <v>437</v>
      </c>
      <c r="E75" s="118">
        <v>44707</v>
      </c>
      <c r="F75" t="s">
        <v>90</v>
      </c>
      <c r="G75" s="117" t="s">
        <v>360</v>
      </c>
      <c r="H75" s="117"/>
      <c r="I75" s="117" t="s">
        <v>368</v>
      </c>
      <c r="J75" s="117" t="s">
        <v>438</v>
      </c>
      <c r="K75" s="117" t="s">
        <v>97</v>
      </c>
      <c r="L75" s="117" t="s">
        <v>137</v>
      </c>
      <c r="M75" s="117" t="s">
        <v>138</v>
      </c>
      <c r="N75" s="117" t="s">
        <v>439</v>
      </c>
      <c r="O75" s="117" t="s">
        <v>97</v>
      </c>
      <c r="P75" s="117" t="s">
        <v>97</v>
      </c>
      <c r="Q75" s="117"/>
      <c r="R75" s="117"/>
      <c r="S75" s="117" t="s">
        <v>90</v>
      </c>
      <c r="T75" s="117" t="s">
        <v>114</v>
      </c>
      <c r="U75" s="117" t="s">
        <v>141</v>
      </c>
      <c r="V75" s="117" t="s">
        <v>99</v>
      </c>
      <c r="W75" s="117"/>
      <c r="X75" s="117" t="s">
        <v>3086</v>
      </c>
      <c r="Y75" s="117" t="s">
        <v>3085</v>
      </c>
      <c r="Z75" s="117" t="s">
        <v>102</v>
      </c>
      <c r="AA75" s="117" t="s">
        <v>3103</v>
      </c>
      <c r="AB75" s="117" t="s">
        <v>440</v>
      </c>
      <c r="AC75" s="117" t="s">
        <v>105</v>
      </c>
      <c r="AD75" s="117" t="s">
        <v>441</v>
      </c>
      <c r="AE75" s="117" t="s">
        <v>442</v>
      </c>
      <c r="AF75" s="117" t="s">
        <v>148</v>
      </c>
      <c r="AG75" s="117">
        <v>2</v>
      </c>
      <c r="AH75" s="117" t="s">
        <v>97</v>
      </c>
      <c r="AI75" s="117" t="s">
        <v>443</v>
      </c>
      <c r="AJ75" s="117" t="s">
        <v>150</v>
      </c>
      <c r="AK75" s="117">
        <v>2</v>
      </c>
      <c r="AL75" s="117" t="s">
        <v>151</v>
      </c>
      <c r="AM75" s="117" t="s">
        <v>97</v>
      </c>
      <c r="AN75" s="117" t="s">
        <v>97</v>
      </c>
      <c r="AO75" s="117" t="s">
        <v>444</v>
      </c>
      <c r="AP75" s="117">
        <v>2</v>
      </c>
      <c r="AQ75" s="117" t="s">
        <v>122</v>
      </c>
      <c r="AR75" s="117" t="s">
        <v>123</v>
      </c>
      <c r="AS75" s="117" t="s">
        <v>114</v>
      </c>
      <c r="AT75" s="117" t="s">
        <v>124</v>
      </c>
      <c r="AU75" s="117" t="s">
        <v>116</v>
      </c>
      <c r="AV75" s="117" t="s">
        <v>445</v>
      </c>
      <c r="AW75" s="117">
        <v>2</v>
      </c>
      <c r="AX75" s="117" t="s">
        <v>290</v>
      </c>
      <c r="AY75" s="117" t="s">
        <v>119</v>
      </c>
      <c r="AZ75" s="117" t="s">
        <v>120</v>
      </c>
      <c r="BA75" s="117" t="s">
        <v>116</v>
      </c>
      <c r="BB75" s="117" t="s">
        <v>446</v>
      </c>
      <c r="BC75" s="117">
        <v>2</v>
      </c>
      <c r="BD75" s="117"/>
      <c r="BE75" s="117"/>
      <c r="BF75" s="117"/>
      <c r="BG75" s="117"/>
      <c r="BH75" s="117"/>
      <c r="BI75" s="117"/>
      <c r="BJ75" s="117">
        <v>0</v>
      </c>
      <c r="BK75" s="117" t="s">
        <v>454</v>
      </c>
      <c r="BL75" s="117" t="s">
        <v>184</v>
      </c>
      <c r="BM75" s="117" t="s">
        <v>448</v>
      </c>
      <c r="BN75" s="117">
        <v>6.8210499999999996</v>
      </c>
      <c r="BO75" s="117">
        <v>8.6737000000000002</v>
      </c>
      <c r="BP75" s="117">
        <v>10.526</v>
      </c>
      <c r="BQ75" s="117" t="s">
        <v>129</v>
      </c>
      <c r="BR75" s="117">
        <v>5</v>
      </c>
      <c r="BS75" s="117">
        <v>3.8736999999999999</v>
      </c>
      <c r="BT75" s="117">
        <v>8.8421000000000003</v>
      </c>
      <c r="BU75" s="117">
        <v>14.147</v>
      </c>
      <c r="BV75" s="117" t="s">
        <v>129</v>
      </c>
      <c r="BW75" s="117">
        <v>10</v>
      </c>
      <c r="BX75" s="117" t="s">
        <v>449</v>
      </c>
      <c r="BY75" s="117">
        <v>8.8421000000000003</v>
      </c>
      <c r="BZ75" s="117">
        <v>14.147</v>
      </c>
      <c r="CA75">
        <v>1.8522999999999996</v>
      </c>
      <c r="CB75">
        <v>5.3048999999999999</v>
      </c>
      <c r="CC75" s="117" t="s">
        <v>450</v>
      </c>
      <c r="CD75" s="117"/>
      <c r="CE75" s="117"/>
      <c r="CF75" s="117" t="s">
        <v>451</v>
      </c>
      <c r="CG75" t="s">
        <v>3095</v>
      </c>
    </row>
    <row r="76" spans="1:85" ht="14.5">
      <c r="A76" s="117">
        <v>16</v>
      </c>
      <c r="B76" s="117" t="s">
        <v>3111</v>
      </c>
      <c r="C76" s="117">
        <v>2017</v>
      </c>
      <c r="D76" s="117" t="s">
        <v>456</v>
      </c>
      <c r="E76" s="119">
        <v>44713</v>
      </c>
      <c r="F76" t="s">
        <v>90</v>
      </c>
      <c r="G76" s="117" t="s">
        <v>360</v>
      </c>
      <c r="H76" s="117"/>
      <c r="I76" s="117" t="s">
        <v>457</v>
      </c>
      <c r="J76" s="117" t="s">
        <v>458</v>
      </c>
      <c r="K76" s="117" t="s">
        <v>97</v>
      </c>
      <c r="L76" s="117" t="s">
        <v>90</v>
      </c>
      <c r="M76" s="117" t="s">
        <v>95</v>
      </c>
      <c r="N76" s="117" t="s">
        <v>459</v>
      </c>
      <c r="O76" s="117" t="s">
        <v>97</v>
      </c>
      <c r="P76" s="117" t="s">
        <v>97</v>
      </c>
      <c r="Q76" s="117"/>
      <c r="R76" s="117"/>
      <c r="S76" s="117" t="s">
        <v>90</v>
      </c>
      <c r="T76" s="117" t="s">
        <v>114</v>
      </c>
      <c r="U76" s="117" t="s">
        <v>98</v>
      </c>
      <c r="V76" s="117" t="s">
        <v>3095</v>
      </c>
      <c r="W76" s="117" t="s">
        <v>3094</v>
      </c>
      <c r="X76" s="117" t="s">
        <v>3096</v>
      </c>
      <c r="Y76" s="117" t="s">
        <v>3097</v>
      </c>
      <c r="Z76" s="117" t="s">
        <v>568</v>
      </c>
      <c r="AA76" s="117" t="s">
        <v>3098</v>
      </c>
      <c r="AB76" s="117" t="s">
        <v>300</v>
      </c>
      <c r="AC76" s="117" t="s">
        <v>105</v>
      </c>
      <c r="AD76" s="117" t="s">
        <v>460</v>
      </c>
      <c r="AE76" s="117" t="s">
        <v>461</v>
      </c>
      <c r="AF76" s="117" t="s">
        <v>462</v>
      </c>
      <c r="AG76" s="117">
        <v>2</v>
      </c>
      <c r="AH76" s="117" t="s">
        <v>90</v>
      </c>
      <c r="AI76" s="117" t="s">
        <v>463</v>
      </c>
      <c r="AJ76" s="117" t="s">
        <v>150</v>
      </c>
      <c r="AK76" s="117">
        <v>2</v>
      </c>
      <c r="AL76" s="117" t="s">
        <v>151</v>
      </c>
      <c r="AM76" s="117" t="s">
        <v>97</v>
      </c>
      <c r="AN76" s="117" t="s">
        <v>97</v>
      </c>
      <c r="AO76" s="117" t="s">
        <v>152</v>
      </c>
      <c r="AP76" s="117">
        <v>2</v>
      </c>
      <c r="AQ76" s="117" t="s">
        <v>155</v>
      </c>
      <c r="AR76" s="117" t="s">
        <v>119</v>
      </c>
      <c r="AS76" s="117" t="s">
        <v>114</v>
      </c>
      <c r="AT76" s="117" t="s">
        <v>120</v>
      </c>
      <c r="AU76" s="117" t="s">
        <v>116</v>
      </c>
      <c r="AV76" s="117" t="s">
        <v>464</v>
      </c>
      <c r="AW76" s="117">
        <v>2</v>
      </c>
      <c r="AX76" s="117" t="s">
        <v>465</v>
      </c>
      <c r="AY76" s="117" t="s">
        <v>119</v>
      </c>
      <c r="AZ76" s="117" t="s">
        <v>120</v>
      </c>
      <c r="BA76" s="117" t="s">
        <v>116</v>
      </c>
      <c r="BB76" s="117" t="s">
        <v>464</v>
      </c>
      <c r="BC76" s="117">
        <v>2</v>
      </c>
      <c r="BD76" s="117"/>
      <c r="BE76" s="117"/>
      <c r="BF76" s="117"/>
      <c r="BG76" s="117"/>
      <c r="BH76" s="117"/>
      <c r="BI76" s="117"/>
      <c r="BJ76" s="117">
        <v>0</v>
      </c>
      <c r="BK76" s="117" t="s">
        <v>466</v>
      </c>
      <c r="BL76" t="s">
        <v>355</v>
      </c>
      <c r="BM76" s="117" t="s">
        <v>355</v>
      </c>
      <c r="BN76" s="117">
        <v>0.13813</v>
      </c>
      <c r="BO76" s="117">
        <v>0.18453</v>
      </c>
      <c r="BP76" s="117">
        <v>0.23200999999999999</v>
      </c>
      <c r="BQ76" s="117" t="s">
        <v>129</v>
      </c>
      <c r="BR76" s="117">
        <v>8</v>
      </c>
      <c r="BS76" s="117">
        <v>0.19101000000000001</v>
      </c>
      <c r="BT76" s="117">
        <v>0.22770000000000001</v>
      </c>
      <c r="BU76" s="117">
        <v>0.26655000000000001</v>
      </c>
      <c r="BV76" s="117" t="s">
        <v>129</v>
      </c>
      <c r="BW76" s="117">
        <v>8</v>
      </c>
      <c r="BX76" s="117" t="s">
        <v>467</v>
      </c>
      <c r="BY76" s="117">
        <v>0.22770000000000001</v>
      </c>
      <c r="BZ76" s="117">
        <v>0.26655000000000001</v>
      </c>
      <c r="CA76">
        <v>4.7479999999999994E-2</v>
      </c>
      <c r="CB76">
        <v>3.8849999999999996E-2</v>
      </c>
      <c r="CC76" s="117" t="s">
        <v>468</v>
      </c>
      <c r="CD76" s="117"/>
      <c r="CE76" s="117"/>
      <c r="CF76" s="117" t="s">
        <v>3190</v>
      </c>
      <c r="CG76" t="s">
        <v>3095</v>
      </c>
    </row>
    <row r="77" spans="1:85" ht="14.5">
      <c r="A77" s="117">
        <v>16</v>
      </c>
      <c r="B77" s="117" t="s">
        <v>3111</v>
      </c>
      <c r="C77" s="117">
        <v>2017</v>
      </c>
      <c r="D77" s="117" t="s">
        <v>456</v>
      </c>
      <c r="E77" s="119">
        <v>44713</v>
      </c>
      <c r="F77" t="s">
        <v>90</v>
      </c>
      <c r="G77" s="117" t="s">
        <v>360</v>
      </c>
      <c r="H77" s="117"/>
      <c r="I77" s="117" t="s">
        <v>457</v>
      </c>
      <c r="J77" s="117" t="s">
        <v>458</v>
      </c>
      <c r="K77" s="117" t="s">
        <v>97</v>
      </c>
      <c r="L77" s="117" t="s">
        <v>90</v>
      </c>
      <c r="M77" s="117" t="s">
        <v>95</v>
      </c>
      <c r="N77" s="117" t="s">
        <v>459</v>
      </c>
      <c r="O77" s="117" t="s">
        <v>97</v>
      </c>
      <c r="P77" s="117" t="s">
        <v>97</v>
      </c>
      <c r="Q77" s="117"/>
      <c r="R77" s="117"/>
      <c r="S77" s="117" t="s">
        <v>90</v>
      </c>
      <c r="T77" s="117" t="s">
        <v>114</v>
      </c>
      <c r="U77" s="117" t="s">
        <v>98</v>
      </c>
      <c r="V77" s="117" t="s">
        <v>3095</v>
      </c>
      <c r="W77" s="117" t="s">
        <v>3094</v>
      </c>
      <c r="X77" s="117" t="s">
        <v>3096</v>
      </c>
      <c r="Y77" s="117" t="s">
        <v>3099</v>
      </c>
      <c r="Z77" s="117" t="s">
        <v>568</v>
      </c>
      <c r="AA77" s="117" t="s">
        <v>3100</v>
      </c>
      <c r="AB77" s="117" t="s">
        <v>300</v>
      </c>
      <c r="AC77" s="117" t="s">
        <v>105</v>
      </c>
      <c r="AD77" s="117" t="s">
        <v>460</v>
      </c>
      <c r="AE77" s="117" t="s">
        <v>461</v>
      </c>
      <c r="AF77" s="117" t="s">
        <v>462</v>
      </c>
      <c r="AG77" s="117">
        <v>2</v>
      </c>
      <c r="AH77" s="117" t="s">
        <v>90</v>
      </c>
      <c r="AI77" s="117" t="s">
        <v>463</v>
      </c>
      <c r="AJ77" s="117" t="s">
        <v>150</v>
      </c>
      <c r="AK77" s="117">
        <v>2</v>
      </c>
      <c r="AL77" s="117" t="s">
        <v>151</v>
      </c>
      <c r="AM77" s="117" t="s">
        <v>97</v>
      </c>
      <c r="AN77" s="117" t="s">
        <v>97</v>
      </c>
      <c r="AO77" s="117" t="s">
        <v>152</v>
      </c>
      <c r="AP77" s="117">
        <v>2</v>
      </c>
      <c r="AQ77" s="117" t="s">
        <v>155</v>
      </c>
      <c r="AR77" s="117" t="s">
        <v>119</v>
      </c>
      <c r="AS77" s="117" t="s">
        <v>114</v>
      </c>
      <c r="AT77" s="117" t="s">
        <v>120</v>
      </c>
      <c r="AU77" s="117" t="s">
        <v>116</v>
      </c>
      <c r="AV77" s="117" t="s">
        <v>464</v>
      </c>
      <c r="AW77" s="117">
        <v>2</v>
      </c>
      <c r="AX77" s="117" t="s">
        <v>465</v>
      </c>
      <c r="AY77" s="117" t="s">
        <v>119</v>
      </c>
      <c r="AZ77" s="117" t="s">
        <v>120</v>
      </c>
      <c r="BA77" s="117" t="s">
        <v>116</v>
      </c>
      <c r="BB77" s="117" t="s">
        <v>464</v>
      </c>
      <c r="BC77" s="117">
        <v>2</v>
      </c>
      <c r="BD77" s="117"/>
      <c r="BE77" s="117"/>
      <c r="BF77" s="117"/>
      <c r="BG77" s="117"/>
      <c r="BH77" s="117"/>
      <c r="BI77" s="117"/>
      <c r="BJ77" s="117">
        <v>0</v>
      </c>
      <c r="BK77" s="117" t="s">
        <v>471</v>
      </c>
      <c r="BL77" t="s">
        <v>355</v>
      </c>
      <c r="BM77" s="117" t="s">
        <v>355</v>
      </c>
      <c r="BN77" s="117">
        <v>4.7727000000000004E-3</v>
      </c>
      <c r="BO77" s="117">
        <v>2.0681999999999999E-2</v>
      </c>
      <c r="BP77" s="117">
        <v>3.6136000000000001E-2</v>
      </c>
      <c r="BQ77" s="117" t="s">
        <v>129</v>
      </c>
      <c r="BR77" s="117">
        <v>8</v>
      </c>
      <c r="BS77" s="117">
        <v>4.1591000000000003E-2</v>
      </c>
      <c r="BT77" s="117">
        <v>5.2045000000000001E-2</v>
      </c>
      <c r="BU77" s="117">
        <v>6.3182000000000002E-2</v>
      </c>
      <c r="BV77" s="117" t="s">
        <v>129</v>
      </c>
      <c r="BW77" s="117">
        <v>8</v>
      </c>
      <c r="BX77" s="117" t="s">
        <v>472</v>
      </c>
      <c r="BY77" s="117">
        <v>5.2045000000000001E-2</v>
      </c>
      <c r="BZ77" s="117">
        <v>6.3182000000000002E-2</v>
      </c>
      <c r="CA77">
        <v>1.5454000000000002E-2</v>
      </c>
      <c r="CB77">
        <v>1.1137000000000001E-2</v>
      </c>
      <c r="CC77" s="117" t="s">
        <v>473</v>
      </c>
      <c r="CD77" s="117"/>
      <c r="CE77" s="117"/>
      <c r="CF77" s="117"/>
      <c r="CG77" t="s">
        <v>3095</v>
      </c>
    </row>
    <row r="78" spans="1:85" ht="14.5">
      <c r="A78" s="117">
        <v>16</v>
      </c>
      <c r="B78" s="117" t="s">
        <v>3111</v>
      </c>
      <c r="C78" s="117">
        <v>2017</v>
      </c>
      <c r="D78" s="117" t="s">
        <v>456</v>
      </c>
      <c r="E78" s="119">
        <v>44713</v>
      </c>
      <c r="F78" t="s">
        <v>90</v>
      </c>
      <c r="G78" s="117" t="s">
        <v>360</v>
      </c>
      <c r="H78" s="117"/>
      <c r="I78" s="117" t="s">
        <v>457</v>
      </c>
      <c r="J78" s="117" t="s">
        <v>458</v>
      </c>
      <c r="K78" s="117" t="s">
        <v>97</v>
      </c>
      <c r="L78" s="117" t="s">
        <v>90</v>
      </c>
      <c r="M78" s="117" t="s">
        <v>95</v>
      </c>
      <c r="N78" s="117" t="s">
        <v>459</v>
      </c>
      <c r="O78" s="117" t="s">
        <v>97</v>
      </c>
      <c r="P78" s="117" t="s">
        <v>97</v>
      </c>
      <c r="Q78" s="117"/>
      <c r="R78" s="117"/>
      <c r="S78" s="117" t="s">
        <v>90</v>
      </c>
      <c r="T78" s="117" t="s">
        <v>114</v>
      </c>
      <c r="U78" s="117" t="s">
        <v>98</v>
      </c>
      <c r="V78" s="117" t="s">
        <v>3095</v>
      </c>
      <c r="W78" s="117" t="s">
        <v>3094</v>
      </c>
      <c r="X78" s="117" t="s">
        <v>3096</v>
      </c>
      <c r="Y78" s="117" t="s">
        <v>3097</v>
      </c>
      <c r="Z78" s="117" t="s">
        <v>568</v>
      </c>
      <c r="AA78" s="117" t="s">
        <v>3098</v>
      </c>
      <c r="AB78" s="117" t="s">
        <v>300</v>
      </c>
      <c r="AC78" s="117" t="s">
        <v>105</v>
      </c>
      <c r="AD78" s="117" t="s">
        <v>460</v>
      </c>
      <c r="AE78" s="117" t="s">
        <v>461</v>
      </c>
      <c r="AF78" s="117" t="s">
        <v>462</v>
      </c>
      <c r="AG78" s="117">
        <v>2</v>
      </c>
      <c r="AH78" s="117" t="s">
        <v>90</v>
      </c>
      <c r="AI78" s="117" t="s">
        <v>463</v>
      </c>
      <c r="AJ78" s="117" t="s">
        <v>150</v>
      </c>
      <c r="AK78" s="117">
        <v>2</v>
      </c>
      <c r="AL78" s="117" t="s">
        <v>151</v>
      </c>
      <c r="AM78" s="117" t="s">
        <v>97</v>
      </c>
      <c r="AN78" s="117" t="s">
        <v>97</v>
      </c>
      <c r="AO78" s="117" t="s">
        <v>152</v>
      </c>
      <c r="AP78" s="117">
        <v>2</v>
      </c>
      <c r="AQ78" s="117" t="s">
        <v>155</v>
      </c>
      <c r="AR78" s="117" t="s">
        <v>119</v>
      </c>
      <c r="AS78" s="117" t="s">
        <v>114</v>
      </c>
      <c r="AT78" s="117" t="s">
        <v>120</v>
      </c>
      <c r="AU78" s="117" t="s">
        <v>116</v>
      </c>
      <c r="AV78" s="117" t="s">
        <v>464</v>
      </c>
      <c r="AW78" s="117">
        <v>2</v>
      </c>
      <c r="AX78" s="117" t="s">
        <v>465</v>
      </c>
      <c r="AY78" s="117" t="s">
        <v>119</v>
      </c>
      <c r="AZ78" s="117" t="s">
        <v>120</v>
      </c>
      <c r="BA78" s="117" t="s">
        <v>116</v>
      </c>
      <c r="BB78" s="117" t="s">
        <v>464</v>
      </c>
      <c r="BC78" s="117">
        <v>2</v>
      </c>
      <c r="BD78" s="117"/>
      <c r="BE78" s="117"/>
      <c r="BF78" s="117"/>
      <c r="BG78" s="117"/>
      <c r="BH78" s="117"/>
      <c r="BI78" s="117"/>
      <c r="BJ78" s="117">
        <v>0</v>
      </c>
      <c r="BK78" s="117" t="s">
        <v>474</v>
      </c>
      <c r="BL78" t="s">
        <v>355</v>
      </c>
      <c r="BM78" s="117" t="s">
        <v>355</v>
      </c>
      <c r="BN78" s="117">
        <v>0.25252000000000002</v>
      </c>
      <c r="BO78" s="117">
        <v>0.28813</v>
      </c>
      <c r="BP78" s="117">
        <v>0.32590000000000002</v>
      </c>
      <c r="BQ78" s="117" t="s">
        <v>129</v>
      </c>
      <c r="BR78" s="117">
        <v>8</v>
      </c>
      <c r="BS78" s="117">
        <v>0.24173</v>
      </c>
      <c r="BT78" s="117">
        <v>0.30215999999999998</v>
      </c>
      <c r="BU78" s="117">
        <v>0.36475000000000002</v>
      </c>
      <c r="BV78" s="117" t="s">
        <v>129</v>
      </c>
      <c r="BW78" s="117">
        <v>8</v>
      </c>
      <c r="BX78" s="117" t="s">
        <v>467</v>
      </c>
      <c r="BY78" s="117">
        <v>0.30215999999999998</v>
      </c>
      <c r="BZ78" s="117">
        <v>0.36475000000000002</v>
      </c>
      <c r="CA78">
        <v>3.7770000000000026E-2</v>
      </c>
      <c r="CB78">
        <v>6.2590000000000034E-2</v>
      </c>
      <c r="CC78" s="117" t="s">
        <v>468</v>
      </c>
      <c r="CD78" s="117"/>
      <c r="CE78" s="117"/>
      <c r="CF78" s="117" t="s">
        <v>3190</v>
      </c>
      <c r="CG78" t="s">
        <v>3095</v>
      </c>
    </row>
    <row r="79" spans="1:85" ht="14.5">
      <c r="A79" s="117">
        <v>16</v>
      </c>
      <c r="B79" s="117" t="s">
        <v>3111</v>
      </c>
      <c r="C79" s="117">
        <v>2017</v>
      </c>
      <c r="D79" s="117" t="s">
        <v>456</v>
      </c>
      <c r="E79" s="119">
        <v>44713</v>
      </c>
      <c r="F79" t="s">
        <v>90</v>
      </c>
      <c r="G79" s="117" t="s">
        <v>360</v>
      </c>
      <c r="H79" s="117"/>
      <c r="I79" s="117" t="s">
        <v>457</v>
      </c>
      <c r="J79" s="117" t="s">
        <v>458</v>
      </c>
      <c r="K79" s="117" t="s">
        <v>97</v>
      </c>
      <c r="L79" s="117" t="s">
        <v>90</v>
      </c>
      <c r="M79" s="117" t="s">
        <v>95</v>
      </c>
      <c r="N79" s="117" t="s">
        <v>459</v>
      </c>
      <c r="O79" s="117" t="s">
        <v>97</v>
      </c>
      <c r="P79" s="117" t="s">
        <v>97</v>
      </c>
      <c r="Q79" s="117"/>
      <c r="R79" s="117"/>
      <c r="S79" s="117" t="s">
        <v>90</v>
      </c>
      <c r="T79" s="117" t="s">
        <v>114</v>
      </c>
      <c r="U79" s="117" t="s">
        <v>98</v>
      </c>
      <c r="V79" s="117" t="s">
        <v>3095</v>
      </c>
      <c r="W79" s="117" t="s">
        <v>3094</v>
      </c>
      <c r="X79" s="117" t="s">
        <v>3096</v>
      </c>
      <c r="Y79" s="117" t="s">
        <v>3099</v>
      </c>
      <c r="Z79" s="117" t="s">
        <v>568</v>
      </c>
      <c r="AA79" s="117" t="s">
        <v>3100</v>
      </c>
      <c r="AB79" s="117" t="s">
        <v>300</v>
      </c>
      <c r="AC79" s="117" t="s">
        <v>105</v>
      </c>
      <c r="AD79" s="117" t="s">
        <v>460</v>
      </c>
      <c r="AE79" s="117" t="s">
        <v>461</v>
      </c>
      <c r="AF79" s="117" t="s">
        <v>462</v>
      </c>
      <c r="AG79" s="117">
        <v>2</v>
      </c>
      <c r="AH79" s="117" t="s">
        <v>90</v>
      </c>
      <c r="AI79" s="117" t="s">
        <v>463</v>
      </c>
      <c r="AJ79" s="117" t="s">
        <v>150</v>
      </c>
      <c r="AK79" s="117">
        <v>2</v>
      </c>
      <c r="AL79" s="117" t="s">
        <v>151</v>
      </c>
      <c r="AM79" s="117" t="s">
        <v>97</v>
      </c>
      <c r="AN79" s="117" t="s">
        <v>97</v>
      </c>
      <c r="AO79" s="117" t="s">
        <v>152</v>
      </c>
      <c r="AP79" s="117">
        <v>2</v>
      </c>
      <c r="AQ79" s="117" t="s">
        <v>155</v>
      </c>
      <c r="AR79" s="117" t="s">
        <v>119</v>
      </c>
      <c r="AS79" s="117" t="s">
        <v>114</v>
      </c>
      <c r="AT79" s="117" t="s">
        <v>120</v>
      </c>
      <c r="AU79" s="117" t="s">
        <v>116</v>
      </c>
      <c r="AV79" s="117" t="s">
        <v>464</v>
      </c>
      <c r="AW79" s="117">
        <v>2</v>
      </c>
      <c r="AX79" s="117" t="s">
        <v>465</v>
      </c>
      <c r="AY79" s="117" t="s">
        <v>119</v>
      </c>
      <c r="AZ79" s="117" t="s">
        <v>120</v>
      </c>
      <c r="BA79" s="117" t="s">
        <v>116</v>
      </c>
      <c r="BB79" s="117" t="s">
        <v>464</v>
      </c>
      <c r="BC79" s="117">
        <v>2</v>
      </c>
      <c r="BD79" s="117"/>
      <c r="BE79" s="117"/>
      <c r="BF79" s="117"/>
      <c r="BG79" s="117"/>
      <c r="BH79" s="117"/>
      <c r="BI79" s="117"/>
      <c r="BJ79" s="117">
        <v>0</v>
      </c>
      <c r="BK79" s="117" t="s">
        <v>476</v>
      </c>
      <c r="BL79" t="s">
        <v>355</v>
      </c>
      <c r="BM79" s="117" t="s">
        <v>355</v>
      </c>
      <c r="BN79" s="117">
        <v>5.2499999999999998E-2</v>
      </c>
      <c r="BO79" s="117">
        <v>6.8408999999999998E-2</v>
      </c>
      <c r="BP79" s="117">
        <v>8.5681999999999994E-2</v>
      </c>
      <c r="BQ79" s="117" t="s">
        <v>129</v>
      </c>
      <c r="BR79" s="117">
        <v>8</v>
      </c>
      <c r="BS79" s="117">
        <v>8.5000000000000006E-2</v>
      </c>
      <c r="BT79" s="117">
        <v>0.11136</v>
      </c>
      <c r="BU79" s="117">
        <v>0.13705000000000001</v>
      </c>
      <c r="BV79" s="117" t="s">
        <v>129</v>
      </c>
      <c r="BW79" s="117">
        <v>8</v>
      </c>
      <c r="BX79" s="117" t="s">
        <v>472</v>
      </c>
      <c r="BY79" s="117">
        <v>0.11136</v>
      </c>
      <c r="BZ79" s="117">
        <v>0.13705000000000001</v>
      </c>
      <c r="CA79">
        <v>1.7272999999999997E-2</v>
      </c>
      <c r="CB79">
        <v>2.5690000000000004E-2</v>
      </c>
      <c r="CC79" s="117" t="s">
        <v>473</v>
      </c>
      <c r="CD79" s="117"/>
      <c r="CE79" s="117"/>
      <c r="CF79" s="117"/>
      <c r="CG79" t="s">
        <v>3095</v>
      </c>
    </row>
    <row r="80" spans="1:85" ht="14.5">
      <c r="A80" s="117">
        <v>16</v>
      </c>
      <c r="B80" s="117" t="s">
        <v>3111</v>
      </c>
      <c r="C80" s="117">
        <v>2017</v>
      </c>
      <c r="D80" s="117" t="s">
        <v>456</v>
      </c>
      <c r="E80" s="119">
        <v>44713</v>
      </c>
      <c r="F80" t="s">
        <v>90</v>
      </c>
      <c r="G80" s="117" t="s">
        <v>360</v>
      </c>
      <c r="H80" s="117"/>
      <c r="I80" s="117" t="s">
        <v>457</v>
      </c>
      <c r="J80" s="117" t="s">
        <v>458</v>
      </c>
      <c r="K80" s="117" t="s">
        <v>97</v>
      </c>
      <c r="L80" s="117" t="s">
        <v>90</v>
      </c>
      <c r="M80" s="117" t="s">
        <v>95</v>
      </c>
      <c r="N80" s="117" t="s">
        <v>459</v>
      </c>
      <c r="O80" s="117" t="s">
        <v>97</v>
      </c>
      <c r="P80" s="117" t="s">
        <v>97</v>
      </c>
      <c r="Q80" s="117"/>
      <c r="R80" s="117"/>
      <c r="S80" s="117" t="s">
        <v>90</v>
      </c>
      <c r="T80" s="117" t="s">
        <v>114</v>
      </c>
      <c r="U80" s="117" t="s">
        <v>98</v>
      </c>
      <c r="V80" s="117" t="s">
        <v>3095</v>
      </c>
      <c r="W80" s="117" t="s">
        <v>3094</v>
      </c>
      <c r="X80" s="117" t="s">
        <v>3096</v>
      </c>
      <c r="Y80" s="117" t="s">
        <v>3097</v>
      </c>
      <c r="Z80" s="117" t="s">
        <v>568</v>
      </c>
      <c r="AA80" s="117" t="s">
        <v>3098</v>
      </c>
      <c r="AB80" s="117" t="s">
        <v>300</v>
      </c>
      <c r="AC80" s="117" t="s">
        <v>105</v>
      </c>
      <c r="AD80" s="117" t="s">
        <v>460</v>
      </c>
      <c r="AE80" s="117" t="s">
        <v>461</v>
      </c>
      <c r="AF80" s="117" t="s">
        <v>462</v>
      </c>
      <c r="AG80" s="117">
        <v>2</v>
      </c>
      <c r="AH80" s="117" t="s">
        <v>90</v>
      </c>
      <c r="AI80" s="117" t="s">
        <v>463</v>
      </c>
      <c r="AJ80" s="117" t="s">
        <v>150</v>
      </c>
      <c r="AK80" s="117">
        <v>2</v>
      </c>
      <c r="AL80" s="117" t="s">
        <v>151</v>
      </c>
      <c r="AM80" s="117" t="s">
        <v>97</v>
      </c>
      <c r="AN80" s="117" t="s">
        <v>97</v>
      </c>
      <c r="AO80" s="117" t="s">
        <v>152</v>
      </c>
      <c r="AP80" s="117">
        <v>2</v>
      </c>
      <c r="AQ80" s="117" t="s">
        <v>155</v>
      </c>
      <c r="AR80" s="117" t="s">
        <v>119</v>
      </c>
      <c r="AS80" s="117" t="s">
        <v>114</v>
      </c>
      <c r="AT80" s="117" t="s">
        <v>120</v>
      </c>
      <c r="AU80" s="117" t="s">
        <v>116</v>
      </c>
      <c r="AV80" s="117" t="s">
        <v>464</v>
      </c>
      <c r="AW80" s="117">
        <v>2</v>
      </c>
      <c r="AX80" s="117" t="s">
        <v>465</v>
      </c>
      <c r="AY80" s="117" t="s">
        <v>119</v>
      </c>
      <c r="AZ80" s="117" t="s">
        <v>120</v>
      </c>
      <c r="BA80" s="117" t="s">
        <v>116</v>
      </c>
      <c r="BB80" s="117" t="s">
        <v>464</v>
      </c>
      <c r="BC80" s="117">
        <v>2</v>
      </c>
      <c r="BD80" s="117"/>
      <c r="BE80" s="117"/>
      <c r="BF80" s="117"/>
      <c r="BG80" s="117"/>
      <c r="BH80" s="117"/>
      <c r="BI80" s="117"/>
      <c r="BJ80" s="117">
        <v>2</v>
      </c>
      <c r="BK80" s="117" t="s">
        <v>477</v>
      </c>
      <c r="BL80" t="s">
        <v>355</v>
      </c>
      <c r="BM80" s="117" t="s">
        <v>355</v>
      </c>
      <c r="BN80" s="117">
        <v>0.17266000000000001</v>
      </c>
      <c r="BO80" s="117">
        <v>0.21367</v>
      </c>
      <c r="BP80" s="117">
        <v>0.25790999999999997</v>
      </c>
      <c r="BQ80" s="117" t="s">
        <v>129</v>
      </c>
      <c r="BR80" s="117">
        <v>8</v>
      </c>
      <c r="BS80" s="117">
        <v>0.28597</v>
      </c>
      <c r="BT80" s="117">
        <v>0.34316999999999998</v>
      </c>
      <c r="BU80" s="117">
        <v>0.40035999999999999</v>
      </c>
      <c r="BV80" s="117" t="s">
        <v>129</v>
      </c>
      <c r="BW80" s="117">
        <v>8</v>
      </c>
      <c r="BX80" s="117" t="s">
        <v>467</v>
      </c>
      <c r="BY80" s="117">
        <v>0.34316999999999998</v>
      </c>
      <c r="BZ80" s="117">
        <v>0.40035999999999999</v>
      </c>
      <c r="CA80">
        <v>4.4239999999999974E-2</v>
      </c>
      <c r="CB80">
        <v>5.7190000000000019E-2</v>
      </c>
      <c r="CC80" s="117" t="s">
        <v>468</v>
      </c>
      <c r="CD80" s="117"/>
      <c r="CE80" s="117"/>
      <c r="CF80" s="117" t="s">
        <v>3190</v>
      </c>
      <c r="CG80" t="s">
        <v>3095</v>
      </c>
    </row>
    <row r="81" spans="1:85" ht="14.5">
      <c r="A81" s="117">
        <v>16</v>
      </c>
      <c r="B81" s="117" t="s">
        <v>3111</v>
      </c>
      <c r="C81" s="117">
        <v>2017</v>
      </c>
      <c r="D81" s="117" t="s">
        <v>456</v>
      </c>
      <c r="E81" s="119">
        <v>44713</v>
      </c>
      <c r="F81" t="s">
        <v>90</v>
      </c>
      <c r="G81" s="117" t="s">
        <v>360</v>
      </c>
      <c r="H81" s="117"/>
      <c r="I81" s="117" t="s">
        <v>457</v>
      </c>
      <c r="J81" s="117" t="s">
        <v>458</v>
      </c>
      <c r="K81" s="117" t="s">
        <v>97</v>
      </c>
      <c r="L81" s="117" t="s">
        <v>90</v>
      </c>
      <c r="M81" s="117" t="s">
        <v>95</v>
      </c>
      <c r="N81" s="117" t="s">
        <v>459</v>
      </c>
      <c r="O81" s="117" t="s">
        <v>97</v>
      </c>
      <c r="P81" s="117" t="s">
        <v>97</v>
      </c>
      <c r="Q81" s="117"/>
      <c r="R81" s="117"/>
      <c r="S81" s="117" t="s">
        <v>90</v>
      </c>
      <c r="T81" s="117" t="s">
        <v>114</v>
      </c>
      <c r="U81" s="117" t="s">
        <v>98</v>
      </c>
      <c r="V81" s="117" t="s">
        <v>3095</v>
      </c>
      <c r="W81" s="117" t="s">
        <v>3094</v>
      </c>
      <c r="X81" s="117" t="s">
        <v>3096</v>
      </c>
      <c r="Y81" s="117" t="s">
        <v>3099</v>
      </c>
      <c r="Z81" s="117" t="s">
        <v>568</v>
      </c>
      <c r="AA81" s="117" t="s">
        <v>3100</v>
      </c>
      <c r="AB81" s="117" t="s">
        <v>300</v>
      </c>
      <c r="AC81" s="117" t="s">
        <v>105</v>
      </c>
      <c r="AD81" s="117" t="s">
        <v>460</v>
      </c>
      <c r="AE81" s="117" t="s">
        <v>461</v>
      </c>
      <c r="AF81" s="117" t="s">
        <v>462</v>
      </c>
      <c r="AG81" s="117">
        <v>2</v>
      </c>
      <c r="AH81" s="117" t="s">
        <v>90</v>
      </c>
      <c r="AI81" s="117" t="s">
        <v>463</v>
      </c>
      <c r="AJ81" s="117" t="s">
        <v>150</v>
      </c>
      <c r="AK81" s="117">
        <v>2</v>
      </c>
      <c r="AL81" s="117" t="s">
        <v>151</v>
      </c>
      <c r="AM81" s="117" t="s">
        <v>97</v>
      </c>
      <c r="AN81" s="117" t="s">
        <v>97</v>
      </c>
      <c r="AO81" s="117" t="s">
        <v>152</v>
      </c>
      <c r="AP81" s="117">
        <v>2</v>
      </c>
      <c r="AQ81" s="117" t="s">
        <v>155</v>
      </c>
      <c r="AR81" s="117" t="s">
        <v>119</v>
      </c>
      <c r="AS81" s="117" t="s">
        <v>114</v>
      </c>
      <c r="AT81" s="117" t="s">
        <v>120</v>
      </c>
      <c r="AU81" s="117" t="s">
        <v>116</v>
      </c>
      <c r="AV81" s="117" t="s">
        <v>464</v>
      </c>
      <c r="AW81" s="117">
        <v>2</v>
      </c>
      <c r="AX81" s="117" t="s">
        <v>465</v>
      </c>
      <c r="AY81" s="117" t="s">
        <v>119</v>
      </c>
      <c r="AZ81" s="117" t="s">
        <v>120</v>
      </c>
      <c r="BA81" s="117" t="s">
        <v>116</v>
      </c>
      <c r="BB81" s="117" t="s">
        <v>464</v>
      </c>
      <c r="BC81" s="117">
        <v>2</v>
      </c>
      <c r="BD81" s="117"/>
      <c r="BE81" s="117"/>
      <c r="BF81" s="117"/>
      <c r="BG81" s="117"/>
      <c r="BH81" s="117"/>
      <c r="BI81" s="117"/>
      <c r="BJ81" s="117">
        <v>2</v>
      </c>
      <c r="BK81" s="117" t="s">
        <v>479</v>
      </c>
      <c r="BL81" t="s">
        <v>355</v>
      </c>
      <c r="BM81" s="117" t="s">
        <v>355</v>
      </c>
      <c r="BN81" s="117">
        <v>3.1364000000000003E-2</v>
      </c>
      <c r="BO81" s="117">
        <v>4.8409000000000001E-2</v>
      </c>
      <c r="BP81" s="117">
        <v>6.5908999999999995E-2</v>
      </c>
      <c r="BQ81" s="117" t="s">
        <v>129</v>
      </c>
      <c r="BR81" s="117">
        <v>8</v>
      </c>
      <c r="BS81" s="117">
        <v>7.2727E-2</v>
      </c>
      <c r="BT81" s="117">
        <v>8.9317999999999995E-2</v>
      </c>
      <c r="BU81" s="117">
        <v>0.10659</v>
      </c>
      <c r="BV81" s="117" t="s">
        <v>129</v>
      </c>
      <c r="BW81" s="117">
        <v>8</v>
      </c>
      <c r="BX81" s="117" t="s">
        <v>472</v>
      </c>
      <c r="BY81" s="117">
        <v>8.9317999999999995E-2</v>
      </c>
      <c r="BZ81" s="117">
        <v>0.10659</v>
      </c>
      <c r="CA81">
        <v>1.7499999999999995E-2</v>
      </c>
      <c r="CB81">
        <v>1.727200000000001E-2</v>
      </c>
      <c r="CC81" s="117" t="s">
        <v>473</v>
      </c>
      <c r="CD81" s="117"/>
      <c r="CE81" s="117"/>
      <c r="CF81" s="117"/>
      <c r="CG81" t="s">
        <v>3095</v>
      </c>
    </row>
    <row r="82" spans="1:85" ht="14.5">
      <c r="A82" s="117">
        <v>16</v>
      </c>
      <c r="B82" s="117" t="s">
        <v>3111</v>
      </c>
      <c r="C82" s="117">
        <v>2017</v>
      </c>
      <c r="D82" s="117" t="s">
        <v>456</v>
      </c>
      <c r="E82" s="119">
        <v>44713</v>
      </c>
      <c r="F82" t="s">
        <v>90</v>
      </c>
      <c r="G82" s="117" t="s">
        <v>360</v>
      </c>
      <c r="H82" s="117"/>
      <c r="I82" s="117" t="s">
        <v>457</v>
      </c>
      <c r="J82" s="117" t="s">
        <v>458</v>
      </c>
      <c r="K82" s="117" t="s">
        <v>97</v>
      </c>
      <c r="L82" s="117" t="s">
        <v>90</v>
      </c>
      <c r="M82" s="117" t="s">
        <v>95</v>
      </c>
      <c r="N82" s="117" t="s">
        <v>459</v>
      </c>
      <c r="O82" s="117" t="s">
        <v>97</v>
      </c>
      <c r="P82" s="117" t="s">
        <v>97</v>
      </c>
      <c r="Q82" s="117"/>
      <c r="R82" s="117"/>
      <c r="S82" s="117" t="s">
        <v>90</v>
      </c>
      <c r="T82" s="117" t="s">
        <v>114</v>
      </c>
      <c r="U82" s="117" t="s">
        <v>98</v>
      </c>
      <c r="V82" s="117" t="s">
        <v>3095</v>
      </c>
      <c r="W82" s="117" t="s">
        <v>3094</v>
      </c>
      <c r="X82" s="117" t="s">
        <v>3096</v>
      </c>
      <c r="Y82" s="117" t="s">
        <v>3097</v>
      </c>
      <c r="Z82" s="117" t="s">
        <v>568</v>
      </c>
      <c r="AA82" s="117" t="s">
        <v>3098</v>
      </c>
      <c r="AB82" s="117" t="s">
        <v>300</v>
      </c>
      <c r="AC82" s="117" t="s">
        <v>105</v>
      </c>
      <c r="AD82" s="117" t="s">
        <v>460</v>
      </c>
      <c r="AE82" s="117" t="s">
        <v>461</v>
      </c>
      <c r="AF82" s="117" t="s">
        <v>462</v>
      </c>
      <c r="AG82" s="117">
        <v>2</v>
      </c>
      <c r="AH82" s="117" t="s">
        <v>90</v>
      </c>
      <c r="AI82" s="117" t="s">
        <v>463</v>
      </c>
      <c r="AJ82" s="117" t="s">
        <v>150</v>
      </c>
      <c r="AK82" s="117">
        <v>2</v>
      </c>
      <c r="AL82" s="117" t="s">
        <v>151</v>
      </c>
      <c r="AM82" s="117" t="s">
        <v>97</v>
      </c>
      <c r="AN82" s="117" t="s">
        <v>97</v>
      </c>
      <c r="AO82" s="117" t="s">
        <v>152</v>
      </c>
      <c r="AP82" s="117">
        <v>2</v>
      </c>
      <c r="AQ82" s="117" t="s">
        <v>155</v>
      </c>
      <c r="AR82" s="117" t="s">
        <v>119</v>
      </c>
      <c r="AS82" s="117" t="s">
        <v>114</v>
      </c>
      <c r="AT82" s="117" t="s">
        <v>120</v>
      </c>
      <c r="AU82" s="117" t="s">
        <v>116</v>
      </c>
      <c r="AV82" s="117" t="s">
        <v>464</v>
      </c>
      <c r="AW82" s="117">
        <v>2</v>
      </c>
      <c r="AX82" s="117" t="s">
        <v>465</v>
      </c>
      <c r="AY82" s="117" t="s">
        <v>119</v>
      </c>
      <c r="AZ82" s="117" t="s">
        <v>120</v>
      </c>
      <c r="BA82" s="117" t="s">
        <v>116</v>
      </c>
      <c r="BB82" s="117" t="s">
        <v>464</v>
      </c>
      <c r="BC82" s="117">
        <v>2</v>
      </c>
      <c r="BD82" s="117"/>
      <c r="BE82" s="117"/>
      <c r="BF82" s="117"/>
      <c r="BG82" s="117"/>
      <c r="BH82" s="117"/>
      <c r="BI82" s="117"/>
      <c r="BJ82" s="117">
        <v>2</v>
      </c>
      <c r="BK82" s="117" t="s">
        <v>480</v>
      </c>
      <c r="BL82" t="s">
        <v>355</v>
      </c>
      <c r="BM82" s="117" t="s">
        <v>355</v>
      </c>
      <c r="BN82" s="117">
        <v>0.10036</v>
      </c>
      <c r="BO82" s="117">
        <v>0.13705000000000001</v>
      </c>
      <c r="BP82" s="117">
        <v>0.17482</v>
      </c>
      <c r="BQ82" s="117" t="s">
        <v>129</v>
      </c>
      <c r="BR82" s="117">
        <v>8</v>
      </c>
      <c r="BS82" s="117">
        <v>0.19747999999999999</v>
      </c>
      <c r="BT82" s="117">
        <v>0.23633000000000001</v>
      </c>
      <c r="BU82" s="117">
        <v>0.27301999999999998</v>
      </c>
      <c r="BV82" s="117" t="s">
        <v>129</v>
      </c>
      <c r="BW82" s="117">
        <v>8</v>
      </c>
      <c r="BX82" s="117" t="s">
        <v>467</v>
      </c>
      <c r="BY82" s="117">
        <v>0.23633000000000001</v>
      </c>
      <c r="BZ82" s="117">
        <v>0.27301999999999998</v>
      </c>
      <c r="CA82">
        <v>3.7769999999999998E-2</v>
      </c>
      <c r="CB82">
        <v>3.6689999999999973E-2</v>
      </c>
      <c r="CC82" s="117" t="s">
        <v>468</v>
      </c>
      <c r="CD82" s="117"/>
      <c r="CE82" s="117"/>
      <c r="CF82" s="117" t="s">
        <v>3190</v>
      </c>
      <c r="CG82" t="s">
        <v>3095</v>
      </c>
    </row>
    <row r="83" spans="1:85" ht="14.5">
      <c r="A83" s="117">
        <v>16</v>
      </c>
      <c r="B83" s="117" t="s">
        <v>3111</v>
      </c>
      <c r="C83" s="117">
        <v>2017</v>
      </c>
      <c r="D83" s="117" t="s">
        <v>456</v>
      </c>
      <c r="E83" s="119">
        <v>44713</v>
      </c>
      <c r="F83" t="s">
        <v>90</v>
      </c>
      <c r="G83" s="117" t="s">
        <v>360</v>
      </c>
      <c r="H83" s="117"/>
      <c r="I83" s="117" t="s">
        <v>457</v>
      </c>
      <c r="J83" s="117" t="s">
        <v>458</v>
      </c>
      <c r="K83" s="117" t="s">
        <v>97</v>
      </c>
      <c r="L83" s="117" t="s">
        <v>90</v>
      </c>
      <c r="M83" s="117" t="s">
        <v>95</v>
      </c>
      <c r="N83" s="117" t="s">
        <v>459</v>
      </c>
      <c r="O83" s="117" t="s">
        <v>97</v>
      </c>
      <c r="P83" s="117" t="s">
        <v>97</v>
      </c>
      <c r="Q83" s="117"/>
      <c r="R83" s="117"/>
      <c r="S83" s="117" t="s">
        <v>90</v>
      </c>
      <c r="T83" s="117" t="s">
        <v>114</v>
      </c>
      <c r="U83" s="117" t="s">
        <v>98</v>
      </c>
      <c r="V83" s="117" t="s">
        <v>3095</v>
      </c>
      <c r="W83" s="117" t="s">
        <v>3094</v>
      </c>
      <c r="X83" s="117" t="s">
        <v>3096</v>
      </c>
      <c r="Y83" s="117" t="s">
        <v>3099</v>
      </c>
      <c r="Z83" s="117" t="s">
        <v>568</v>
      </c>
      <c r="AA83" s="117" t="s">
        <v>3100</v>
      </c>
      <c r="AB83" s="117" t="s">
        <v>300</v>
      </c>
      <c r="AC83" s="117" t="s">
        <v>105</v>
      </c>
      <c r="AD83" s="117" t="s">
        <v>460</v>
      </c>
      <c r="AE83" s="117" t="s">
        <v>461</v>
      </c>
      <c r="AF83" s="117" t="s">
        <v>462</v>
      </c>
      <c r="AG83" s="117">
        <v>2</v>
      </c>
      <c r="AH83" s="117" t="s">
        <v>90</v>
      </c>
      <c r="AI83" s="117" t="s">
        <v>463</v>
      </c>
      <c r="AJ83" s="117" t="s">
        <v>150</v>
      </c>
      <c r="AK83" s="117">
        <v>2</v>
      </c>
      <c r="AL83" s="117" t="s">
        <v>151</v>
      </c>
      <c r="AM83" s="117" t="s">
        <v>97</v>
      </c>
      <c r="AN83" s="117" t="s">
        <v>97</v>
      </c>
      <c r="AO83" s="117" t="s">
        <v>152</v>
      </c>
      <c r="AP83" s="117">
        <v>2</v>
      </c>
      <c r="AQ83" s="117" t="s">
        <v>155</v>
      </c>
      <c r="AR83" s="117" t="s">
        <v>119</v>
      </c>
      <c r="AS83" s="117" t="s">
        <v>114</v>
      </c>
      <c r="AT83" s="117" t="s">
        <v>120</v>
      </c>
      <c r="AU83" s="117" t="s">
        <v>116</v>
      </c>
      <c r="AV83" s="117" t="s">
        <v>464</v>
      </c>
      <c r="AW83" s="117">
        <v>2</v>
      </c>
      <c r="AX83" s="117" t="s">
        <v>465</v>
      </c>
      <c r="AY83" s="117" t="s">
        <v>119</v>
      </c>
      <c r="AZ83" s="117" t="s">
        <v>120</v>
      </c>
      <c r="BA83" s="117" t="s">
        <v>116</v>
      </c>
      <c r="BB83" s="117" t="s">
        <v>464</v>
      </c>
      <c r="BC83" s="117">
        <v>2</v>
      </c>
      <c r="BD83" s="117"/>
      <c r="BE83" s="117"/>
      <c r="BF83" s="117"/>
      <c r="BG83" s="117"/>
      <c r="BH83" s="117"/>
      <c r="BI83" s="117"/>
      <c r="BJ83" s="117">
        <v>2</v>
      </c>
      <c r="BK83" s="117" t="s">
        <v>482</v>
      </c>
      <c r="BL83" t="s">
        <v>355</v>
      </c>
      <c r="BM83" s="117" t="s">
        <v>355</v>
      </c>
      <c r="BN83" s="117">
        <v>0</v>
      </c>
      <c r="BO83" s="117">
        <v>8.1817999999999995E-3</v>
      </c>
      <c r="BP83" s="117">
        <v>1.6364E-2</v>
      </c>
      <c r="BQ83" s="117" t="s">
        <v>129</v>
      </c>
      <c r="BR83" s="117">
        <v>8</v>
      </c>
      <c r="BS83" s="117">
        <v>5.4091E-2</v>
      </c>
      <c r="BT83" s="117">
        <v>7.3181999999999997E-2</v>
      </c>
      <c r="BU83" s="117">
        <v>9.3182000000000001E-2</v>
      </c>
      <c r="BV83" s="117" t="s">
        <v>129</v>
      </c>
      <c r="BW83" s="117">
        <v>8</v>
      </c>
      <c r="BX83" s="117" t="s">
        <v>472</v>
      </c>
      <c r="BY83" s="117">
        <v>7.3181999999999997E-2</v>
      </c>
      <c r="BZ83" s="117">
        <v>9.3182000000000001E-2</v>
      </c>
      <c r="CA83">
        <v>8.1822000000000006E-3</v>
      </c>
      <c r="CB83">
        <v>2.0000000000000004E-2</v>
      </c>
      <c r="CC83" s="117" t="s">
        <v>473</v>
      </c>
      <c r="CD83" s="117"/>
      <c r="CE83" s="117"/>
      <c r="CF83" s="117"/>
      <c r="CG83" t="s">
        <v>3095</v>
      </c>
    </row>
    <row r="84" spans="1:85" ht="14.5">
      <c r="A84">
        <v>18</v>
      </c>
      <c r="B84" t="s">
        <v>248</v>
      </c>
      <c r="C84">
        <v>2017</v>
      </c>
      <c r="D84" t="s">
        <v>249</v>
      </c>
      <c r="E84">
        <v>44706</v>
      </c>
      <c r="F84" t="s">
        <v>90</v>
      </c>
      <c r="G84" t="s">
        <v>483</v>
      </c>
      <c r="J84" t="s">
        <v>251</v>
      </c>
      <c r="K84" s="117" t="s">
        <v>97</v>
      </c>
      <c r="L84" s="117" t="s">
        <v>137</v>
      </c>
      <c r="M84" s="117" t="s">
        <v>95</v>
      </c>
      <c r="N84" s="117" t="s">
        <v>252</v>
      </c>
      <c r="O84" s="117" t="s">
        <v>97</v>
      </c>
      <c r="P84" s="117" t="s">
        <v>97</v>
      </c>
      <c r="Q84" s="117"/>
      <c r="R84" s="117"/>
      <c r="S84" s="117" t="s">
        <v>90</v>
      </c>
      <c r="T84" s="117" t="s">
        <v>94</v>
      </c>
      <c r="U84" s="117" t="s">
        <v>141</v>
      </c>
      <c r="V84" s="117" t="s">
        <v>99</v>
      </c>
      <c r="W84" s="117">
        <v>1</v>
      </c>
      <c r="X84" s="117" t="s">
        <v>253</v>
      </c>
      <c r="Y84" s="117" t="s">
        <v>254</v>
      </c>
      <c r="Z84" s="117" t="s">
        <v>102</v>
      </c>
      <c r="AA84" s="117" t="s">
        <v>255</v>
      </c>
      <c r="AB84" s="117" t="s">
        <v>256</v>
      </c>
      <c r="AC84" s="117" t="s">
        <v>105</v>
      </c>
      <c r="AD84" s="117" t="s">
        <v>257</v>
      </c>
      <c r="AE84" s="117" t="s">
        <v>258</v>
      </c>
      <c r="AF84" s="117" t="s">
        <v>148</v>
      </c>
      <c r="AG84" s="117">
        <v>1</v>
      </c>
      <c r="AH84" s="117" t="s">
        <v>160</v>
      </c>
      <c r="AI84" s="117" t="s">
        <v>155</v>
      </c>
      <c r="AJ84" s="117" t="s">
        <v>150</v>
      </c>
      <c r="AK84" s="117">
        <v>2</v>
      </c>
      <c r="AL84" s="117" t="s">
        <v>151</v>
      </c>
      <c r="AM84" s="117" t="s">
        <v>94</v>
      </c>
      <c r="AN84" s="117" t="s">
        <v>94</v>
      </c>
      <c r="AO84" s="117" t="s">
        <v>152</v>
      </c>
      <c r="AP84" s="117">
        <v>2</v>
      </c>
      <c r="AQ84" s="117" t="s">
        <v>155</v>
      </c>
      <c r="AR84" s="117" t="s">
        <v>119</v>
      </c>
      <c r="AS84" s="117" t="s">
        <v>114</v>
      </c>
      <c r="AT84" s="117" t="s">
        <v>120</v>
      </c>
      <c r="AU84" s="117" t="s">
        <v>116</v>
      </c>
      <c r="AV84" s="117" t="s">
        <v>259</v>
      </c>
      <c r="AW84" s="117">
        <v>5</v>
      </c>
      <c r="AX84" s="117"/>
      <c r="AY84" s="117"/>
      <c r="AZ84" s="117"/>
      <c r="BA84" s="117"/>
      <c r="BB84" s="117"/>
      <c r="BC84" s="117"/>
      <c r="BD84" s="117"/>
      <c r="BE84" s="117"/>
      <c r="BF84" s="117"/>
      <c r="BG84" s="117"/>
      <c r="BH84" s="117"/>
      <c r="BI84" s="117"/>
      <c r="BJ84">
        <v>0</v>
      </c>
      <c r="BK84" t="s">
        <v>484</v>
      </c>
      <c r="BL84" t="s">
        <v>355</v>
      </c>
      <c r="BM84" t="s">
        <v>261</v>
      </c>
      <c r="BN84" s="117">
        <v>0.44969999999999999</v>
      </c>
      <c r="BO84" s="117">
        <v>0.46700000000000003</v>
      </c>
      <c r="BP84" s="117">
        <v>0.48122999999999999</v>
      </c>
      <c r="BQ84" t="s">
        <v>129</v>
      </c>
      <c r="BR84">
        <v>13</v>
      </c>
      <c r="BS84">
        <v>0.625</v>
      </c>
      <c r="BT84">
        <v>0.63390000000000002</v>
      </c>
      <c r="BU84">
        <v>0.64500000000000002</v>
      </c>
      <c r="BV84" t="s">
        <v>129</v>
      </c>
      <c r="BW84">
        <v>13</v>
      </c>
      <c r="BX84" t="s">
        <v>262</v>
      </c>
      <c r="BY84" s="117">
        <v>0.36209999999999998</v>
      </c>
      <c r="BZ84" s="117">
        <v>0.3503</v>
      </c>
      <c r="CA84">
        <v>-1.5699999999999936E-2</v>
      </c>
      <c r="CB84">
        <v>-1.1799999999999977E-2</v>
      </c>
      <c r="CC84">
        <v>1</v>
      </c>
      <c r="CF84" s="117"/>
      <c r="CG84" t="s">
        <v>3095</v>
      </c>
    </row>
    <row r="85" spans="1:85" ht="14.5">
      <c r="A85">
        <v>18</v>
      </c>
      <c r="B85" t="s">
        <v>248</v>
      </c>
      <c r="C85">
        <v>2017</v>
      </c>
      <c r="D85" t="s">
        <v>249</v>
      </c>
      <c r="E85">
        <v>44706</v>
      </c>
      <c r="F85" t="s">
        <v>90</v>
      </c>
      <c r="G85" t="s">
        <v>483</v>
      </c>
      <c r="J85" t="s">
        <v>251</v>
      </c>
      <c r="K85" s="117" t="s">
        <v>97</v>
      </c>
      <c r="L85" s="117" t="s">
        <v>137</v>
      </c>
      <c r="M85" s="117" t="s">
        <v>95</v>
      </c>
      <c r="N85" s="117" t="s">
        <v>252</v>
      </c>
      <c r="O85" s="117" t="s">
        <v>97</v>
      </c>
      <c r="P85" s="117" t="s">
        <v>97</v>
      </c>
      <c r="Q85" s="117"/>
      <c r="R85" s="117"/>
      <c r="S85" s="117" t="s">
        <v>90</v>
      </c>
      <c r="T85" s="117" t="s">
        <v>94</v>
      </c>
      <c r="U85" s="117" t="s">
        <v>141</v>
      </c>
      <c r="V85" s="117" t="s">
        <v>99</v>
      </c>
      <c r="W85" s="117">
        <v>1</v>
      </c>
      <c r="X85" s="117" t="s">
        <v>253</v>
      </c>
      <c r="Y85" s="117" t="s">
        <v>254</v>
      </c>
      <c r="Z85" s="117" t="s">
        <v>102</v>
      </c>
      <c r="AA85" s="117" t="s">
        <v>255</v>
      </c>
      <c r="AB85" s="117" t="s">
        <v>256</v>
      </c>
      <c r="AC85" s="117" t="s">
        <v>105</v>
      </c>
      <c r="AD85" s="117" t="s">
        <v>257</v>
      </c>
      <c r="AE85" s="117" t="s">
        <v>258</v>
      </c>
      <c r="AF85" s="117" t="s">
        <v>148</v>
      </c>
      <c r="AG85" s="117">
        <v>1</v>
      </c>
      <c r="AH85" s="117" t="s">
        <v>160</v>
      </c>
      <c r="AI85" s="117" t="s">
        <v>155</v>
      </c>
      <c r="AJ85" s="117" t="s">
        <v>150</v>
      </c>
      <c r="AK85" s="117">
        <v>2</v>
      </c>
      <c r="AL85" s="117" t="s">
        <v>151</v>
      </c>
      <c r="AM85" s="117" t="s">
        <v>94</v>
      </c>
      <c r="AN85" s="117" t="s">
        <v>94</v>
      </c>
      <c r="AO85" s="117" t="s">
        <v>152</v>
      </c>
      <c r="AP85" s="117">
        <v>2</v>
      </c>
      <c r="AQ85" s="117" t="s">
        <v>155</v>
      </c>
      <c r="AR85" s="117" t="s">
        <v>119</v>
      </c>
      <c r="AS85" s="117" t="s">
        <v>114</v>
      </c>
      <c r="AT85" s="117" t="s">
        <v>120</v>
      </c>
      <c r="AU85" s="117" t="s">
        <v>116</v>
      </c>
      <c r="AV85" s="117" t="s">
        <v>259</v>
      </c>
      <c r="AW85" s="117">
        <v>5</v>
      </c>
      <c r="AX85" s="117"/>
      <c r="AY85" s="117"/>
      <c r="AZ85" s="117"/>
      <c r="BA85" s="117"/>
      <c r="BB85" s="117"/>
      <c r="BC85" s="117"/>
      <c r="BD85" s="117"/>
      <c r="BE85" s="117"/>
      <c r="BF85" s="117"/>
      <c r="BG85" s="117"/>
      <c r="BH85" s="117"/>
      <c r="BI85" s="117"/>
      <c r="BJ85">
        <v>7</v>
      </c>
      <c r="BK85" t="s">
        <v>260</v>
      </c>
      <c r="BL85" t="s">
        <v>355</v>
      </c>
      <c r="BM85" t="s">
        <v>261</v>
      </c>
      <c r="BN85">
        <v>0.46200000000000002</v>
      </c>
      <c r="BO85">
        <v>0.48399999999999999</v>
      </c>
      <c r="BP85">
        <v>0.50700000000000001</v>
      </c>
      <c r="BQ85" t="s">
        <v>129</v>
      </c>
      <c r="BR85">
        <v>13</v>
      </c>
      <c r="BS85">
        <v>0.61899999999999999</v>
      </c>
      <c r="BT85">
        <v>0.63200000000000001</v>
      </c>
      <c r="BU85">
        <v>0.64500000000000002</v>
      </c>
      <c r="BV85" t="s">
        <v>129</v>
      </c>
      <c r="BW85">
        <v>13</v>
      </c>
      <c r="BX85" t="s">
        <v>262</v>
      </c>
      <c r="BY85">
        <v>0.63200000000000001</v>
      </c>
      <c r="BZ85">
        <v>0.64500000000000002</v>
      </c>
      <c r="CA85">
        <v>2.300000000000002E-2</v>
      </c>
      <c r="CB85">
        <v>1.3000000000000012E-2</v>
      </c>
      <c r="CC85">
        <v>1</v>
      </c>
      <c r="CG85" t="s">
        <v>3095</v>
      </c>
    </row>
    <row r="86" spans="1:85" ht="14.5">
      <c r="A86">
        <v>18</v>
      </c>
      <c r="B86" t="s">
        <v>248</v>
      </c>
      <c r="C86">
        <v>2017</v>
      </c>
      <c r="D86" t="s">
        <v>249</v>
      </c>
      <c r="E86">
        <v>44706</v>
      </c>
      <c r="F86" t="s">
        <v>90</v>
      </c>
      <c r="G86" t="s">
        <v>483</v>
      </c>
      <c r="J86" t="s">
        <v>251</v>
      </c>
      <c r="K86" s="117" t="s">
        <v>97</v>
      </c>
      <c r="L86" s="117" t="s">
        <v>137</v>
      </c>
      <c r="M86" s="117" t="s">
        <v>95</v>
      </c>
      <c r="N86" s="117" t="s">
        <v>252</v>
      </c>
      <c r="O86" s="117" t="s">
        <v>97</v>
      </c>
      <c r="P86" s="117" t="s">
        <v>97</v>
      </c>
      <c r="Q86" s="117"/>
      <c r="R86" s="117"/>
      <c r="S86" s="117" t="s">
        <v>90</v>
      </c>
      <c r="T86" s="117" t="s">
        <v>94</v>
      </c>
      <c r="U86" s="117" t="s">
        <v>141</v>
      </c>
      <c r="V86" s="117" t="s">
        <v>99</v>
      </c>
      <c r="W86" s="117">
        <v>1</v>
      </c>
      <c r="X86" s="117" t="s">
        <v>253</v>
      </c>
      <c r="Y86" s="117" t="s">
        <v>254</v>
      </c>
      <c r="Z86" s="117" t="s">
        <v>102</v>
      </c>
      <c r="AA86" s="117" t="s">
        <v>255</v>
      </c>
      <c r="AB86" s="117" t="s">
        <v>256</v>
      </c>
      <c r="AC86" s="117" t="s">
        <v>105</v>
      </c>
      <c r="AD86" s="117" t="s">
        <v>257</v>
      </c>
      <c r="AE86" s="117" t="s">
        <v>258</v>
      </c>
      <c r="AF86" s="117" t="s">
        <v>148</v>
      </c>
      <c r="AG86" s="117">
        <v>1</v>
      </c>
      <c r="AH86" s="117" t="s">
        <v>160</v>
      </c>
      <c r="AI86" s="117" t="s">
        <v>155</v>
      </c>
      <c r="AJ86" s="117" t="s">
        <v>150</v>
      </c>
      <c r="AK86" s="117">
        <v>2</v>
      </c>
      <c r="AL86" s="117" t="s">
        <v>151</v>
      </c>
      <c r="AM86" s="117" t="s">
        <v>94</v>
      </c>
      <c r="AN86" s="117" t="s">
        <v>94</v>
      </c>
      <c r="AO86" s="117" t="s">
        <v>152</v>
      </c>
      <c r="AP86" s="117">
        <v>2</v>
      </c>
      <c r="AQ86" s="117" t="s">
        <v>155</v>
      </c>
      <c r="AR86" s="117" t="s">
        <v>119</v>
      </c>
      <c r="AS86" s="117" t="s">
        <v>114</v>
      </c>
      <c r="AT86" s="117" t="s">
        <v>120</v>
      </c>
      <c r="AU86" s="117" t="s">
        <v>116</v>
      </c>
      <c r="AV86" s="117" t="s">
        <v>259</v>
      </c>
      <c r="AW86" s="117">
        <v>5</v>
      </c>
      <c r="AX86" s="117"/>
      <c r="AY86" s="117"/>
      <c r="AZ86" s="117"/>
      <c r="BA86" s="117"/>
      <c r="BB86" s="117"/>
      <c r="BC86" s="117"/>
      <c r="BD86" s="117"/>
      <c r="BE86" s="117"/>
      <c r="BF86" s="117"/>
      <c r="BG86" s="117"/>
      <c r="BH86" s="117"/>
      <c r="BI86" s="117"/>
      <c r="BJ86">
        <v>7</v>
      </c>
      <c r="BK86" t="s">
        <v>264</v>
      </c>
      <c r="BL86" t="s">
        <v>355</v>
      </c>
      <c r="BM86" t="s">
        <v>261</v>
      </c>
      <c r="BN86">
        <v>0.54400000000000004</v>
      </c>
      <c r="BO86">
        <v>0.55400000000000005</v>
      </c>
      <c r="BP86">
        <v>0.56699999999999995</v>
      </c>
      <c r="BQ86" t="s">
        <v>129</v>
      </c>
      <c r="BR86">
        <v>13</v>
      </c>
      <c r="BS86">
        <v>0.67900000000000005</v>
      </c>
      <c r="BT86">
        <v>0.7</v>
      </c>
      <c r="BU86">
        <v>0.71899999999999997</v>
      </c>
      <c r="BV86" t="s">
        <v>129</v>
      </c>
      <c r="BW86">
        <v>13</v>
      </c>
      <c r="BX86" t="s">
        <v>262</v>
      </c>
      <c r="BY86">
        <v>0.7</v>
      </c>
      <c r="BZ86">
        <v>0.71899999999999997</v>
      </c>
      <c r="CA86">
        <v>1.2999999999999901E-2</v>
      </c>
      <c r="CB86">
        <v>1.9000000000000017E-2</v>
      </c>
      <c r="CC86">
        <v>1</v>
      </c>
      <c r="CG86" t="s">
        <v>3095</v>
      </c>
    </row>
    <row r="87" spans="1:85" ht="14.5">
      <c r="A87">
        <v>18</v>
      </c>
      <c r="B87" t="s">
        <v>248</v>
      </c>
      <c r="C87">
        <v>2017</v>
      </c>
      <c r="D87" t="s">
        <v>249</v>
      </c>
      <c r="E87">
        <v>44706</v>
      </c>
      <c r="F87" t="s">
        <v>90</v>
      </c>
      <c r="G87" t="s">
        <v>483</v>
      </c>
      <c r="J87" t="s">
        <v>251</v>
      </c>
      <c r="K87" s="117" t="s">
        <v>97</v>
      </c>
      <c r="L87" s="117" t="s">
        <v>137</v>
      </c>
      <c r="M87" s="117" t="s">
        <v>95</v>
      </c>
      <c r="N87" s="117" t="s">
        <v>252</v>
      </c>
      <c r="O87" s="117" t="s">
        <v>97</v>
      </c>
      <c r="P87" s="117" t="s">
        <v>97</v>
      </c>
      <c r="Q87" s="117"/>
      <c r="R87" s="117"/>
      <c r="S87" s="117" t="s">
        <v>90</v>
      </c>
      <c r="T87" s="117" t="s">
        <v>94</v>
      </c>
      <c r="U87" s="117" t="s">
        <v>141</v>
      </c>
      <c r="V87" s="117" t="s">
        <v>99</v>
      </c>
      <c r="W87" s="117">
        <v>1</v>
      </c>
      <c r="X87" s="117" t="s">
        <v>253</v>
      </c>
      <c r="Y87" s="117" t="s">
        <v>254</v>
      </c>
      <c r="Z87" s="117" t="s">
        <v>102</v>
      </c>
      <c r="AA87" s="117" t="s">
        <v>255</v>
      </c>
      <c r="AB87" s="117" t="s">
        <v>256</v>
      </c>
      <c r="AC87" s="117" t="s">
        <v>105</v>
      </c>
      <c r="AD87" s="117" t="s">
        <v>257</v>
      </c>
      <c r="AE87" s="117" t="s">
        <v>258</v>
      </c>
      <c r="AF87" s="117" t="s">
        <v>148</v>
      </c>
      <c r="AG87" s="117">
        <v>1</v>
      </c>
      <c r="AH87" s="117" t="s">
        <v>160</v>
      </c>
      <c r="AI87" s="117" t="s">
        <v>155</v>
      </c>
      <c r="AJ87" s="117" t="s">
        <v>150</v>
      </c>
      <c r="AK87" s="117">
        <v>2</v>
      </c>
      <c r="AL87" s="117" t="s">
        <v>151</v>
      </c>
      <c r="AM87" s="117" t="s">
        <v>94</v>
      </c>
      <c r="AN87" s="117" t="s">
        <v>94</v>
      </c>
      <c r="AO87" s="117" t="s">
        <v>152</v>
      </c>
      <c r="AP87" s="117">
        <v>2</v>
      </c>
      <c r="AQ87" s="117" t="s">
        <v>155</v>
      </c>
      <c r="AR87" s="117" t="s">
        <v>119</v>
      </c>
      <c r="AS87" s="117" t="s">
        <v>114</v>
      </c>
      <c r="AT87" s="117" t="s">
        <v>120</v>
      </c>
      <c r="AU87" s="117" t="s">
        <v>116</v>
      </c>
      <c r="AV87" s="117" t="s">
        <v>259</v>
      </c>
      <c r="AW87" s="117">
        <v>5</v>
      </c>
      <c r="AX87" s="117"/>
      <c r="AY87" s="117"/>
      <c r="AZ87" s="117"/>
      <c r="BA87" s="117"/>
      <c r="BB87" s="117"/>
      <c r="BC87" s="117"/>
      <c r="BD87" s="117"/>
      <c r="BE87" s="117"/>
      <c r="BF87" s="117"/>
      <c r="BG87" s="117"/>
      <c r="BH87" s="117"/>
      <c r="BI87" s="117"/>
      <c r="BJ87">
        <v>17</v>
      </c>
      <c r="BK87" t="s">
        <v>485</v>
      </c>
      <c r="BL87" t="s">
        <v>355</v>
      </c>
      <c r="BM87" t="s">
        <v>261</v>
      </c>
      <c r="BN87">
        <v>0.501</v>
      </c>
      <c r="BO87">
        <v>0.50600000000000001</v>
      </c>
      <c r="BP87">
        <v>0.52300000000000002</v>
      </c>
      <c r="BQ87" t="s">
        <v>129</v>
      </c>
      <c r="BR87">
        <v>13</v>
      </c>
      <c r="BS87">
        <v>0.61799999999999999</v>
      </c>
      <c r="BT87">
        <v>0.625</v>
      </c>
      <c r="BU87">
        <v>0.63700000000000001</v>
      </c>
      <c r="BV87" t="s">
        <v>129</v>
      </c>
      <c r="BW87">
        <v>13</v>
      </c>
      <c r="BX87" t="s">
        <v>262</v>
      </c>
      <c r="BY87">
        <v>0.625</v>
      </c>
      <c r="BZ87">
        <v>0.63700000000000001</v>
      </c>
      <c r="CA87">
        <v>1.7000000000000015E-2</v>
      </c>
      <c r="CB87">
        <v>1.2000000000000011E-2</v>
      </c>
      <c r="CC87">
        <v>1</v>
      </c>
      <c r="CG87" t="s">
        <v>3095</v>
      </c>
    </row>
    <row r="88" spans="1:85" ht="14.5">
      <c r="A88">
        <v>18</v>
      </c>
      <c r="B88" t="s">
        <v>248</v>
      </c>
      <c r="C88">
        <v>2017</v>
      </c>
      <c r="D88" t="s">
        <v>249</v>
      </c>
      <c r="E88">
        <v>44706</v>
      </c>
      <c r="F88" t="s">
        <v>90</v>
      </c>
      <c r="G88" t="s">
        <v>483</v>
      </c>
      <c r="J88" t="s">
        <v>251</v>
      </c>
      <c r="K88" s="117" t="s">
        <v>97</v>
      </c>
      <c r="L88" s="117" t="s">
        <v>137</v>
      </c>
      <c r="M88" s="117" t="s">
        <v>95</v>
      </c>
      <c r="N88" s="117" t="s">
        <v>252</v>
      </c>
      <c r="O88" s="117" t="s">
        <v>97</v>
      </c>
      <c r="P88" s="117" t="s">
        <v>97</v>
      </c>
      <c r="Q88" s="117"/>
      <c r="R88" s="117"/>
      <c r="S88" s="117" t="s">
        <v>90</v>
      </c>
      <c r="T88" s="117" t="s">
        <v>94</v>
      </c>
      <c r="U88" s="117" t="s">
        <v>141</v>
      </c>
      <c r="V88" s="117" t="s">
        <v>99</v>
      </c>
      <c r="W88" s="117">
        <v>1</v>
      </c>
      <c r="X88" s="117" t="s">
        <v>253</v>
      </c>
      <c r="Y88" s="117" t="s">
        <v>254</v>
      </c>
      <c r="Z88" s="117" t="s">
        <v>102</v>
      </c>
      <c r="AA88" s="117" t="s">
        <v>255</v>
      </c>
      <c r="AB88" s="117" t="s">
        <v>256</v>
      </c>
      <c r="AC88" s="117" t="s">
        <v>105</v>
      </c>
      <c r="AD88" s="117" t="s">
        <v>257</v>
      </c>
      <c r="AE88" s="117" t="s">
        <v>258</v>
      </c>
      <c r="AF88" s="117" t="s">
        <v>148</v>
      </c>
      <c r="AG88" s="117">
        <v>1</v>
      </c>
      <c r="AH88" s="117" t="s">
        <v>160</v>
      </c>
      <c r="AI88" s="117" t="s">
        <v>155</v>
      </c>
      <c r="AJ88" s="117" t="s">
        <v>150</v>
      </c>
      <c r="AK88" s="117">
        <v>2</v>
      </c>
      <c r="AL88" s="117" t="s">
        <v>151</v>
      </c>
      <c r="AM88" s="117" t="s">
        <v>94</v>
      </c>
      <c r="AN88" s="117" t="s">
        <v>94</v>
      </c>
      <c r="AO88" s="117" t="s">
        <v>152</v>
      </c>
      <c r="AP88" s="117">
        <v>2</v>
      </c>
      <c r="AQ88" s="117" t="s">
        <v>155</v>
      </c>
      <c r="AR88" s="117" t="s">
        <v>119</v>
      </c>
      <c r="AS88" s="117" t="s">
        <v>114</v>
      </c>
      <c r="AT88" s="117" t="s">
        <v>120</v>
      </c>
      <c r="AU88" s="117" t="s">
        <v>116</v>
      </c>
      <c r="AV88" s="117" t="s">
        <v>259</v>
      </c>
      <c r="AW88" s="117">
        <v>5</v>
      </c>
      <c r="AX88" s="117"/>
      <c r="AY88" s="117"/>
      <c r="AZ88" s="117"/>
      <c r="BA88" s="117"/>
      <c r="BB88" s="117"/>
      <c r="BC88" s="117"/>
      <c r="BD88" s="117"/>
      <c r="BE88" s="117"/>
      <c r="BF88" s="117"/>
      <c r="BG88" s="117"/>
      <c r="BH88" s="117"/>
      <c r="BI88" s="117"/>
      <c r="BJ88">
        <v>17</v>
      </c>
      <c r="BK88" t="s">
        <v>486</v>
      </c>
      <c r="BL88" t="s">
        <v>355</v>
      </c>
      <c r="BM88" t="s">
        <v>261</v>
      </c>
      <c r="BN88">
        <v>0.53200000000000003</v>
      </c>
      <c r="BO88">
        <v>0.54300000000000004</v>
      </c>
      <c r="BP88">
        <v>0.55900000000000005</v>
      </c>
      <c r="BQ88" t="s">
        <v>129</v>
      </c>
      <c r="BR88">
        <v>13</v>
      </c>
      <c r="BS88">
        <v>0.66600000000000004</v>
      </c>
      <c r="BT88">
        <v>0.67500000000000004</v>
      </c>
      <c r="BU88">
        <v>0.68600000000000005</v>
      </c>
      <c r="BV88" t="s">
        <v>129</v>
      </c>
      <c r="BW88">
        <v>13</v>
      </c>
      <c r="BX88" t="s">
        <v>262</v>
      </c>
      <c r="BY88">
        <v>0.67500000000000004</v>
      </c>
      <c r="BZ88">
        <v>0.68600000000000005</v>
      </c>
      <c r="CA88">
        <v>1.6000000000000014E-2</v>
      </c>
      <c r="CB88">
        <v>1.100000000000001E-2</v>
      </c>
      <c r="CC88">
        <v>1</v>
      </c>
      <c r="CG88" t="s">
        <v>3095</v>
      </c>
    </row>
    <row r="89" spans="1:85" ht="14.5">
      <c r="A89">
        <v>19</v>
      </c>
      <c r="B89" t="s">
        <v>266</v>
      </c>
      <c r="C89">
        <v>2017</v>
      </c>
      <c r="D89" t="s">
        <v>267</v>
      </c>
      <c r="E89">
        <v>44705</v>
      </c>
      <c r="F89" t="s">
        <v>90</v>
      </c>
      <c r="G89" s="117" t="s">
        <v>483</v>
      </c>
      <c r="H89" s="117"/>
      <c r="I89" s="117" t="s">
        <v>487</v>
      </c>
      <c r="J89" s="117" t="s">
        <v>488</v>
      </c>
      <c r="K89" s="117" t="s">
        <v>97</v>
      </c>
      <c r="L89" s="117" t="s">
        <v>137</v>
      </c>
      <c r="M89" s="117" t="s">
        <v>138</v>
      </c>
      <c r="N89" s="117" t="s">
        <v>270</v>
      </c>
      <c r="O89" s="117" t="s">
        <v>90</v>
      </c>
      <c r="P89" s="117" t="s">
        <v>97</v>
      </c>
      <c r="Q89" s="117" t="s">
        <v>271</v>
      </c>
      <c r="R89" s="117"/>
      <c r="S89" s="117" t="s">
        <v>90</v>
      </c>
      <c r="T89" s="117" t="s">
        <v>94</v>
      </c>
      <c r="U89" s="117" t="s">
        <v>191</v>
      </c>
      <c r="V89" s="117" t="s">
        <v>99</v>
      </c>
      <c r="W89" s="117">
        <v>1</v>
      </c>
      <c r="X89" s="117" t="s">
        <v>272</v>
      </c>
      <c r="Y89" s="117" t="s">
        <v>273</v>
      </c>
      <c r="Z89" s="117" t="s">
        <v>102</v>
      </c>
      <c r="AA89" s="117" t="s">
        <v>274</v>
      </c>
      <c r="AB89" s="117" t="s">
        <v>256</v>
      </c>
      <c r="AC89" s="117" t="s">
        <v>20</v>
      </c>
      <c r="AD89" s="117" t="s">
        <v>275</v>
      </c>
      <c r="AE89" s="117" t="s">
        <v>276</v>
      </c>
      <c r="AF89" s="117" t="s">
        <v>148</v>
      </c>
      <c r="AG89" s="117">
        <v>1</v>
      </c>
      <c r="AH89" s="117" t="s">
        <v>160</v>
      </c>
      <c r="AI89" s="117" t="s">
        <v>155</v>
      </c>
      <c r="AJ89" s="117" t="s">
        <v>110</v>
      </c>
      <c r="AK89" s="117">
        <v>2</v>
      </c>
      <c r="AL89" s="117" t="s">
        <v>151</v>
      </c>
      <c r="AM89" s="117" t="s">
        <v>94</v>
      </c>
      <c r="AN89" s="117" t="s">
        <v>94</v>
      </c>
      <c r="AO89" s="117" t="s">
        <v>152</v>
      </c>
      <c r="AP89" s="117">
        <v>2</v>
      </c>
      <c r="AQ89" s="117" t="s">
        <v>155</v>
      </c>
      <c r="AR89" s="117" t="s">
        <v>119</v>
      </c>
      <c r="AS89" s="117" t="s">
        <v>114</v>
      </c>
      <c r="AT89" s="117" t="s">
        <v>120</v>
      </c>
      <c r="AU89" s="117" t="s">
        <v>116</v>
      </c>
      <c r="AV89" s="117" t="s">
        <v>277</v>
      </c>
      <c r="AW89" s="117">
        <v>2</v>
      </c>
      <c r="AX89" s="117"/>
      <c r="AY89" s="117"/>
      <c r="AZ89" s="117"/>
      <c r="BA89" s="117"/>
      <c r="BB89" s="117"/>
      <c r="BC89" s="117"/>
      <c r="BD89" s="117"/>
      <c r="BE89" s="117"/>
      <c r="BF89" s="117"/>
      <c r="BG89" s="117"/>
      <c r="BH89" s="117"/>
      <c r="BI89" s="117"/>
      <c r="BJ89" s="117">
        <v>0</v>
      </c>
      <c r="BK89" s="117">
        <v>18.186</v>
      </c>
      <c r="BL89" s="117" t="s">
        <v>184</v>
      </c>
      <c r="BM89" s="117" t="s">
        <v>278</v>
      </c>
      <c r="BN89" s="117" t="s">
        <v>111</v>
      </c>
      <c r="BO89" s="117">
        <v>7.0000000000000007E-2</v>
      </c>
      <c r="BP89" s="117">
        <v>0.1</v>
      </c>
      <c r="BQ89" s="117" t="s">
        <v>129</v>
      </c>
      <c r="BR89" s="117">
        <v>5</v>
      </c>
      <c r="BS89" s="117" t="s">
        <v>111</v>
      </c>
      <c r="BT89" s="117">
        <v>4.9000000000000002E-2</v>
      </c>
      <c r="BU89" s="117">
        <v>6.7000000000000004E-2</v>
      </c>
      <c r="BV89" s="117" t="s">
        <v>129</v>
      </c>
      <c r="BW89" s="117">
        <v>5</v>
      </c>
      <c r="BX89" s="117" t="s">
        <v>279</v>
      </c>
      <c r="BY89" s="117">
        <v>4.9000000000000002E-2</v>
      </c>
      <c r="BZ89" s="117">
        <v>6.7000000000000004E-2</v>
      </c>
      <c r="CA89">
        <v>0.03</v>
      </c>
      <c r="CB89">
        <v>1.8000000000000002E-2</v>
      </c>
      <c r="CC89" s="117">
        <v>4</v>
      </c>
      <c r="CD89" s="117"/>
      <c r="CE89" s="117"/>
      <c r="CF89" s="117" t="s">
        <v>280</v>
      </c>
      <c r="CG89" t="s">
        <v>3095</v>
      </c>
    </row>
    <row r="90" spans="1:85" ht="14.5">
      <c r="A90">
        <v>19</v>
      </c>
      <c r="B90" t="s">
        <v>266</v>
      </c>
      <c r="C90">
        <v>2017</v>
      </c>
      <c r="D90" t="s">
        <v>267</v>
      </c>
      <c r="E90">
        <v>44705</v>
      </c>
      <c r="F90" t="s">
        <v>90</v>
      </c>
      <c r="G90" t="s">
        <v>483</v>
      </c>
      <c r="I90" t="s">
        <v>487</v>
      </c>
      <c r="J90" t="s">
        <v>488</v>
      </c>
      <c r="K90" s="117" t="s">
        <v>97</v>
      </c>
      <c r="L90" s="117" t="s">
        <v>137</v>
      </c>
      <c r="M90" s="117" t="s">
        <v>138</v>
      </c>
      <c r="N90" s="117" t="s">
        <v>270</v>
      </c>
      <c r="O90" s="117" t="s">
        <v>90</v>
      </c>
      <c r="P90" s="117" t="s">
        <v>97</v>
      </c>
      <c r="Q90" s="117" t="s">
        <v>271</v>
      </c>
      <c r="R90" s="117"/>
      <c r="S90" s="117" t="s">
        <v>90</v>
      </c>
      <c r="T90" s="117" t="s">
        <v>94</v>
      </c>
      <c r="U90" s="117" t="s">
        <v>191</v>
      </c>
      <c r="V90" s="117" t="s">
        <v>99</v>
      </c>
      <c r="W90" s="117">
        <v>1</v>
      </c>
      <c r="X90" s="117" t="s">
        <v>272</v>
      </c>
      <c r="Y90" s="117" t="s">
        <v>273</v>
      </c>
      <c r="Z90" s="117" t="s">
        <v>102</v>
      </c>
      <c r="AA90" s="117" t="s">
        <v>274</v>
      </c>
      <c r="AB90" s="117" t="s">
        <v>256</v>
      </c>
      <c r="AC90" s="117" t="s">
        <v>20</v>
      </c>
      <c r="AD90" s="117" t="s">
        <v>275</v>
      </c>
      <c r="AE90" s="117" t="s">
        <v>276</v>
      </c>
      <c r="AF90" s="117" t="s">
        <v>148</v>
      </c>
      <c r="AG90" s="117">
        <v>1</v>
      </c>
      <c r="AH90" s="117" t="s">
        <v>160</v>
      </c>
      <c r="AI90" s="117" t="s">
        <v>155</v>
      </c>
      <c r="AJ90" s="117" t="s">
        <v>110</v>
      </c>
      <c r="AK90" s="117">
        <v>2</v>
      </c>
      <c r="AL90" s="117" t="s">
        <v>151</v>
      </c>
      <c r="AM90" s="117" t="s">
        <v>94</v>
      </c>
      <c r="AN90" s="117" t="s">
        <v>94</v>
      </c>
      <c r="AO90" s="117" t="s">
        <v>152</v>
      </c>
      <c r="AP90" s="117">
        <v>2</v>
      </c>
      <c r="AQ90" s="117" t="s">
        <v>155</v>
      </c>
      <c r="AR90" s="117" t="s">
        <v>119</v>
      </c>
      <c r="AS90" s="117" t="s">
        <v>114</v>
      </c>
      <c r="AT90" s="117" t="s">
        <v>120</v>
      </c>
      <c r="AU90" s="117" t="s">
        <v>116</v>
      </c>
      <c r="AV90" s="117" t="s">
        <v>277</v>
      </c>
      <c r="AW90" s="117">
        <v>2</v>
      </c>
      <c r="AX90" s="117"/>
      <c r="AY90" s="117"/>
      <c r="AZ90" s="117"/>
      <c r="BA90" s="117"/>
      <c r="BB90" s="117"/>
      <c r="BC90" s="117"/>
      <c r="BD90" s="117"/>
      <c r="BE90" s="117"/>
      <c r="BF90" s="117"/>
      <c r="BG90" s="117"/>
      <c r="BH90" s="117"/>
      <c r="BI90" s="117"/>
      <c r="BJ90">
        <v>0</v>
      </c>
      <c r="BK90">
        <v>18.186</v>
      </c>
      <c r="BL90" t="s">
        <v>184</v>
      </c>
      <c r="BM90" t="s">
        <v>278</v>
      </c>
      <c r="BN90" t="s">
        <v>111</v>
      </c>
      <c r="BO90">
        <v>7.0000000000000007E-2</v>
      </c>
      <c r="BP90">
        <v>0.1</v>
      </c>
      <c r="BQ90" t="s">
        <v>129</v>
      </c>
      <c r="BR90">
        <v>5</v>
      </c>
      <c r="BS90" t="s">
        <v>111</v>
      </c>
      <c r="BT90">
        <v>4.9000000000000002E-2</v>
      </c>
      <c r="BU90">
        <v>6.7000000000000004E-2</v>
      </c>
      <c r="BV90" t="s">
        <v>129</v>
      </c>
      <c r="BW90">
        <v>5</v>
      </c>
      <c r="BX90" t="s">
        <v>279</v>
      </c>
      <c r="BY90">
        <v>4.9000000000000002E-2</v>
      </c>
      <c r="BZ90">
        <v>6.7000000000000004E-2</v>
      </c>
      <c r="CA90">
        <v>0.03</v>
      </c>
      <c r="CB90">
        <v>1.8000000000000002E-2</v>
      </c>
      <c r="CC90">
        <v>4</v>
      </c>
      <c r="CF90" t="s">
        <v>280</v>
      </c>
      <c r="CG90" t="s">
        <v>3095</v>
      </c>
    </row>
    <row r="91" spans="1:85" ht="14.5">
      <c r="A91">
        <v>19</v>
      </c>
      <c r="B91" t="s">
        <v>266</v>
      </c>
      <c r="C91">
        <v>2017</v>
      </c>
      <c r="D91" t="s">
        <v>267</v>
      </c>
      <c r="E91">
        <v>44705</v>
      </c>
      <c r="F91" t="s">
        <v>90</v>
      </c>
      <c r="G91" t="s">
        <v>483</v>
      </c>
      <c r="I91" t="s">
        <v>487</v>
      </c>
      <c r="J91" t="s">
        <v>488</v>
      </c>
      <c r="K91" s="117" t="s">
        <v>97</v>
      </c>
      <c r="L91" s="117" t="s">
        <v>137</v>
      </c>
      <c r="M91" s="117" t="s">
        <v>138</v>
      </c>
      <c r="N91" s="117" t="s">
        <v>270</v>
      </c>
      <c r="O91" s="117" t="s">
        <v>90</v>
      </c>
      <c r="P91" s="117" t="s">
        <v>97</v>
      </c>
      <c r="Q91" s="117" t="s">
        <v>271</v>
      </c>
      <c r="R91" s="117"/>
      <c r="S91" s="117" t="s">
        <v>90</v>
      </c>
      <c r="T91" s="117" t="s">
        <v>94</v>
      </c>
      <c r="U91" s="117" t="s">
        <v>191</v>
      </c>
      <c r="V91" s="117" t="s">
        <v>99</v>
      </c>
      <c r="W91" s="117">
        <v>1</v>
      </c>
      <c r="X91" s="117" t="s">
        <v>272</v>
      </c>
      <c r="Y91" s="117" t="s">
        <v>273</v>
      </c>
      <c r="Z91" s="117" t="s">
        <v>102</v>
      </c>
      <c r="AA91" s="117" t="s">
        <v>274</v>
      </c>
      <c r="AB91" s="117" t="s">
        <v>256</v>
      </c>
      <c r="AC91" s="117" t="s">
        <v>20</v>
      </c>
      <c r="AD91" s="117" t="s">
        <v>275</v>
      </c>
      <c r="AE91" s="117" t="s">
        <v>276</v>
      </c>
      <c r="AF91" s="117" t="s">
        <v>148</v>
      </c>
      <c r="AG91" s="117">
        <v>1</v>
      </c>
      <c r="AH91" s="117" t="s">
        <v>160</v>
      </c>
      <c r="AI91" s="117" t="s">
        <v>155</v>
      </c>
      <c r="AJ91" s="117" t="s">
        <v>110</v>
      </c>
      <c r="AK91" s="117">
        <v>2</v>
      </c>
      <c r="AL91" s="117" t="s">
        <v>151</v>
      </c>
      <c r="AM91" s="117" t="s">
        <v>94</v>
      </c>
      <c r="AN91" s="117" t="s">
        <v>94</v>
      </c>
      <c r="AO91" s="117" t="s">
        <v>152</v>
      </c>
      <c r="AP91" s="117">
        <v>2</v>
      </c>
      <c r="AQ91" s="117" t="s">
        <v>155</v>
      </c>
      <c r="AR91" s="117" t="s">
        <v>119</v>
      </c>
      <c r="AS91" s="117" t="s">
        <v>114</v>
      </c>
      <c r="AT91" s="117" t="s">
        <v>120</v>
      </c>
      <c r="AU91" s="117" t="s">
        <v>116</v>
      </c>
      <c r="AV91" s="117" t="s">
        <v>277</v>
      </c>
      <c r="AW91" s="117">
        <v>2</v>
      </c>
      <c r="AX91" s="117"/>
      <c r="AY91" s="117"/>
      <c r="AZ91" s="117"/>
      <c r="BA91" s="117"/>
      <c r="BB91" s="117"/>
      <c r="BC91" s="117"/>
      <c r="BD91" s="117"/>
      <c r="BE91" s="117"/>
      <c r="BF91" s="117"/>
      <c r="BG91" s="117"/>
      <c r="BH91" s="117"/>
      <c r="BI91" s="117"/>
      <c r="BJ91">
        <v>0</v>
      </c>
      <c r="BK91">
        <v>18.204000000000001</v>
      </c>
      <c r="BL91" t="s">
        <v>184</v>
      </c>
      <c r="BM91" t="s">
        <v>278</v>
      </c>
      <c r="BN91" t="s">
        <v>111</v>
      </c>
      <c r="BO91">
        <v>0.01</v>
      </c>
      <c r="BP91">
        <v>1.7000000000000001E-2</v>
      </c>
      <c r="BQ91" t="s">
        <v>129</v>
      </c>
      <c r="BR91">
        <v>5</v>
      </c>
      <c r="BS91" t="s">
        <v>111</v>
      </c>
      <c r="BT91">
        <v>1.6E-2</v>
      </c>
      <c r="BU91">
        <v>0.02</v>
      </c>
      <c r="BV91" t="s">
        <v>129</v>
      </c>
      <c r="BW91">
        <v>5</v>
      </c>
      <c r="BX91" t="s">
        <v>279</v>
      </c>
      <c r="BY91">
        <v>1.6E-2</v>
      </c>
      <c r="BZ91">
        <v>0.02</v>
      </c>
      <c r="CA91">
        <v>7.000000000000001E-3</v>
      </c>
      <c r="CB91">
        <v>4.0000000000000001E-3</v>
      </c>
      <c r="CC91">
        <v>4</v>
      </c>
      <c r="CF91" t="s">
        <v>280</v>
      </c>
      <c r="CG91" t="s">
        <v>3095</v>
      </c>
    </row>
    <row r="92" spans="1:85" ht="14.5">
      <c r="A92">
        <v>19</v>
      </c>
      <c r="B92" t="s">
        <v>266</v>
      </c>
      <c r="C92">
        <v>2017</v>
      </c>
      <c r="D92" t="s">
        <v>267</v>
      </c>
      <c r="E92">
        <v>44705</v>
      </c>
      <c r="F92" t="s">
        <v>90</v>
      </c>
      <c r="G92" t="s">
        <v>483</v>
      </c>
      <c r="I92" t="s">
        <v>487</v>
      </c>
      <c r="J92" t="s">
        <v>488</v>
      </c>
      <c r="K92" s="117" t="s">
        <v>97</v>
      </c>
      <c r="L92" s="117" t="s">
        <v>137</v>
      </c>
      <c r="M92" s="117" t="s">
        <v>138</v>
      </c>
      <c r="N92" s="117" t="s">
        <v>270</v>
      </c>
      <c r="O92" s="117" t="s">
        <v>90</v>
      </c>
      <c r="P92" s="117" t="s">
        <v>97</v>
      </c>
      <c r="Q92" s="117" t="s">
        <v>271</v>
      </c>
      <c r="R92" s="117"/>
      <c r="S92" s="117" t="s">
        <v>90</v>
      </c>
      <c r="T92" s="117" t="s">
        <v>94</v>
      </c>
      <c r="U92" s="117" t="s">
        <v>191</v>
      </c>
      <c r="V92" s="117" t="s">
        <v>99</v>
      </c>
      <c r="W92" s="117">
        <v>1</v>
      </c>
      <c r="X92" s="117" t="s">
        <v>272</v>
      </c>
      <c r="Y92" s="117" t="s">
        <v>273</v>
      </c>
      <c r="Z92" s="117" t="s">
        <v>102</v>
      </c>
      <c r="AA92" s="117" t="s">
        <v>274</v>
      </c>
      <c r="AB92" s="117" t="s">
        <v>256</v>
      </c>
      <c r="AC92" s="117" t="s">
        <v>20</v>
      </c>
      <c r="AD92" s="117" t="s">
        <v>275</v>
      </c>
      <c r="AE92" s="117" t="s">
        <v>276</v>
      </c>
      <c r="AF92" s="117" t="s">
        <v>148</v>
      </c>
      <c r="AG92" s="117">
        <v>1</v>
      </c>
      <c r="AH92" s="117" t="s">
        <v>160</v>
      </c>
      <c r="AI92" s="117" t="s">
        <v>155</v>
      </c>
      <c r="AJ92" s="117" t="s">
        <v>110</v>
      </c>
      <c r="AK92" s="117">
        <v>2</v>
      </c>
      <c r="AL92" s="117" t="s">
        <v>151</v>
      </c>
      <c r="AM92" s="117" t="s">
        <v>94</v>
      </c>
      <c r="AN92" s="117" t="s">
        <v>94</v>
      </c>
      <c r="AO92" s="117" t="s">
        <v>152</v>
      </c>
      <c r="AP92" s="117">
        <v>2</v>
      </c>
      <c r="AQ92" s="117" t="s">
        <v>155</v>
      </c>
      <c r="AR92" s="117" t="s">
        <v>119</v>
      </c>
      <c r="AS92" s="117" t="s">
        <v>114</v>
      </c>
      <c r="AT92" s="117" t="s">
        <v>120</v>
      </c>
      <c r="AU92" s="117" t="s">
        <v>116</v>
      </c>
      <c r="AV92" s="117" t="s">
        <v>277</v>
      </c>
      <c r="AW92" s="117">
        <v>2</v>
      </c>
      <c r="AX92" s="117"/>
      <c r="AY92" s="117"/>
      <c r="AZ92" s="117"/>
      <c r="BA92" s="117"/>
      <c r="BB92" s="117"/>
      <c r="BC92" s="117"/>
      <c r="BD92" s="117"/>
      <c r="BE92" s="117"/>
      <c r="BF92" s="117"/>
      <c r="BG92" s="117"/>
      <c r="BH92" s="117"/>
      <c r="BI92" s="117"/>
      <c r="BJ92">
        <v>3.1219999999999999</v>
      </c>
      <c r="BK92">
        <v>21.326000000000001</v>
      </c>
      <c r="BL92" t="s">
        <v>184</v>
      </c>
      <c r="BM92" t="s">
        <v>278</v>
      </c>
      <c r="BN92" t="s">
        <v>111</v>
      </c>
      <c r="BO92">
        <v>0.218</v>
      </c>
      <c r="BP92">
        <v>0.313</v>
      </c>
      <c r="BQ92" t="s">
        <v>129</v>
      </c>
      <c r="BR92">
        <v>5</v>
      </c>
      <c r="BS92" t="s">
        <v>111</v>
      </c>
      <c r="BT92">
        <v>0.13200000000000001</v>
      </c>
      <c r="BU92">
        <v>0.16300000000000001</v>
      </c>
      <c r="BV92" t="s">
        <v>129</v>
      </c>
      <c r="BW92">
        <v>5</v>
      </c>
      <c r="BX92" t="s">
        <v>279</v>
      </c>
      <c r="BY92">
        <v>0.13200000000000001</v>
      </c>
      <c r="BZ92">
        <v>0.16300000000000001</v>
      </c>
      <c r="CA92">
        <v>9.5000000000000001E-2</v>
      </c>
      <c r="CB92">
        <v>3.1E-2</v>
      </c>
      <c r="CC92">
        <v>4</v>
      </c>
      <c r="CF92" t="s">
        <v>280</v>
      </c>
      <c r="CG92" t="s">
        <v>3095</v>
      </c>
    </row>
    <row r="93" spans="1:85" ht="14.5">
      <c r="A93">
        <v>19</v>
      </c>
      <c r="B93" t="s">
        <v>266</v>
      </c>
      <c r="C93">
        <v>2017</v>
      </c>
      <c r="D93" t="s">
        <v>267</v>
      </c>
      <c r="E93">
        <v>44705</v>
      </c>
      <c r="F93" t="s">
        <v>90</v>
      </c>
      <c r="G93" t="s">
        <v>483</v>
      </c>
      <c r="I93" t="s">
        <v>487</v>
      </c>
      <c r="J93" t="s">
        <v>488</v>
      </c>
      <c r="K93" s="117" t="s">
        <v>97</v>
      </c>
      <c r="L93" s="117" t="s">
        <v>137</v>
      </c>
      <c r="M93" s="117" t="s">
        <v>138</v>
      </c>
      <c r="N93" s="117" t="s">
        <v>270</v>
      </c>
      <c r="O93" s="117" t="s">
        <v>90</v>
      </c>
      <c r="P93" s="117" t="s">
        <v>97</v>
      </c>
      <c r="Q93" s="117" t="s">
        <v>271</v>
      </c>
      <c r="R93" s="117"/>
      <c r="S93" s="117" t="s">
        <v>90</v>
      </c>
      <c r="T93" s="117" t="s">
        <v>94</v>
      </c>
      <c r="U93" s="117" t="s">
        <v>191</v>
      </c>
      <c r="V93" s="117" t="s">
        <v>99</v>
      </c>
      <c r="W93" s="117">
        <v>1</v>
      </c>
      <c r="X93" s="117" t="s">
        <v>272</v>
      </c>
      <c r="Y93" s="117" t="s">
        <v>273</v>
      </c>
      <c r="Z93" s="117" t="s">
        <v>102</v>
      </c>
      <c r="AA93" s="117" t="s">
        <v>274</v>
      </c>
      <c r="AB93" s="117" t="s">
        <v>256</v>
      </c>
      <c r="AC93" s="117" t="s">
        <v>20</v>
      </c>
      <c r="AD93" s="117" t="s">
        <v>275</v>
      </c>
      <c r="AE93" s="117" t="s">
        <v>276</v>
      </c>
      <c r="AF93" s="117" t="s">
        <v>148</v>
      </c>
      <c r="AG93" s="117">
        <v>1</v>
      </c>
      <c r="AH93" s="117" t="s">
        <v>160</v>
      </c>
      <c r="AI93" s="117" t="s">
        <v>155</v>
      </c>
      <c r="AJ93" s="117" t="s">
        <v>110</v>
      </c>
      <c r="AK93" s="117">
        <v>2</v>
      </c>
      <c r="AL93" s="117" t="s">
        <v>151</v>
      </c>
      <c r="AM93" s="117" t="s">
        <v>94</v>
      </c>
      <c r="AN93" s="117" t="s">
        <v>94</v>
      </c>
      <c r="AO93" s="117" t="s">
        <v>152</v>
      </c>
      <c r="AP93" s="117">
        <v>2</v>
      </c>
      <c r="AQ93" s="117" t="s">
        <v>155</v>
      </c>
      <c r="AR93" s="117" t="s">
        <v>119</v>
      </c>
      <c r="AS93" s="117" t="s">
        <v>114</v>
      </c>
      <c r="AT93" s="117" t="s">
        <v>120</v>
      </c>
      <c r="AU93" s="117" t="s">
        <v>116</v>
      </c>
      <c r="AV93" s="117" t="s">
        <v>277</v>
      </c>
      <c r="AW93" s="117">
        <v>2</v>
      </c>
      <c r="AX93" s="117"/>
      <c r="AY93" s="117"/>
      <c r="AZ93" s="117"/>
      <c r="BA93" s="117"/>
      <c r="BB93" s="117"/>
      <c r="BC93" s="117"/>
      <c r="BD93" s="117"/>
      <c r="BE93" s="117"/>
      <c r="BF93" s="117"/>
      <c r="BG93" s="117"/>
      <c r="BH93" s="117"/>
      <c r="BI93" s="117"/>
      <c r="BJ93">
        <v>4.5739999999999998</v>
      </c>
      <c r="BK93">
        <v>22.777999999999999</v>
      </c>
      <c r="BL93" t="s">
        <v>184</v>
      </c>
      <c r="BM93" t="s">
        <v>278</v>
      </c>
      <c r="BN93" t="s">
        <v>111</v>
      </c>
      <c r="BO93">
        <v>0.27400000000000002</v>
      </c>
      <c r="BP93">
        <v>0.30299999999999999</v>
      </c>
      <c r="BQ93" t="s">
        <v>129</v>
      </c>
      <c r="BR93">
        <v>4</v>
      </c>
      <c r="BS93" t="s">
        <v>111</v>
      </c>
      <c r="BT93">
        <v>1.0999999999999999E-2</v>
      </c>
      <c r="BU93">
        <v>1.2E-2</v>
      </c>
      <c r="BV93" t="s">
        <v>129</v>
      </c>
      <c r="BW93">
        <v>4</v>
      </c>
      <c r="BX93" t="s">
        <v>279</v>
      </c>
      <c r="BY93">
        <v>1.0999999999999999E-2</v>
      </c>
      <c r="BZ93">
        <v>1.2E-2</v>
      </c>
      <c r="CA93">
        <v>2.899999999999997E-2</v>
      </c>
      <c r="CB93">
        <v>1.0000000000000009E-3</v>
      </c>
      <c r="CC93">
        <v>4</v>
      </c>
      <c r="CF93" t="s">
        <v>280</v>
      </c>
      <c r="CG93" t="s">
        <v>3095</v>
      </c>
    </row>
    <row r="94" spans="1:85" ht="14.5">
      <c r="A94" s="87">
        <v>3</v>
      </c>
      <c r="B94" s="87" t="s">
        <v>133</v>
      </c>
      <c r="C94" s="87">
        <v>2009</v>
      </c>
      <c r="D94" s="87" t="s">
        <v>134</v>
      </c>
      <c r="E94" s="88">
        <v>44706</v>
      </c>
      <c r="F94" t="s">
        <v>90</v>
      </c>
      <c r="G94" s="87" t="s">
        <v>135</v>
      </c>
      <c r="H94" s="87">
        <v>1</v>
      </c>
      <c r="I94" s="87"/>
      <c r="J94" s="87" t="s">
        <v>136</v>
      </c>
      <c r="K94" s="87" t="s">
        <v>97</v>
      </c>
      <c r="L94" s="87" t="s">
        <v>137</v>
      </c>
      <c r="M94" s="87" t="s">
        <v>138</v>
      </c>
      <c r="N94" s="87" t="s">
        <v>139</v>
      </c>
      <c r="O94" s="87" t="s">
        <v>90</v>
      </c>
      <c r="P94" s="87" t="s">
        <v>97</v>
      </c>
      <c r="Q94" s="87" t="s">
        <v>140</v>
      </c>
      <c r="R94" s="87"/>
      <c r="S94" s="87" t="s">
        <v>90</v>
      </c>
      <c r="T94" s="117" t="s">
        <v>114</v>
      </c>
      <c r="U94" s="87" t="s">
        <v>141</v>
      </c>
      <c r="V94" s="87" t="s">
        <v>99</v>
      </c>
      <c r="W94" s="87">
        <v>1</v>
      </c>
      <c r="X94" s="87" t="s">
        <v>142</v>
      </c>
      <c r="Y94" s="87" t="s">
        <v>143</v>
      </c>
      <c r="Z94" s="87" t="s">
        <v>102</v>
      </c>
      <c r="AA94" s="87" t="s">
        <v>144</v>
      </c>
      <c r="AB94" s="87" t="s">
        <v>145</v>
      </c>
      <c r="AC94" s="87" t="s">
        <v>20</v>
      </c>
      <c r="AD94" s="87" t="s">
        <v>146</v>
      </c>
      <c r="AE94" s="87" t="s">
        <v>147</v>
      </c>
      <c r="AF94" s="87" t="s">
        <v>148</v>
      </c>
      <c r="AG94" s="87">
        <v>2</v>
      </c>
      <c r="AH94" s="87" t="s">
        <v>90</v>
      </c>
      <c r="AI94" s="87" t="s">
        <v>149</v>
      </c>
      <c r="AJ94" s="87" t="s">
        <v>150</v>
      </c>
      <c r="AK94" s="87">
        <v>2</v>
      </c>
      <c r="AL94" s="87" t="s">
        <v>151</v>
      </c>
      <c r="AM94" s="87" t="s">
        <v>94</v>
      </c>
      <c r="AN94" s="87" t="s">
        <v>94</v>
      </c>
      <c r="AO94" s="87" t="s">
        <v>152</v>
      </c>
      <c r="AP94" s="87">
        <v>2</v>
      </c>
      <c r="AQ94" s="87" t="s">
        <v>153</v>
      </c>
      <c r="AR94" s="87" t="s">
        <v>123</v>
      </c>
      <c r="AS94" s="87" t="s">
        <v>114</v>
      </c>
      <c r="AT94" s="87" t="s">
        <v>124</v>
      </c>
      <c r="AU94" s="87" t="s">
        <v>116</v>
      </c>
      <c r="AV94" s="87" t="s">
        <v>154</v>
      </c>
      <c r="AW94" s="87">
        <v>3</v>
      </c>
      <c r="AX94" s="87" t="s">
        <v>155</v>
      </c>
      <c r="AY94" s="87" t="s">
        <v>119</v>
      </c>
      <c r="AZ94" s="87" t="s">
        <v>120</v>
      </c>
      <c r="BA94" s="87" t="s">
        <v>116</v>
      </c>
      <c r="BB94" s="87" t="s">
        <v>156</v>
      </c>
      <c r="BC94" s="87">
        <v>2</v>
      </c>
      <c r="BD94" s="87"/>
      <c r="BE94" s="87"/>
      <c r="BF94" s="87"/>
      <c r="BG94" s="87"/>
      <c r="BH94" s="87"/>
      <c r="BI94" s="87"/>
      <c r="BJ94" s="87">
        <v>0</v>
      </c>
      <c r="BK94" s="87" t="s">
        <v>489</v>
      </c>
      <c r="BL94" s="87" t="s">
        <v>184</v>
      </c>
      <c r="BM94" s="87" t="s">
        <v>159</v>
      </c>
      <c r="BN94" s="87" t="s">
        <v>160</v>
      </c>
      <c r="BO94" s="87">
        <v>37.610192240000003</v>
      </c>
      <c r="BP94" s="87">
        <v>43.577043070000002</v>
      </c>
      <c r="BQ94" s="87" t="s">
        <v>161</v>
      </c>
      <c r="BR94" s="87">
        <v>5</v>
      </c>
      <c r="BS94" s="87" t="s">
        <v>160</v>
      </c>
      <c r="BT94" s="87">
        <v>46.321670279999999</v>
      </c>
      <c r="BU94" s="87">
        <v>53.859021839999997</v>
      </c>
      <c r="BV94" s="87" t="s">
        <v>161</v>
      </c>
      <c r="BW94" s="87">
        <v>5</v>
      </c>
      <c r="BX94" s="87" t="s">
        <v>162</v>
      </c>
      <c r="BY94" s="87">
        <v>46.321670279999999</v>
      </c>
      <c r="BZ94" s="87">
        <v>53.859021839999997</v>
      </c>
      <c r="CA94">
        <v>5.9668508299999985</v>
      </c>
      <c r="CB94">
        <v>7.5373515599999976</v>
      </c>
      <c r="CC94" s="87" t="s">
        <v>163</v>
      </c>
      <c r="CD94" s="87"/>
      <c r="CE94" s="87"/>
      <c r="CF94" s="87" t="s">
        <v>3198</v>
      </c>
      <c r="CG94" t="s">
        <v>3095</v>
      </c>
    </row>
    <row r="95" spans="1:85" ht="14.5">
      <c r="A95" s="87">
        <v>3</v>
      </c>
      <c r="B95" s="87" t="s">
        <v>133</v>
      </c>
      <c r="C95" s="87">
        <v>2009</v>
      </c>
      <c r="D95" s="87" t="s">
        <v>134</v>
      </c>
      <c r="E95" s="88">
        <v>44706</v>
      </c>
      <c r="F95" t="s">
        <v>90</v>
      </c>
      <c r="G95" s="87" t="s">
        <v>135</v>
      </c>
      <c r="H95" s="87">
        <v>1</v>
      </c>
      <c r="I95" s="87"/>
      <c r="J95" s="87" t="s">
        <v>136</v>
      </c>
      <c r="K95" s="87" t="s">
        <v>97</v>
      </c>
      <c r="L95" s="87" t="s">
        <v>137</v>
      </c>
      <c r="M95" s="87" t="s">
        <v>138</v>
      </c>
      <c r="N95" s="87" t="s">
        <v>139</v>
      </c>
      <c r="O95" s="87" t="s">
        <v>90</v>
      </c>
      <c r="P95" s="87" t="s">
        <v>97</v>
      </c>
      <c r="Q95" s="87" t="s">
        <v>140</v>
      </c>
      <c r="R95" s="87"/>
      <c r="S95" s="87" t="s">
        <v>90</v>
      </c>
      <c r="T95" s="117" t="s">
        <v>114</v>
      </c>
      <c r="U95" s="87" t="s">
        <v>141</v>
      </c>
      <c r="V95" s="87" t="s">
        <v>99</v>
      </c>
      <c r="W95" s="87">
        <v>1</v>
      </c>
      <c r="X95" s="87" t="s">
        <v>142</v>
      </c>
      <c r="Y95" s="87" t="s">
        <v>143</v>
      </c>
      <c r="Z95" s="87" t="s">
        <v>102</v>
      </c>
      <c r="AA95" s="87" t="s">
        <v>144</v>
      </c>
      <c r="AB95" s="87" t="s">
        <v>145</v>
      </c>
      <c r="AC95" s="87" t="s">
        <v>20</v>
      </c>
      <c r="AD95" s="87" t="s">
        <v>146</v>
      </c>
      <c r="AE95" s="87" t="s">
        <v>147</v>
      </c>
      <c r="AF95" s="87" t="s">
        <v>148</v>
      </c>
      <c r="AG95" s="87">
        <v>2</v>
      </c>
      <c r="AH95" s="87" t="s">
        <v>90</v>
      </c>
      <c r="AI95" s="87" t="s">
        <v>149</v>
      </c>
      <c r="AJ95" s="87" t="s">
        <v>150</v>
      </c>
      <c r="AK95" s="87">
        <v>2</v>
      </c>
      <c r="AL95" s="87" t="s">
        <v>151</v>
      </c>
      <c r="AM95" s="87" t="s">
        <v>94</v>
      </c>
      <c r="AN95" s="87" t="s">
        <v>94</v>
      </c>
      <c r="AO95" s="87" t="s">
        <v>152</v>
      </c>
      <c r="AP95" s="87">
        <v>2</v>
      </c>
      <c r="AQ95" s="87" t="s">
        <v>153</v>
      </c>
      <c r="AR95" s="87" t="s">
        <v>123</v>
      </c>
      <c r="AS95" s="87" t="s">
        <v>114</v>
      </c>
      <c r="AT95" s="87" t="s">
        <v>124</v>
      </c>
      <c r="AU95" s="87" t="s">
        <v>116</v>
      </c>
      <c r="AV95" s="87" t="s">
        <v>154</v>
      </c>
      <c r="AW95" s="87">
        <v>3</v>
      </c>
      <c r="AX95" s="87" t="s">
        <v>155</v>
      </c>
      <c r="AY95" s="87" t="s">
        <v>119</v>
      </c>
      <c r="AZ95" s="87" t="s">
        <v>120</v>
      </c>
      <c r="BA95" s="87" t="s">
        <v>116</v>
      </c>
      <c r="BB95" s="87" t="s">
        <v>156</v>
      </c>
      <c r="BC95" s="87">
        <v>2</v>
      </c>
      <c r="BD95" s="87"/>
      <c r="BE95" s="87"/>
      <c r="BF95" s="87"/>
      <c r="BG95" s="87"/>
      <c r="BH95" s="87"/>
      <c r="BI95" s="87"/>
      <c r="BJ95" s="87">
        <v>0</v>
      </c>
      <c r="BK95" s="87" t="s">
        <v>490</v>
      </c>
      <c r="BL95" s="87" t="s">
        <v>184</v>
      </c>
      <c r="BM95" s="87" t="s">
        <v>159</v>
      </c>
      <c r="BN95" s="87" t="s">
        <v>160</v>
      </c>
      <c r="BO95" s="87">
        <v>56.117259529999998</v>
      </c>
      <c r="BP95" s="87">
        <v>62.74709378</v>
      </c>
      <c r="BQ95" s="87" t="s">
        <v>161</v>
      </c>
      <c r="BR95" s="87">
        <v>5</v>
      </c>
      <c r="BS95" s="87" t="s">
        <v>160</v>
      </c>
      <c r="BT95" s="87">
        <v>61.346571320000002</v>
      </c>
      <c r="BU95" s="87">
        <v>67.00102158</v>
      </c>
      <c r="BV95" s="87" t="s">
        <v>161</v>
      </c>
      <c r="BW95" s="87">
        <v>5</v>
      </c>
      <c r="BX95" s="87" t="s">
        <v>162</v>
      </c>
      <c r="BY95" s="87">
        <v>61.346571320000002</v>
      </c>
      <c r="BZ95" s="87">
        <v>67.00102158</v>
      </c>
      <c r="CA95">
        <v>6.6298342500000018</v>
      </c>
      <c r="CB95">
        <v>5.6544502599999973</v>
      </c>
      <c r="CC95" s="87" t="s">
        <v>163</v>
      </c>
      <c r="CD95" s="87"/>
      <c r="CE95" s="87"/>
      <c r="CF95" s="87" t="s">
        <v>3198</v>
      </c>
      <c r="CG95" t="s">
        <v>3095</v>
      </c>
    </row>
    <row r="96" spans="1:85" ht="14.5">
      <c r="A96" s="87">
        <v>3</v>
      </c>
      <c r="B96" s="87" t="s">
        <v>133</v>
      </c>
      <c r="C96" s="87">
        <v>2009</v>
      </c>
      <c r="D96" s="87" t="s">
        <v>134</v>
      </c>
      <c r="E96" s="88">
        <v>44706</v>
      </c>
      <c r="F96" t="s">
        <v>90</v>
      </c>
      <c r="G96" s="87" t="s">
        <v>135</v>
      </c>
      <c r="H96" s="87">
        <v>1</v>
      </c>
      <c r="I96" s="87"/>
      <c r="J96" s="87" t="s">
        <v>136</v>
      </c>
      <c r="K96" s="87" t="s">
        <v>97</v>
      </c>
      <c r="L96" s="87" t="s">
        <v>137</v>
      </c>
      <c r="M96" s="87" t="s">
        <v>138</v>
      </c>
      <c r="N96" s="87" t="s">
        <v>139</v>
      </c>
      <c r="O96" s="87" t="s">
        <v>90</v>
      </c>
      <c r="P96" s="87" t="s">
        <v>97</v>
      </c>
      <c r="Q96" s="87" t="s">
        <v>140</v>
      </c>
      <c r="R96" s="87"/>
      <c r="S96" s="87" t="s">
        <v>90</v>
      </c>
      <c r="T96" s="117" t="s">
        <v>114</v>
      </c>
      <c r="U96" s="87" t="s">
        <v>141</v>
      </c>
      <c r="V96" s="87" t="s">
        <v>99</v>
      </c>
      <c r="W96" s="87">
        <v>1</v>
      </c>
      <c r="X96" s="87" t="s">
        <v>142</v>
      </c>
      <c r="Y96" s="87" t="s">
        <v>143</v>
      </c>
      <c r="Z96" s="87" t="s">
        <v>102</v>
      </c>
      <c r="AA96" s="87" t="s">
        <v>144</v>
      </c>
      <c r="AB96" s="87" t="s">
        <v>145</v>
      </c>
      <c r="AC96" s="87" t="s">
        <v>20</v>
      </c>
      <c r="AD96" s="87" t="s">
        <v>146</v>
      </c>
      <c r="AE96" s="87" t="s">
        <v>147</v>
      </c>
      <c r="AF96" s="87" t="s">
        <v>148</v>
      </c>
      <c r="AG96" s="87">
        <v>2</v>
      </c>
      <c r="AH96" s="87" t="s">
        <v>90</v>
      </c>
      <c r="AI96" s="87" t="s">
        <v>149</v>
      </c>
      <c r="AJ96" s="87" t="s">
        <v>150</v>
      </c>
      <c r="AK96" s="87">
        <v>2</v>
      </c>
      <c r="AL96" s="87" t="s">
        <v>151</v>
      </c>
      <c r="AM96" s="87" t="s">
        <v>94</v>
      </c>
      <c r="AN96" s="87" t="s">
        <v>94</v>
      </c>
      <c r="AO96" s="87" t="s">
        <v>152</v>
      </c>
      <c r="AP96" s="87">
        <v>2</v>
      </c>
      <c r="AQ96" s="87" t="s">
        <v>153</v>
      </c>
      <c r="AR96" s="87" t="s">
        <v>123</v>
      </c>
      <c r="AS96" s="87" t="s">
        <v>114</v>
      </c>
      <c r="AT96" s="87" t="s">
        <v>124</v>
      </c>
      <c r="AU96" s="87" t="s">
        <v>116</v>
      </c>
      <c r="AV96" s="87" t="s">
        <v>154</v>
      </c>
      <c r="AW96" s="87">
        <v>3</v>
      </c>
      <c r="AX96" s="87" t="s">
        <v>155</v>
      </c>
      <c r="AY96" s="87" t="s">
        <v>119</v>
      </c>
      <c r="AZ96" s="87" t="s">
        <v>120</v>
      </c>
      <c r="BA96" s="87" t="s">
        <v>116</v>
      </c>
      <c r="BB96" s="87" t="s">
        <v>156</v>
      </c>
      <c r="BC96" s="87">
        <v>2</v>
      </c>
      <c r="BD96" s="87"/>
      <c r="BE96" s="87"/>
      <c r="BF96" s="87"/>
      <c r="BG96" s="87"/>
      <c r="BH96" s="87"/>
      <c r="BI96" s="87"/>
      <c r="BJ96" s="87">
        <v>0</v>
      </c>
      <c r="BK96" s="87" t="s">
        <v>491</v>
      </c>
      <c r="BL96" s="87" t="s">
        <v>184</v>
      </c>
      <c r="BM96" s="87" t="s">
        <v>159</v>
      </c>
      <c r="BN96" s="87" t="s">
        <v>160</v>
      </c>
      <c r="BO96" s="87">
        <v>80.005107899999999</v>
      </c>
      <c r="BP96" s="87">
        <v>88.80091942</v>
      </c>
      <c r="BQ96" s="87" t="s">
        <v>161</v>
      </c>
      <c r="BR96" s="87">
        <v>5</v>
      </c>
      <c r="BS96" s="87" t="s">
        <v>160</v>
      </c>
      <c r="BT96" s="87">
        <v>46.321670279999999</v>
      </c>
      <c r="BU96" s="87">
        <v>53.859021839999997</v>
      </c>
      <c r="BV96" s="87" t="s">
        <v>161</v>
      </c>
      <c r="BW96" s="87">
        <v>5</v>
      </c>
      <c r="BX96" s="87" t="s">
        <v>162</v>
      </c>
      <c r="BY96" s="87">
        <v>46.321670279999999</v>
      </c>
      <c r="BZ96" s="87">
        <v>53.859021839999997</v>
      </c>
      <c r="CA96">
        <v>8.7958115200000009</v>
      </c>
      <c r="CB96">
        <v>7.5373515599999976</v>
      </c>
      <c r="CC96" s="87" t="s">
        <v>163</v>
      </c>
      <c r="CD96" s="87"/>
      <c r="CE96" s="87"/>
      <c r="CF96" s="87" t="s">
        <v>3198</v>
      </c>
      <c r="CG96" t="s">
        <v>3095</v>
      </c>
    </row>
    <row r="97" spans="1:85" ht="14.5">
      <c r="A97" s="87">
        <v>3</v>
      </c>
      <c r="B97" s="87" t="s">
        <v>133</v>
      </c>
      <c r="C97" s="87">
        <v>2009</v>
      </c>
      <c r="D97" s="87" t="s">
        <v>134</v>
      </c>
      <c r="E97" s="88">
        <v>44706</v>
      </c>
      <c r="F97" t="s">
        <v>90</v>
      </c>
      <c r="G97" s="87" t="s">
        <v>135</v>
      </c>
      <c r="H97" s="87">
        <v>1</v>
      </c>
      <c r="I97" s="87"/>
      <c r="J97" s="87" t="s">
        <v>136</v>
      </c>
      <c r="K97" s="87" t="s">
        <v>97</v>
      </c>
      <c r="L97" s="87" t="s">
        <v>137</v>
      </c>
      <c r="M97" s="87" t="s">
        <v>138</v>
      </c>
      <c r="N97" s="87" t="s">
        <v>139</v>
      </c>
      <c r="O97" s="87" t="s">
        <v>90</v>
      </c>
      <c r="P97" s="87" t="s">
        <v>97</v>
      </c>
      <c r="Q97" s="87" t="s">
        <v>140</v>
      </c>
      <c r="R97" s="87"/>
      <c r="S97" s="87" t="s">
        <v>90</v>
      </c>
      <c r="T97" s="117" t="s">
        <v>114</v>
      </c>
      <c r="U97" s="87" t="s">
        <v>141</v>
      </c>
      <c r="V97" s="87" t="s">
        <v>99</v>
      </c>
      <c r="W97" s="87">
        <v>1</v>
      </c>
      <c r="X97" s="87" t="s">
        <v>142</v>
      </c>
      <c r="Y97" s="87" t="s">
        <v>143</v>
      </c>
      <c r="Z97" s="87" t="s">
        <v>102</v>
      </c>
      <c r="AA97" s="87" t="s">
        <v>144</v>
      </c>
      <c r="AB97" s="87" t="s">
        <v>145</v>
      </c>
      <c r="AC97" s="87" t="s">
        <v>20</v>
      </c>
      <c r="AD97" s="87" t="s">
        <v>146</v>
      </c>
      <c r="AE97" s="87" t="s">
        <v>147</v>
      </c>
      <c r="AF97" s="87" t="s">
        <v>148</v>
      </c>
      <c r="AG97" s="87">
        <v>2</v>
      </c>
      <c r="AH97" s="87" t="s">
        <v>90</v>
      </c>
      <c r="AI97" s="87" t="s">
        <v>149</v>
      </c>
      <c r="AJ97" s="87" t="s">
        <v>150</v>
      </c>
      <c r="AK97" s="87">
        <v>2</v>
      </c>
      <c r="AL97" s="87" t="s">
        <v>151</v>
      </c>
      <c r="AM97" s="87" t="s">
        <v>94</v>
      </c>
      <c r="AN97" s="87" t="s">
        <v>94</v>
      </c>
      <c r="AO97" s="87" t="s">
        <v>152</v>
      </c>
      <c r="AP97" s="87">
        <v>2</v>
      </c>
      <c r="AQ97" s="87" t="s">
        <v>153</v>
      </c>
      <c r="AR97" s="87" t="s">
        <v>123</v>
      </c>
      <c r="AS97" s="87" t="s">
        <v>114</v>
      </c>
      <c r="AT97" s="87" t="s">
        <v>124</v>
      </c>
      <c r="AU97" s="87" t="s">
        <v>116</v>
      </c>
      <c r="AV97" s="87" t="s">
        <v>154</v>
      </c>
      <c r="AW97" s="87">
        <v>3</v>
      </c>
      <c r="AX97" s="87" t="s">
        <v>155</v>
      </c>
      <c r="AY97" s="87" t="s">
        <v>119</v>
      </c>
      <c r="AZ97" s="87" t="s">
        <v>120</v>
      </c>
      <c r="BA97" s="87" t="s">
        <v>116</v>
      </c>
      <c r="BB97" s="87" t="s">
        <v>156</v>
      </c>
      <c r="BC97" s="87">
        <v>2</v>
      </c>
      <c r="BD97" s="87"/>
      <c r="BE97" s="87"/>
      <c r="BF97" s="87"/>
      <c r="BG97" s="87"/>
      <c r="BH97" s="87"/>
      <c r="BI97" s="87"/>
      <c r="BJ97" s="87">
        <v>0</v>
      </c>
      <c r="BK97" s="87" t="s">
        <v>492</v>
      </c>
      <c r="BL97" s="87" t="s">
        <v>184</v>
      </c>
      <c r="BM97" s="87" t="s">
        <v>159</v>
      </c>
      <c r="BN97" s="87" t="s">
        <v>160</v>
      </c>
      <c r="BO97" s="87">
        <v>42.257055289999997</v>
      </c>
      <c r="BP97" s="87">
        <v>47.283233299999999</v>
      </c>
      <c r="BQ97" s="87" t="s">
        <v>161</v>
      </c>
      <c r="BR97" s="87">
        <v>5</v>
      </c>
      <c r="BS97" s="87" t="s">
        <v>160</v>
      </c>
      <c r="BT97" s="87">
        <v>61.346571320000002</v>
      </c>
      <c r="BU97" s="87">
        <v>67.00102158</v>
      </c>
      <c r="BV97" s="87" t="s">
        <v>161</v>
      </c>
      <c r="BW97" s="87">
        <v>5</v>
      </c>
      <c r="BX97" s="87" t="s">
        <v>162</v>
      </c>
      <c r="BY97" s="87">
        <v>61.346571320000002</v>
      </c>
      <c r="BZ97" s="87">
        <v>67.00102158</v>
      </c>
      <c r="CA97">
        <v>5.0261780100000024</v>
      </c>
      <c r="CB97">
        <v>5.6544502599999973</v>
      </c>
      <c r="CC97" s="87" t="s">
        <v>163</v>
      </c>
      <c r="CD97" s="87"/>
      <c r="CE97" s="87"/>
      <c r="CF97" s="87" t="s">
        <v>3198</v>
      </c>
      <c r="CG97" t="s">
        <v>3095</v>
      </c>
    </row>
    <row r="98" spans="1:85" ht="14.5">
      <c r="A98" s="87">
        <v>3</v>
      </c>
      <c r="B98" s="87" t="s">
        <v>133</v>
      </c>
      <c r="C98" s="87">
        <v>2009</v>
      </c>
      <c r="D98" s="87" t="s">
        <v>134</v>
      </c>
      <c r="E98" s="88">
        <v>44706</v>
      </c>
      <c r="F98" t="s">
        <v>90</v>
      </c>
      <c r="G98" s="87" t="s">
        <v>135</v>
      </c>
      <c r="H98" s="87">
        <v>1</v>
      </c>
      <c r="I98" s="87"/>
      <c r="J98" s="87" t="s">
        <v>136</v>
      </c>
      <c r="K98" s="87" t="s">
        <v>97</v>
      </c>
      <c r="L98" s="87" t="s">
        <v>137</v>
      </c>
      <c r="M98" s="87" t="s">
        <v>138</v>
      </c>
      <c r="N98" s="87" t="s">
        <v>139</v>
      </c>
      <c r="O98" s="87" t="s">
        <v>90</v>
      </c>
      <c r="P98" s="87" t="s">
        <v>97</v>
      </c>
      <c r="Q98" s="87" t="s">
        <v>140</v>
      </c>
      <c r="R98" s="87"/>
      <c r="S98" s="87" t="s">
        <v>90</v>
      </c>
      <c r="T98" s="117" t="s">
        <v>114</v>
      </c>
      <c r="U98" s="87" t="s">
        <v>141</v>
      </c>
      <c r="V98" s="87" t="s">
        <v>99</v>
      </c>
      <c r="W98" s="87">
        <v>1</v>
      </c>
      <c r="X98" s="87" t="s">
        <v>142</v>
      </c>
      <c r="Y98" s="87" t="s">
        <v>143</v>
      </c>
      <c r="Z98" s="87" t="s">
        <v>102</v>
      </c>
      <c r="AA98" s="87" t="s">
        <v>144</v>
      </c>
      <c r="AB98" s="87" t="s">
        <v>145</v>
      </c>
      <c r="AC98" s="87" t="s">
        <v>20</v>
      </c>
      <c r="AD98" s="87" t="s">
        <v>146</v>
      </c>
      <c r="AE98" s="87" t="s">
        <v>147</v>
      </c>
      <c r="AF98" s="87" t="s">
        <v>148</v>
      </c>
      <c r="AG98" s="87">
        <v>2</v>
      </c>
      <c r="AH98" s="87" t="s">
        <v>90</v>
      </c>
      <c r="AI98" s="87" t="s">
        <v>149</v>
      </c>
      <c r="AJ98" s="87" t="s">
        <v>150</v>
      </c>
      <c r="AK98" s="87">
        <v>2</v>
      </c>
      <c r="AL98" s="87" t="s">
        <v>151</v>
      </c>
      <c r="AM98" s="87" t="s">
        <v>94</v>
      </c>
      <c r="AN98" s="87" t="s">
        <v>94</v>
      </c>
      <c r="AO98" s="87" t="s">
        <v>152</v>
      </c>
      <c r="AP98" s="87">
        <v>2</v>
      </c>
      <c r="AQ98" s="87" t="s">
        <v>153</v>
      </c>
      <c r="AR98" s="87" t="s">
        <v>123</v>
      </c>
      <c r="AS98" s="87" t="s">
        <v>114</v>
      </c>
      <c r="AT98" s="87" t="s">
        <v>124</v>
      </c>
      <c r="AU98" s="87" t="s">
        <v>116</v>
      </c>
      <c r="AV98" s="87" t="s">
        <v>154</v>
      </c>
      <c r="AW98" s="87">
        <v>3</v>
      </c>
      <c r="AX98" s="87" t="s">
        <v>155</v>
      </c>
      <c r="AY98" s="87" t="s">
        <v>119</v>
      </c>
      <c r="AZ98" s="87" t="s">
        <v>120</v>
      </c>
      <c r="BA98" s="87" t="s">
        <v>116</v>
      </c>
      <c r="BB98" s="87" t="s">
        <v>156</v>
      </c>
      <c r="BC98" s="87">
        <v>2</v>
      </c>
      <c r="BD98" s="87"/>
      <c r="BE98" s="87"/>
      <c r="BF98" s="87"/>
      <c r="BG98" s="87"/>
      <c r="BH98" s="87"/>
      <c r="BI98" s="87"/>
      <c r="BJ98" s="87">
        <v>0</v>
      </c>
      <c r="BK98" s="87" t="s">
        <v>493</v>
      </c>
      <c r="BL98" s="87" t="s">
        <v>184</v>
      </c>
      <c r="BM98" s="87" t="s">
        <v>159</v>
      </c>
      <c r="BN98" s="87" t="s">
        <v>160</v>
      </c>
      <c r="BO98" s="87">
        <v>54.127186819999999</v>
      </c>
      <c r="BP98" s="87">
        <v>63.551270590000001</v>
      </c>
      <c r="BQ98" s="87" t="s">
        <v>161</v>
      </c>
      <c r="BR98" s="87">
        <v>5</v>
      </c>
      <c r="BS98" s="87" t="s">
        <v>160</v>
      </c>
      <c r="BT98" s="87">
        <v>46.321670279999999</v>
      </c>
      <c r="BU98" s="87">
        <v>53.859021839999997</v>
      </c>
      <c r="BV98" s="87" t="s">
        <v>161</v>
      </c>
      <c r="BW98" s="87">
        <v>5</v>
      </c>
      <c r="BX98" s="87" t="s">
        <v>162</v>
      </c>
      <c r="BY98" s="87">
        <v>46.321670279999999</v>
      </c>
      <c r="BZ98" s="87">
        <v>53.859021839999997</v>
      </c>
      <c r="CA98">
        <v>9.4240837700000029</v>
      </c>
      <c r="CB98">
        <v>7.5373515599999976</v>
      </c>
      <c r="CC98" s="87" t="s">
        <v>163</v>
      </c>
      <c r="CD98" s="87"/>
      <c r="CE98" s="87"/>
      <c r="CF98" s="87" t="s">
        <v>3198</v>
      </c>
      <c r="CG98" t="s">
        <v>3095</v>
      </c>
    </row>
    <row r="99" spans="1:85" ht="14.5">
      <c r="A99" s="87">
        <v>3</v>
      </c>
      <c r="B99" s="87" t="s">
        <v>133</v>
      </c>
      <c r="C99" s="87">
        <v>2009</v>
      </c>
      <c r="D99" s="87" t="s">
        <v>134</v>
      </c>
      <c r="E99" s="88">
        <v>44706</v>
      </c>
      <c r="F99" t="s">
        <v>90</v>
      </c>
      <c r="G99" s="87" t="s">
        <v>135</v>
      </c>
      <c r="H99" s="87">
        <v>1</v>
      </c>
      <c r="I99" s="87"/>
      <c r="J99" s="87" t="s">
        <v>136</v>
      </c>
      <c r="K99" s="87" t="s">
        <v>97</v>
      </c>
      <c r="L99" s="87" t="s">
        <v>137</v>
      </c>
      <c r="M99" s="87" t="s">
        <v>138</v>
      </c>
      <c r="N99" s="87" t="s">
        <v>139</v>
      </c>
      <c r="O99" s="87" t="s">
        <v>90</v>
      </c>
      <c r="P99" s="87" t="s">
        <v>97</v>
      </c>
      <c r="Q99" s="87" t="s">
        <v>140</v>
      </c>
      <c r="R99" s="87"/>
      <c r="S99" s="87" t="s">
        <v>90</v>
      </c>
      <c r="T99" s="117" t="s">
        <v>114</v>
      </c>
      <c r="U99" s="87" t="s">
        <v>141</v>
      </c>
      <c r="V99" s="87" t="s">
        <v>99</v>
      </c>
      <c r="W99" s="87">
        <v>1</v>
      </c>
      <c r="X99" s="87" t="s">
        <v>142</v>
      </c>
      <c r="Y99" s="87" t="s">
        <v>143</v>
      </c>
      <c r="Z99" s="87" t="s">
        <v>102</v>
      </c>
      <c r="AA99" s="87" t="s">
        <v>144</v>
      </c>
      <c r="AB99" s="87" t="s">
        <v>145</v>
      </c>
      <c r="AC99" s="87" t="s">
        <v>20</v>
      </c>
      <c r="AD99" s="87" t="s">
        <v>146</v>
      </c>
      <c r="AE99" s="87" t="s">
        <v>147</v>
      </c>
      <c r="AF99" s="87" t="s">
        <v>148</v>
      </c>
      <c r="AG99" s="87">
        <v>2</v>
      </c>
      <c r="AH99" s="87" t="s">
        <v>90</v>
      </c>
      <c r="AI99" s="87" t="s">
        <v>149</v>
      </c>
      <c r="AJ99" s="87" t="s">
        <v>150</v>
      </c>
      <c r="AK99" s="87">
        <v>2</v>
      </c>
      <c r="AL99" s="87" t="s">
        <v>151</v>
      </c>
      <c r="AM99" s="87" t="s">
        <v>94</v>
      </c>
      <c r="AN99" s="87" t="s">
        <v>94</v>
      </c>
      <c r="AO99" s="87" t="s">
        <v>152</v>
      </c>
      <c r="AP99" s="87">
        <v>2</v>
      </c>
      <c r="AQ99" s="87" t="s">
        <v>153</v>
      </c>
      <c r="AR99" s="87" t="s">
        <v>123</v>
      </c>
      <c r="AS99" s="87" t="s">
        <v>114</v>
      </c>
      <c r="AT99" s="87" t="s">
        <v>124</v>
      </c>
      <c r="AU99" s="87" t="s">
        <v>116</v>
      </c>
      <c r="AV99" s="87" t="s">
        <v>154</v>
      </c>
      <c r="AW99" s="87">
        <v>3</v>
      </c>
      <c r="AX99" s="87" t="s">
        <v>155</v>
      </c>
      <c r="AY99" s="87" t="s">
        <v>119</v>
      </c>
      <c r="AZ99" s="87" t="s">
        <v>120</v>
      </c>
      <c r="BA99" s="87" t="s">
        <v>116</v>
      </c>
      <c r="BB99" s="87" t="s">
        <v>156</v>
      </c>
      <c r="BC99" s="87">
        <v>2</v>
      </c>
      <c r="BD99" s="87"/>
      <c r="BE99" s="87"/>
      <c r="BF99" s="87"/>
      <c r="BG99" s="87"/>
      <c r="BH99" s="87"/>
      <c r="BI99" s="87"/>
      <c r="BJ99" s="87">
        <v>0</v>
      </c>
      <c r="BK99" s="87" t="s">
        <v>494</v>
      </c>
      <c r="BL99" s="87" t="s">
        <v>184</v>
      </c>
      <c r="BM99" s="87" t="s">
        <v>159</v>
      </c>
      <c r="BN99" s="87" t="s">
        <v>160</v>
      </c>
      <c r="BO99" s="87">
        <v>51.562380279999999</v>
      </c>
      <c r="BP99" s="87">
        <v>59.101647300000003</v>
      </c>
      <c r="BQ99" s="87" t="s">
        <v>161</v>
      </c>
      <c r="BR99" s="87">
        <v>5</v>
      </c>
      <c r="BS99" s="87" t="s">
        <v>160</v>
      </c>
      <c r="BT99" s="87">
        <v>61.346571320000002</v>
      </c>
      <c r="BU99" s="87">
        <v>67.00102158</v>
      </c>
      <c r="BV99" s="87" t="s">
        <v>161</v>
      </c>
      <c r="BW99" s="87">
        <v>5</v>
      </c>
      <c r="BX99" s="87" t="s">
        <v>162</v>
      </c>
      <c r="BY99" s="87">
        <v>61.346571320000002</v>
      </c>
      <c r="BZ99" s="87">
        <v>67.00102158</v>
      </c>
      <c r="CA99">
        <v>7.539267020000004</v>
      </c>
      <c r="CB99">
        <v>5.6544502599999973</v>
      </c>
      <c r="CC99" s="87" t="s">
        <v>163</v>
      </c>
      <c r="CD99" s="87"/>
      <c r="CE99" s="87"/>
      <c r="CF99" s="87" t="s">
        <v>3198</v>
      </c>
      <c r="CG99" t="s">
        <v>3095</v>
      </c>
    </row>
    <row r="100" spans="1:85" ht="14.5">
      <c r="A100" s="87">
        <v>3</v>
      </c>
      <c r="B100" s="87" t="s">
        <v>133</v>
      </c>
      <c r="C100" s="87">
        <v>2009</v>
      </c>
      <c r="D100" s="87" t="s">
        <v>134</v>
      </c>
      <c r="E100" s="88">
        <v>44706</v>
      </c>
      <c r="F100" t="s">
        <v>90</v>
      </c>
      <c r="G100" s="87" t="s">
        <v>135</v>
      </c>
      <c r="H100" s="87">
        <v>1</v>
      </c>
      <c r="I100" s="87"/>
      <c r="J100" s="87" t="s">
        <v>136</v>
      </c>
      <c r="K100" s="87" t="s">
        <v>97</v>
      </c>
      <c r="L100" s="87" t="s">
        <v>137</v>
      </c>
      <c r="M100" s="87" t="s">
        <v>138</v>
      </c>
      <c r="N100" s="87" t="s">
        <v>139</v>
      </c>
      <c r="O100" s="87" t="s">
        <v>90</v>
      </c>
      <c r="P100" s="87" t="s">
        <v>97</v>
      </c>
      <c r="Q100" s="87" t="s">
        <v>140</v>
      </c>
      <c r="R100" s="87"/>
      <c r="S100" s="87" t="s">
        <v>90</v>
      </c>
      <c r="T100" s="117" t="s">
        <v>114</v>
      </c>
      <c r="U100" s="87" t="s">
        <v>141</v>
      </c>
      <c r="V100" s="87" t="s">
        <v>99</v>
      </c>
      <c r="W100" s="87">
        <v>1</v>
      </c>
      <c r="X100" s="87" t="s">
        <v>142</v>
      </c>
      <c r="Y100" s="87" t="s">
        <v>143</v>
      </c>
      <c r="Z100" s="87" t="s">
        <v>102</v>
      </c>
      <c r="AA100" s="87" t="s">
        <v>144</v>
      </c>
      <c r="AB100" s="87" t="s">
        <v>145</v>
      </c>
      <c r="AC100" s="87" t="s">
        <v>20</v>
      </c>
      <c r="AD100" s="87" t="s">
        <v>146</v>
      </c>
      <c r="AE100" s="87" t="s">
        <v>147</v>
      </c>
      <c r="AF100" s="87" t="s">
        <v>148</v>
      </c>
      <c r="AG100" s="87">
        <v>2</v>
      </c>
      <c r="AH100" s="87" t="s">
        <v>90</v>
      </c>
      <c r="AI100" s="87" t="s">
        <v>149</v>
      </c>
      <c r="AJ100" s="87" t="s">
        <v>150</v>
      </c>
      <c r="AK100" s="87">
        <v>2</v>
      </c>
      <c r="AL100" s="87" t="s">
        <v>151</v>
      </c>
      <c r="AM100" s="87" t="s">
        <v>94</v>
      </c>
      <c r="AN100" s="87" t="s">
        <v>94</v>
      </c>
      <c r="AO100" s="87" t="s">
        <v>152</v>
      </c>
      <c r="AP100" s="87">
        <v>2</v>
      </c>
      <c r="AQ100" s="87" t="s">
        <v>153</v>
      </c>
      <c r="AR100" s="87" t="s">
        <v>123</v>
      </c>
      <c r="AS100" s="87" t="s">
        <v>114</v>
      </c>
      <c r="AT100" s="87" t="s">
        <v>124</v>
      </c>
      <c r="AU100" s="87" t="s">
        <v>116</v>
      </c>
      <c r="AV100" s="87" t="s">
        <v>154</v>
      </c>
      <c r="AW100" s="87">
        <v>3</v>
      </c>
      <c r="AX100" s="87" t="s">
        <v>155</v>
      </c>
      <c r="AY100" s="87" t="s">
        <v>119</v>
      </c>
      <c r="AZ100" s="87" t="s">
        <v>120</v>
      </c>
      <c r="BA100" s="87" t="s">
        <v>116</v>
      </c>
      <c r="BB100" s="87" t="s">
        <v>156</v>
      </c>
      <c r="BC100" s="87">
        <v>2</v>
      </c>
      <c r="BD100" s="87"/>
      <c r="BE100" s="87"/>
      <c r="BF100" s="87"/>
      <c r="BG100" s="87"/>
      <c r="BH100" s="87"/>
      <c r="BI100" s="87"/>
      <c r="BJ100" s="87">
        <v>3</v>
      </c>
      <c r="BK100" s="87" t="s">
        <v>489</v>
      </c>
      <c r="BL100" s="87" t="s">
        <v>184</v>
      </c>
      <c r="BM100" s="87" t="s">
        <v>159</v>
      </c>
      <c r="BN100" s="87" t="s">
        <v>160</v>
      </c>
      <c r="BO100" s="87">
        <v>42.246225427336597</v>
      </c>
      <c r="BP100" s="87">
        <v>49.503242410071103</v>
      </c>
      <c r="BQ100" s="87" t="s">
        <v>161</v>
      </c>
      <c r="BR100" s="87">
        <v>5</v>
      </c>
      <c r="BS100" s="87" t="s">
        <v>160</v>
      </c>
      <c r="BT100" s="87">
        <v>37.610192240000003</v>
      </c>
      <c r="BU100" s="87">
        <v>43.577043070000002</v>
      </c>
      <c r="BV100" s="87" t="s">
        <v>161</v>
      </c>
      <c r="BW100" s="87">
        <v>5</v>
      </c>
      <c r="BX100" s="87" t="s">
        <v>162</v>
      </c>
      <c r="BY100" s="87">
        <v>37.610192240000003</v>
      </c>
      <c r="BZ100" s="87">
        <v>43.577043070000002</v>
      </c>
      <c r="CA100">
        <v>7.2570169827345055</v>
      </c>
      <c r="CB100">
        <v>5.9668508299999985</v>
      </c>
      <c r="CC100" s="87" t="s">
        <v>163</v>
      </c>
      <c r="CD100" s="87"/>
      <c r="CE100" s="87"/>
      <c r="CF100" s="87" t="s">
        <v>3198</v>
      </c>
      <c r="CG100" t="s">
        <v>3095</v>
      </c>
    </row>
    <row r="101" spans="1:85" ht="14.5">
      <c r="A101" s="87">
        <v>3</v>
      </c>
      <c r="B101" s="87" t="s">
        <v>133</v>
      </c>
      <c r="C101" s="87">
        <v>2009</v>
      </c>
      <c r="D101" s="87" t="s">
        <v>134</v>
      </c>
      <c r="E101" s="88">
        <v>44706</v>
      </c>
      <c r="F101" t="s">
        <v>90</v>
      </c>
      <c r="G101" s="87" t="s">
        <v>135</v>
      </c>
      <c r="H101" s="87">
        <v>1</v>
      </c>
      <c r="I101" s="87"/>
      <c r="J101" s="87" t="s">
        <v>136</v>
      </c>
      <c r="K101" s="87" t="s">
        <v>97</v>
      </c>
      <c r="L101" s="87" t="s">
        <v>137</v>
      </c>
      <c r="M101" s="87" t="s">
        <v>138</v>
      </c>
      <c r="N101" s="87" t="s">
        <v>139</v>
      </c>
      <c r="O101" s="87" t="s">
        <v>90</v>
      </c>
      <c r="P101" s="87" t="s">
        <v>97</v>
      </c>
      <c r="Q101" s="87" t="s">
        <v>140</v>
      </c>
      <c r="R101" s="87"/>
      <c r="S101" s="87" t="s">
        <v>90</v>
      </c>
      <c r="T101" s="117" t="s">
        <v>114</v>
      </c>
      <c r="U101" s="87" t="s">
        <v>141</v>
      </c>
      <c r="V101" s="87" t="s">
        <v>99</v>
      </c>
      <c r="W101" s="87">
        <v>1</v>
      </c>
      <c r="X101" s="87" t="s">
        <v>142</v>
      </c>
      <c r="Y101" s="87" t="s">
        <v>143</v>
      </c>
      <c r="Z101" s="87" t="s">
        <v>102</v>
      </c>
      <c r="AA101" s="87" t="s">
        <v>144</v>
      </c>
      <c r="AB101" s="87" t="s">
        <v>145</v>
      </c>
      <c r="AC101" s="87" t="s">
        <v>20</v>
      </c>
      <c r="AD101" s="87" t="s">
        <v>146</v>
      </c>
      <c r="AE101" s="87" t="s">
        <v>147</v>
      </c>
      <c r="AF101" s="87" t="s">
        <v>148</v>
      </c>
      <c r="AG101" s="87">
        <v>2</v>
      </c>
      <c r="AH101" s="87" t="s">
        <v>90</v>
      </c>
      <c r="AI101" s="87" t="s">
        <v>149</v>
      </c>
      <c r="AJ101" s="87" t="s">
        <v>150</v>
      </c>
      <c r="AK101" s="87">
        <v>2</v>
      </c>
      <c r="AL101" s="87" t="s">
        <v>151</v>
      </c>
      <c r="AM101" s="87" t="s">
        <v>94</v>
      </c>
      <c r="AN101" s="87" t="s">
        <v>94</v>
      </c>
      <c r="AO101" s="87" t="s">
        <v>152</v>
      </c>
      <c r="AP101" s="87">
        <v>2</v>
      </c>
      <c r="AQ101" s="87" t="s">
        <v>153</v>
      </c>
      <c r="AR101" s="87" t="s">
        <v>123</v>
      </c>
      <c r="AS101" s="87" t="s">
        <v>114</v>
      </c>
      <c r="AT101" s="87" t="s">
        <v>124</v>
      </c>
      <c r="AU101" s="87" t="s">
        <v>116</v>
      </c>
      <c r="AV101" s="87" t="s">
        <v>154</v>
      </c>
      <c r="AW101" s="87">
        <v>3</v>
      </c>
      <c r="AX101" s="87" t="s">
        <v>155</v>
      </c>
      <c r="AY101" s="87" t="s">
        <v>119</v>
      </c>
      <c r="AZ101" s="87" t="s">
        <v>120</v>
      </c>
      <c r="BA101" s="87" t="s">
        <v>116</v>
      </c>
      <c r="BB101" s="87" t="s">
        <v>156</v>
      </c>
      <c r="BC101" s="87">
        <v>2</v>
      </c>
      <c r="BD101" s="87"/>
      <c r="BE101" s="87"/>
      <c r="BF101" s="87"/>
      <c r="BG101" s="87"/>
      <c r="BH101" s="87"/>
      <c r="BI101" s="87"/>
      <c r="BJ101" s="87">
        <v>3</v>
      </c>
      <c r="BK101" s="87" t="s">
        <v>490</v>
      </c>
      <c r="BL101" s="87" t="s">
        <v>184</v>
      </c>
      <c r="BM101" s="87" t="s">
        <v>159</v>
      </c>
      <c r="BN101" s="87" t="s">
        <v>160</v>
      </c>
      <c r="BO101" s="87">
        <v>60.907133302156602</v>
      </c>
      <c r="BP101" s="87">
        <v>67.645789810359204</v>
      </c>
      <c r="BQ101" s="87" t="s">
        <v>161</v>
      </c>
      <c r="BR101" s="87">
        <v>5</v>
      </c>
      <c r="BS101" s="87" t="s">
        <v>160</v>
      </c>
      <c r="BT101" s="87">
        <v>56.117259529999998</v>
      </c>
      <c r="BU101" s="87">
        <v>62.74709378</v>
      </c>
      <c r="BV101" s="87" t="s">
        <v>161</v>
      </c>
      <c r="BW101" s="87">
        <v>5</v>
      </c>
      <c r="BX101" s="87" t="s">
        <v>162</v>
      </c>
      <c r="BY101" s="87">
        <v>56.117259529999998</v>
      </c>
      <c r="BZ101" s="87">
        <v>62.74709378</v>
      </c>
      <c r="CA101">
        <v>6.7386565082026024</v>
      </c>
      <c r="CB101">
        <v>6.6298342500000018</v>
      </c>
      <c r="CC101" s="87" t="s">
        <v>163</v>
      </c>
      <c r="CD101" s="87"/>
      <c r="CE101" s="87"/>
      <c r="CF101" s="87" t="s">
        <v>3198</v>
      </c>
      <c r="CG101" t="s">
        <v>3095</v>
      </c>
    </row>
    <row r="102" spans="1:85" ht="14.5">
      <c r="A102" s="87">
        <v>3</v>
      </c>
      <c r="B102" s="87" t="s">
        <v>133</v>
      </c>
      <c r="C102" s="87">
        <v>2009</v>
      </c>
      <c r="D102" s="87" t="s">
        <v>134</v>
      </c>
      <c r="E102" s="88">
        <v>44706</v>
      </c>
      <c r="F102" t="s">
        <v>90</v>
      </c>
      <c r="G102" s="87" t="s">
        <v>135</v>
      </c>
      <c r="H102" s="87">
        <v>1</v>
      </c>
      <c r="I102" s="87"/>
      <c r="J102" s="87" t="s">
        <v>136</v>
      </c>
      <c r="K102" s="87" t="s">
        <v>97</v>
      </c>
      <c r="L102" s="87" t="s">
        <v>137</v>
      </c>
      <c r="M102" s="87" t="s">
        <v>138</v>
      </c>
      <c r="N102" s="87" t="s">
        <v>139</v>
      </c>
      <c r="O102" s="87" t="s">
        <v>90</v>
      </c>
      <c r="P102" s="87" t="s">
        <v>97</v>
      </c>
      <c r="Q102" s="87" t="s">
        <v>140</v>
      </c>
      <c r="R102" s="87"/>
      <c r="S102" s="87" t="s">
        <v>90</v>
      </c>
      <c r="T102" s="117" t="s">
        <v>114</v>
      </c>
      <c r="U102" s="87" t="s">
        <v>141</v>
      </c>
      <c r="V102" s="87" t="s">
        <v>99</v>
      </c>
      <c r="W102" s="87">
        <v>1</v>
      </c>
      <c r="X102" s="87" t="s">
        <v>142</v>
      </c>
      <c r="Y102" s="87" t="s">
        <v>143</v>
      </c>
      <c r="Z102" s="87" t="s">
        <v>102</v>
      </c>
      <c r="AA102" s="87" t="s">
        <v>144</v>
      </c>
      <c r="AB102" s="87" t="s">
        <v>145</v>
      </c>
      <c r="AC102" s="87" t="s">
        <v>20</v>
      </c>
      <c r="AD102" s="87" t="s">
        <v>146</v>
      </c>
      <c r="AE102" s="87" t="s">
        <v>147</v>
      </c>
      <c r="AF102" s="87" t="s">
        <v>148</v>
      </c>
      <c r="AG102" s="87">
        <v>2</v>
      </c>
      <c r="AH102" s="87" t="s">
        <v>90</v>
      </c>
      <c r="AI102" s="87" t="s">
        <v>149</v>
      </c>
      <c r="AJ102" s="87" t="s">
        <v>150</v>
      </c>
      <c r="AK102" s="87">
        <v>2</v>
      </c>
      <c r="AL102" s="87" t="s">
        <v>151</v>
      </c>
      <c r="AM102" s="87" t="s">
        <v>94</v>
      </c>
      <c r="AN102" s="87" t="s">
        <v>94</v>
      </c>
      <c r="AO102" s="87" t="s">
        <v>152</v>
      </c>
      <c r="AP102" s="87">
        <v>2</v>
      </c>
      <c r="AQ102" s="87" t="s">
        <v>153</v>
      </c>
      <c r="AR102" s="87" t="s">
        <v>123</v>
      </c>
      <c r="AS102" s="87" t="s">
        <v>114</v>
      </c>
      <c r="AT102" s="87" t="s">
        <v>124</v>
      </c>
      <c r="AU102" s="87" t="s">
        <v>116</v>
      </c>
      <c r="AV102" s="87" t="s">
        <v>154</v>
      </c>
      <c r="AW102" s="87">
        <v>3</v>
      </c>
      <c r="AX102" s="87" t="s">
        <v>155</v>
      </c>
      <c r="AY102" s="87" t="s">
        <v>119</v>
      </c>
      <c r="AZ102" s="87" t="s">
        <v>120</v>
      </c>
      <c r="BA102" s="87" t="s">
        <v>116</v>
      </c>
      <c r="BB102" s="87" t="s">
        <v>156</v>
      </c>
      <c r="BC102" s="87">
        <v>2</v>
      </c>
      <c r="BD102" s="87"/>
      <c r="BE102" s="87"/>
      <c r="BF102" s="87"/>
      <c r="BG102" s="87"/>
      <c r="BH102" s="87"/>
      <c r="BI102" s="87"/>
      <c r="BJ102" s="87">
        <v>3</v>
      </c>
      <c r="BK102" s="87" t="s">
        <v>491</v>
      </c>
      <c r="BL102" s="87" t="s">
        <v>184</v>
      </c>
      <c r="BM102" s="87" t="s">
        <v>159</v>
      </c>
      <c r="BN102" s="87" t="s">
        <v>160</v>
      </c>
      <c r="BO102" s="87">
        <v>79.568031290072796</v>
      </c>
      <c r="BP102" s="87">
        <v>88.380129696402804</v>
      </c>
      <c r="BQ102" s="87" t="s">
        <v>161</v>
      </c>
      <c r="BR102" s="87">
        <v>5</v>
      </c>
      <c r="BS102" s="87" t="s">
        <v>160</v>
      </c>
      <c r="BT102" s="87">
        <v>37.610192240000003</v>
      </c>
      <c r="BU102" s="87">
        <v>43.577043070000002</v>
      </c>
      <c r="BV102" s="87" t="s">
        <v>161</v>
      </c>
      <c r="BW102" s="87">
        <v>5</v>
      </c>
      <c r="BX102" s="87" t="s">
        <v>162</v>
      </c>
      <c r="BY102" s="87">
        <v>37.610192240000003</v>
      </c>
      <c r="BZ102" s="87">
        <v>43.577043070000002</v>
      </c>
      <c r="CA102">
        <v>8.8120984063300085</v>
      </c>
      <c r="CB102">
        <v>5.9668508299999985</v>
      </c>
      <c r="CC102" s="87" t="s">
        <v>163</v>
      </c>
      <c r="CD102" s="87"/>
      <c r="CE102" s="87"/>
      <c r="CF102" s="87" t="s">
        <v>3198</v>
      </c>
      <c r="CG102" t="s">
        <v>3095</v>
      </c>
    </row>
    <row r="103" spans="1:85" ht="14.5">
      <c r="A103" s="87">
        <v>3</v>
      </c>
      <c r="B103" s="87" t="s">
        <v>133</v>
      </c>
      <c r="C103" s="87">
        <v>2009</v>
      </c>
      <c r="D103" s="87" t="s">
        <v>134</v>
      </c>
      <c r="E103" s="88">
        <v>44706</v>
      </c>
      <c r="F103" t="s">
        <v>90</v>
      </c>
      <c r="G103" s="87" t="s">
        <v>135</v>
      </c>
      <c r="H103" s="87">
        <v>1</v>
      </c>
      <c r="I103" s="87"/>
      <c r="J103" s="87" t="s">
        <v>136</v>
      </c>
      <c r="K103" s="87" t="s">
        <v>97</v>
      </c>
      <c r="L103" s="87" t="s">
        <v>137</v>
      </c>
      <c r="M103" s="87" t="s">
        <v>138</v>
      </c>
      <c r="N103" s="87" t="s">
        <v>139</v>
      </c>
      <c r="O103" s="87" t="s">
        <v>90</v>
      </c>
      <c r="P103" s="87" t="s">
        <v>97</v>
      </c>
      <c r="Q103" s="87" t="s">
        <v>140</v>
      </c>
      <c r="R103" s="87"/>
      <c r="S103" s="87" t="s">
        <v>90</v>
      </c>
      <c r="T103" s="117" t="s">
        <v>114</v>
      </c>
      <c r="U103" s="87" t="s">
        <v>141</v>
      </c>
      <c r="V103" s="87" t="s">
        <v>99</v>
      </c>
      <c r="W103" s="87">
        <v>1</v>
      </c>
      <c r="X103" s="87" t="s">
        <v>142</v>
      </c>
      <c r="Y103" s="87" t="s">
        <v>143</v>
      </c>
      <c r="Z103" s="87" t="s">
        <v>102</v>
      </c>
      <c r="AA103" s="87" t="s">
        <v>144</v>
      </c>
      <c r="AB103" s="87" t="s">
        <v>145</v>
      </c>
      <c r="AC103" s="87" t="s">
        <v>20</v>
      </c>
      <c r="AD103" s="87" t="s">
        <v>146</v>
      </c>
      <c r="AE103" s="87" t="s">
        <v>147</v>
      </c>
      <c r="AF103" s="87" t="s">
        <v>148</v>
      </c>
      <c r="AG103" s="87">
        <v>2</v>
      </c>
      <c r="AH103" s="87" t="s">
        <v>90</v>
      </c>
      <c r="AI103" s="87" t="s">
        <v>149</v>
      </c>
      <c r="AJ103" s="87" t="s">
        <v>150</v>
      </c>
      <c r="AK103" s="87">
        <v>2</v>
      </c>
      <c r="AL103" s="87" t="s">
        <v>151</v>
      </c>
      <c r="AM103" s="87" t="s">
        <v>94</v>
      </c>
      <c r="AN103" s="87" t="s">
        <v>94</v>
      </c>
      <c r="AO103" s="87" t="s">
        <v>152</v>
      </c>
      <c r="AP103" s="87">
        <v>2</v>
      </c>
      <c r="AQ103" s="87" t="s">
        <v>153</v>
      </c>
      <c r="AR103" s="87" t="s">
        <v>123</v>
      </c>
      <c r="AS103" s="87" t="s">
        <v>114</v>
      </c>
      <c r="AT103" s="87" t="s">
        <v>124</v>
      </c>
      <c r="AU103" s="87" t="s">
        <v>116</v>
      </c>
      <c r="AV103" s="87" t="s">
        <v>154</v>
      </c>
      <c r="AW103" s="87">
        <v>3</v>
      </c>
      <c r="AX103" s="87" t="s">
        <v>155</v>
      </c>
      <c r="AY103" s="87" t="s">
        <v>119</v>
      </c>
      <c r="AZ103" s="87" t="s">
        <v>120</v>
      </c>
      <c r="BA103" s="87" t="s">
        <v>116</v>
      </c>
      <c r="BB103" s="87" t="s">
        <v>156</v>
      </c>
      <c r="BC103" s="87">
        <v>2</v>
      </c>
      <c r="BD103" s="87"/>
      <c r="BE103" s="87"/>
      <c r="BF103" s="87"/>
      <c r="BG103" s="87"/>
      <c r="BH103" s="87"/>
      <c r="BI103" s="87"/>
      <c r="BJ103" s="87">
        <v>3</v>
      </c>
      <c r="BK103" s="87" t="s">
        <v>492</v>
      </c>
      <c r="BL103" s="87" t="s">
        <v>184</v>
      </c>
      <c r="BM103" s="87" t="s">
        <v>159</v>
      </c>
      <c r="BN103" s="87" t="s">
        <v>160</v>
      </c>
      <c r="BO103" s="87">
        <v>28.250542049495799</v>
      </c>
      <c r="BP103" s="87">
        <v>34.470847970070302</v>
      </c>
      <c r="BQ103" s="87" t="s">
        <v>161</v>
      </c>
      <c r="BR103" s="87">
        <v>5</v>
      </c>
      <c r="BS103" s="87" t="s">
        <v>160</v>
      </c>
      <c r="BT103" s="87">
        <v>56.117259529999998</v>
      </c>
      <c r="BU103" s="87">
        <v>62.74709378</v>
      </c>
      <c r="BV103" s="87" t="s">
        <v>161</v>
      </c>
      <c r="BW103" s="87">
        <v>5</v>
      </c>
      <c r="BX103" s="87" t="s">
        <v>162</v>
      </c>
      <c r="BY103" s="87">
        <v>56.117259529999998</v>
      </c>
      <c r="BZ103" s="87">
        <v>62.74709378</v>
      </c>
      <c r="CA103">
        <v>6.2203059205745035</v>
      </c>
      <c r="CB103">
        <v>6.6298342500000018</v>
      </c>
      <c r="CC103" s="87" t="s">
        <v>163</v>
      </c>
      <c r="CD103" s="87"/>
      <c r="CE103" s="87"/>
      <c r="CF103" s="87" t="s">
        <v>3198</v>
      </c>
      <c r="CG103" t="s">
        <v>3095</v>
      </c>
    </row>
    <row r="104" spans="1:85" ht="14.5">
      <c r="A104" s="87">
        <v>3</v>
      </c>
      <c r="B104" s="87" t="s">
        <v>133</v>
      </c>
      <c r="C104" s="87">
        <v>2009</v>
      </c>
      <c r="D104" s="87" t="s">
        <v>134</v>
      </c>
      <c r="E104" s="88">
        <v>44706</v>
      </c>
      <c r="F104" t="s">
        <v>90</v>
      </c>
      <c r="G104" s="87" t="s">
        <v>135</v>
      </c>
      <c r="H104" s="87">
        <v>1</v>
      </c>
      <c r="I104" s="87"/>
      <c r="J104" s="87" t="s">
        <v>136</v>
      </c>
      <c r="K104" s="87" t="s">
        <v>97</v>
      </c>
      <c r="L104" s="87" t="s">
        <v>137</v>
      </c>
      <c r="M104" s="87" t="s">
        <v>138</v>
      </c>
      <c r="N104" s="87" t="s">
        <v>139</v>
      </c>
      <c r="O104" s="87" t="s">
        <v>90</v>
      </c>
      <c r="P104" s="87" t="s">
        <v>97</v>
      </c>
      <c r="Q104" s="87" t="s">
        <v>140</v>
      </c>
      <c r="R104" s="87"/>
      <c r="S104" s="87" t="s">
        <v>90</v>
      </c>
      <c r="T104" s="117" t="s">
        <v>114</v>
      </c>
      <c r="U104" s="87" t="s">
        <v>141</v>
      </c>
      <c r="V104" s="87" t="s">
        <v>99</v>
      </c>
      <c r="W104" s="87">
        <v>1</v>
      </c>
      <c r="X104" s="87" t="s">
        <v>142</v>
      </c>
      <c r="Y104" s="87" t="s">
        <v>143</v>
      </c>
      <c r="Z104" s="87" t="s">
        <v>102</v>
      </c>
      <c r="AA104" s="87" t="s">
        <v>144</v>
      </c>
      <c r="AB104" s="87" t="s">
        <v>145</v>
      </c>
      <c r="AC104" s="87" t="s">
        <v>20</v>
      </c>
      <c r="AD104" s="87" t="s">
        <v>146</v>
      </c>
      <c r="AE104" s="87" t="s">
        <v>147</v>
      </c>
      <c r="AF104" s="87" t="s">
        <v>148</v>
      </c>
      <c r="AG104" s="87">
        <v>2</v>
      </c>
      <c r="AH104" s="87" t="s">
        <v>90</v>
      </c>
      <c r="AI104" s="87" t="s">
        <v>149</v>
      </c>
      <c r="AJ104" s="87" t="s">
        <v>150</v>
      </c>
      <c r="AK104" s="87">
        <v>2</v>
      </c>
      <c r="AL104" s="87" t="s">
        <v>151</v>
      </c>
      <c r="AM104" s="87" t="s">
        <v>94</v>
      </c>
      <c r="AN104" s="87" t="s">
        <v>94</v>
      </c>
      <c r="AO104" s="87" t="s">
        <v>152</v>
      </c>
      <c r="AP104" s="87">
        <v>2</v>
      </c>
      <c r="AQ104" s="87" t="s">
        <v>153</v>
      </c>
      <c r="AR104" s="87" t="s">
        <v>123</v>
      </c>
      <c r="AS104" s="87" t="s">
        <v>114</v>
      </c>
      <c r="AT104" s="87" t="s">
        <v>124</v>
      </c>
      <c r="AU104" s="87" t="s">
        <v>116</v>
      </c>
      <c r="AV104" s="87" t="s">
        <v>154</v>
      </c>
      <c r="AW104" s="87">
        <v>3</v>
      </c>
      <c r="AX104" s="87" t="s">
        <v>155</v>
      </c>
      <c r="AY104" s="87" t="s">
        <v>119</v>
      </c>
      <c r="AZ104" s="87" t="s">
        <v>120</v>
      </c>
      <c r="BA104" s="87" t="s">
        <v>116</v>
      </c>
      <c r="BB104" s="87" t="s">
        <v>156</v>
      </c>
      <c r="BC104" s="87">
        <v>2</v>
      </c>
      <c r="BD104" s="87"/>
      <c r="BE104" s="87"/>
      <c r="BF104" s="87"/>
      <c r="BG104" s="87"/>
      <c r="BH104" s="87"/>
      <c r="BI104" s="87"/>
      <c r="BJ104" s="87">
        <v>3</v>
      </c>
      <c r="BK104" s="87" t="s">
        <v>493</v>
      </c>
      <c r="BL104" s="87" t="s">
        <v>184</v>
      </c>
      <c r="BM104" s="87" t="s">
        <v>159</v>
      </c>
      <c r="BN104" s="87" t="s">
        <v>160</v>
      </c>
      <c r="BO104" s="87">
        <v>67.127429335827401</v>
      </c>
      <c r="BP104" s="87">
        <v>73.347735256402004</v>
      </c>
      <c r="BQ104" s="87" t="s">
        <v>161</v>
      </c>
      <c r="BR104" s="87">
        <v>5</v>
      </c>
      <c r="BS104" s="87" t="s">
        <v>160</v>
      </c>
      <c r="BT104" s="87">
        <v>37.610192240000003</v>
      </c>
      <c r="BU104" s="87">
        <v>43.577043070000002</v>
      </c>
      <c r="BV104" s="87" t="s">
        <v>161</v>
      </c>
      <c r="BW104" s="87">
        <v>5</v>
      </c>
      <c r="BX104" s="87" t="s">
        <v>162</v>
      </c>
      <c r="BY104" s="87">
        <v>37.610192240000003</v>
      </c>
      <c r="BZ104" s="87">
        <v>43.577043070000002</v>
      </c>
      <c r="CA104">
        <v>6.220305920574603</v>
      </c>
      <c r="CB104">
        <v>5.9668508299999985</v>
      </c>
      <c r="CC104" s="87" t="s">
        <v>163</v>
      </c>
      <c r="CD104" s="87"/>
      <c r="CE104" s="87"/>
      <c r="CF104" s="87" t="s">
        <v>3198</v>
      </c>
      <c r="CG104" t="s">
        <v>3095</v>
      </c>
    </row>
    <row r="105" spans="1:85" ht="14.5">
      <c r="A105" s="87">
        <v>3</v>
      </c>
      <c r="B105" s="87" t="s">
        <v>133</v>
      </c>
      <c r="C105" s="87">
        <v>2009</v>
      </c>
      <c r="D105" s="87" t="s">
        <v>134</v>
      </c>
      <c r="E105" s="88">
        <v>44706</v>
      </c>
      <c r="F105" t="s">
        <v>90</v>
      </c>
      <c r="G105" s="87" t="s">
        <v>135</v>
      </c>
      <c r="H105" s="87">
        <v>1</v>
      </c>
      <c r="I105" s="87"/>
      <c r="J105" s="87" t="s">
        <v>136</v>
      </c>
      <c r="K105" s="87" t="s">
        <v>97</v>
      </c>
      <c r="L105" s="87" t="s">
        <v>137</v>
      </c>
      <c r="M105" s="87" t="s">
        <v>138</v>
      </c>
      <c r="N105" s="87" t="s">
        <v>139</v>
      </c>
      <c r="O105" s="87" t="s">
        <v>90</v>
      </c>
      <c r="P105" s="87" t="s">
        <v>97</v>
      </c>
      <c r="Q105" s="87" t="s">
        <v>140</v>
      </c>
      <c r="R105" s="87"/>
      <c r="S105" s="87" t="s">
        <v>90</v>
      </c>
      <c r="T105" s="117" t="s">
        <v>114</v>
      </c>
      <c r="U105" s="87" t="s">
        <v>141</v>
      </c>
      <c r="V105" s="87" t="s">
        <v>99</v>
      </c>
      <c r="W105" s="87">
        <v>1</v>
      </c>
      <c r="X105" s="87" t="s">
        <v>142</v>
      </c>
      <c r="Y105" s="87" t="s">
        <v>143</v>
      </c>
      <c r="Z105" s="87" t="s">
        <v>102</v>
      </c>
      <c r="AA105" s="87" t="s">
        <v>144</v>
      </c>
      <c r="AB105" s="87" t="s">
        <v>145</v>
      </c>
      <c r="AC105" s="87" t="s">
        <v>20</v>
      </c>
      <c r="AD105" s="87" t="s">
        <v>146</v>
      </c>
      <c r="AE105" s="87" t="s">
        <v>147</v>
      </c>
      <c r="AF105" s="87" t="s">
        <v>148</v>
      </c>
      <c r="AG105" s="87">
        <v>2</v>
      </c>
      <c r="AH105" s="87" t="s">
        <v>90</v>
      </c>
      <c r="AI105" s="87" t="s">
        <v>149</v>
      </c>
      <c r="AJ105" s="87" t="s">
        <v>150</v>
      </c>
      <c r="AK105" s="87">
        <v>2</v>
      </c>
      <c r="AL105" s="87" t="s">
        <v>151</v>
      </c>
      <c r="AM105" s="87" t="s">
        <v>94</v>
      </c>
      <c r="AN105" s="87" t="s">
        <v>94</v>
      </c>
      <c r="AO105" s="87" t="s">
        <v>152</v>
      </c>
      <c r="AP105" s="87">
        <v>2</v>
      </c>
      <c r="AQ105" s="87" t="s">
        <v>153</v>
      </c>
      <c r="AR105" s="87" t="s">
        <v>123</v>
      </c>
      <c r="AS105" s="87" t="s">
        <v>114</v>
      </c>
      <c r="AT105" s="87" t="s">
        <v>124</v>
      </c>
      <c r="AU105" s="87" t="s">
        <v>116</v>
      </c>
      <c r="AV105" s="87" t="s">
        <v>154</v>
      </c>
      <c r="AW105" s="87">
        <v>3</v>
      </c>
      <c r="AX105" s="87" t="s">
        <v>155</v>
      </c>
      <c r="AY105" s="87" t="s">
        <v>119</v>
      </c>
      <c r="AZ105" s="87" t="s">
        <v>120</v>
      </c>
      <c r="BA105" s="87" t="s">
        <v>116</v>
      </c>
      <c r="BB105" s="87" t="s">
        <v>156</v>
      </c>
      <c r="BC105" s="87">
        <v>2</v>
      </c>
      <c r="BD105" s="87"/>
      <c r="BE105" s="87"/>
      <c r="BF105" s="87"/>
      <c r="BG105" s="87"/>
      <c r="BH105" s="87"/>
      <c r="BI105" s="87"/>
      <c r="BJ105" s="87">
        <v>3</v>
      </c>
      <c r="BK105" s="87" t="s">
        <v>494</v>
      </c>
      <c r="BL105" s="87" t="s">
        <v>184</v>
      </c>
      <c r="BM105" s="87" t="s">
        <v>159</v>
      </c>
      <c r="BN105" s="87" t="s">
        <v>160</v>
      </c>
      <c r="BO105" s="87">
        <v>31.6198703035971</v>
      </c>
      <c r="BP105" s="87">
        <v>37.0626404558258</v>
      </c>
      <c r="BQ105" s="87" t="s">
        <v>161</v>
      </c>
      <c r="BR105" s="87">
        <v>5</v>
      </c>
      <c r="BS105" s="87" t="s">
        <v>160</v>
      </c>
      <c r="BT105" s="87">
        <v>56.117259529999998</v>
      </c>
      <c r="BU105" s="87">
        <v>62.74709378</v>
      </c>
      <c r="BV105" s="87" t="s">
        <v>161</v>
      </c>
      <c r="BW105" s="87">
        <v>5</v>
      </c>
      <c r="BX105" s="87" t="s">
        <v>162</v>
      </c>
      <c r="BY105" s="87">
        <v>56.117259529999998</v>
      </c>
      <c r="BZ105" s="87">
        <v>62.74709378</v>
      </c>
      <c r="CA105">
        <v>5.4427701522287002</v>
      </c>
      <c r="CB105">
        <v>6.6298342500000018</v>
      </c>
      <c r="CC105" s="87" t="s">
        <v>163</v>
      </c>
      <c r="CD105" s="87"/>
      <c r="CE105" s="87"/>
      <c r="CF105" s="87" t="s">
        <v>3198</v>
      </c>
      <c r="CG105" t="s">
        <v>3095</v>
      </c>
    </row>
    <row r="106" spans="1:85" ht="14.5">
      <c r="A106">
        <v>10</v>
      </c>
      <c r="B106" t="s">
        <v>187</v>
      </c>
      <c r="C106">
        <v>2015</v>
      </c>
      <c r="D106" t="s">
        <v>188</v>
      </c>
      <c r="E106">
        <v>44895</v>
      </c>
      <c r="F106" t="s">
        <v>90</v>
      </c>
      <c r="G106" t="s">
        <v>91</v>
      </c>
      <c r="I106" t="s">
        <v>189</v>
      </c>
      <c r="K106" s="87" t="s">
        <v>97</v>
      </c>
      <c r="L106" s="87" t="s">
        <v>97</v>
      </c>
      <c r="M106" s="87" t="s">
        <v>95</v>
      </c>
      <c r="N106" s="87" t="s">
        <v>190</v>
      </c>
      <c r="O106" s="87" t="s">
        <v>97</v>
      </c>
      <c r="P106" s="87" t="s">
        <v>97</v>
      </c>
      <c r="Q106" s="87"/>
      <c r="R106" s="87"/>
      <c r="S106" s="87" t="s">
        <v>90</v>
      </c>
      <c r="T106" s="117" t="s">
        <v>114</v>
      </c>
      <c r="U106" s="87" t="s">
        <v>191</v>
      </c>
      <c r="V106" s="87" t="s">
        <v>99</v>
      </c>
      <c r="W106" s="87">
        <v>1</v>
      </c>
      <c r="X106" s="87" t="s">
        <v>192</v>
      </c>
      <c r="Y106" s="87" t="s">
        <v>193</v>
      </c>
      <c r="Z106" s="87" t="s">
        <v>102</v>
      </c>
      <c r="AA106" s="87" t="s">
        <v>3102</v>
      </c>
      <c r="AB106" s="87" t="s">
        <v>194</v>
      </c>
      <c r="AC106" s="87" t="s">
        <v>105</v>
      </c>
      <c r="AD106" s="87" t="s">
        <v>195</v>
      </c>
      <c r="AE106" s="87" t="s">
        <v>196</v>
      </c>
      <c r="AF106" s="87" t="s">
        <v>197</v>
      </c>
      <c r="AG106" s="87">
        <v>1</v>
      </c>
      <c r="AH106" s="87" t="s">
        <v>160</v>
      </c>
      <c r="AI106" s="87" t="s">
        <v>155</v>
      </c>
      <c r="AJ106" s="87" t="s">
        <v>110</v>
      </c>
      <c r="AK106" s="87">
        <v>2</v>
      </c>
      <c r="AL106" s="87" t="s">
        <v>99</v>
      </c>
      <c r="AM106" s="87" t="s">
        <v>94</v>
      </c>
      <c r="AN106" s="87" t="s">
        <v>94</v>
      </c>
      <c r="AO106" s="87" t="s">
        <v>111</v>
      </c>
      <c r="AP106" s="87" t="s">
        <v>111</v>
      </c>
      <c r="AQ106" s="87" t="s">
        <v>155</v>
      </c>
      <c r="AR106" s="87" t="s">
        <v>119</v>
      </c>
      <c r="AS106" s="87" t="s">
        <v>114</v>
      </c>
      <c r="AT106" s="87" t="s">
        <v>120</v>
      </c>
      <c r="AU106" s="87" t="s">
        <v>116</v>
      </c>
      <c r="AV106" s="87" t="s">
        <v>198</v>
      </c>
      <c r="AW106" s="87">
        <v>2</v>
      </c>
      <c r="AX106" s="87"/>
      <c r="AY106" s="87"/>
      <c r="AZ106" s="87"/>
      <c r="BA106" s="87"/>
      <c r="BB106" s="87"/>
      <c r="BC106" s="87"/>
      <c r="BD106" s="87"/>
      <c r="BE106" s="87"/>
      <c r="BF106" s="87"/>
      <c r="BG106" s="87"/>
      <c r="BH106" s="87"/>
      <c r="BI106" s="87"/>
      <c r="BJ106">
        <v>0</v>
      </c>
      <c r="BK106" t="s">
        <v>199</v>
      </c>
      <c r="BL106" t="s">
        <v>355</v>
      </c>
      <c r="BM106" t="s">
        <v>200</v>
      </c>
      <c r="BN106" t="s">
        <v>111</v>
      </c>
      <c r="BO106">
        <v>9.2999999999999992E-3</v>
      </c>
      <c r="BP106">
        <v>9.8099999999999993E-3</v>
      </c>
      <c r="BQ106" t="s">
        <v>129</v>
      </c>
      <c r="BR106">
        <v>45</v>
      </c>
      <c r="BS106" t="s">
        <v>111</v>
      </c>
      <c r="BT106">
        <v>1.18E-2</v>
      </c>
      <c r="BU106">
        <v>1.23E-3</v>
      </c>
      <c r="BV106" t="s">
        <v>129</v>
      </c>
      <c r="BW106">
        <v>45</v>
      </c>
      <c r="BX106" t="s">
        <v>201</v>
      </c>
      <c r="BY106">
        <v>1.18E-2</v>
      </c>
      <c r="BZ106">
        <v>1.23E-3</v>
      </c>
      <c r="CA106">
        <v>5.1000000000000004E-4</v>
      </c>
      <c r="CB106">
        <v>-1.057E-2</v>
      </c>
      <c r="CC106" t="s">
        <v>202</v>
      </c>
      <c r="CG106" t="s">
        <v>3095</v>
      </c>
    </row>
    <row r="107" spans="1:85" ht="14.5">
      <c r="A107">
        <v>10</v>
      </c>
      <c r="B107" t="s">
        <v>187</v>
      </c>
      <c r="C107">
        <v>2015</v>
      </c>
      <c r="D107" t="s">
        <v>188</v>
      </c>
      <c r="E107">
        <v>44895</v>
      </c>
      <c r="F107" t="s">
        <v>90</v>
      </c>
      <c r="G107" t="s">
        <v>91</v>
      </c>
      <c r="I107" t="s">
        <v>189</v>
      </c>
      <c r="K107" s="87" t="s">
        <v>97</v>
      </c>
      <c r="L107" s="87" t="s">
        <v>97</v>
      </c>
      <c r="M107" s="87" t="s">
        <v>95</v>
      </c>
      <c r="N107" s="87" t="s">
        <v>190</v>
      </c>
      <c r="O107" s="87" t="s">
        <v>97</v>
      </c>
      <c r="P107" s="87" t="s">
        <v>97</v>
      </c>
      <c r="Q107" s="87"/>
      <c r="R107" s="87"/>
      <c r="S107" s="87" t="s">
        <v>90</v>
      </c>
      <c r="T107" s="117" t="s">
        <v>114</v>
      </c>
      <c r="U107" s="87" t="s">
        <v>191</v>
      </c>
      <c r="V107" s="87" t="s">
        <v>99</v>
      </c>
      <c r="W107" s="87">
        <v>1</v>
      </c>
      <c r="X107" s="87" t="s">
        <v>192</v>
      </c>
      <c r="Y107" s="87" t="s">
        <v>193</v>
      </c>
      <c r="Z107" s="87" t="s">
        <v>102</v>
      </c>
      <c r="AA107" s="87" t="s">
        <v>3102</v>
      </c>
      <c r="AB107" s="87" t="s">
        <v>194</v>
      </c>
      <c r="AC107" s="87" t="s">
        <v>105</v>
      </c>
      <c r="AD107" s="87" t="s">
        <v>195</v>
      </c>
      <c r="AE107" s="87" t="s">
        <v>196</v>
      </c>
      <c r="AF107" s="87" t="s">
        <v>197</v>
      </c>
      <c r="AG107" s="87">
        <v>1</v>
      </c>
      <c r="AH107" s="87" t="s">
        <v>160</v>
      </c>
      <c r="AI107" s="87" t="s">
        <v>155</v>
      </c>
      <c r="AJ107" s="87" t="s">
        <v>110</v>
      </c>
      <c r="AK107" s="87">
        <v>2</v>
      </c>
      <c r="AL107" s="87" t="s">
        <v>99</v>
      </c>
      <c r="AM107" s="87" t="s">
        <v>94</v>
      </c>
      <c r="AN107" s="87" t="s">
        <v>94</v>
      </c>
      <c r="AO107" s="87" t="s">
        <v>111</v>
      </c>
      <c r="AP107" s="87" t="s">
        <v>111</v>
      </c>
      <c r="AQ107" s="87" t="s">
        <v>155</v>
      </c>
      <c r="AR107" s="87" t="s">
        <v>119</v>
      </c>
      <c r="AS107" s="87" t="s">
        <v>114</v>
      </c>
      <c r="AT107" s="87" t="s">
        <v>120</v>
      </c>
      <c r="AU107" s="87" t="s">
        <v>116</v>
      </c>
      <c r="AV107" s="87" t="s">
        <v>198</v>
      </c>
      <c r="AW107" s="87">
        <v>2</v>
      </c>
      <c r="AX107" s="87"/>
      <c r="AY107" s="87"/>
      <c r="AZ107" s="87"/>
      <c r="BA107" s="87"/>
      <c r="BB107" s="87"/>
      <c r="BC107" s="87"/>
      <c r="BD107" s="87"/>
      <c r="BE107" s="87"/>
      <c r="BF107" s="87"/>
      <c r="BG107" s="87"/>
      <c r="BH107" s="87"/>
      <c r="BI107" s="87"/>
      <c r="BJ107">
        <v>4</v>
      </c>
      <c r="BK107" t="s">
        <v>203</v>
      </c>
      <c r="BL107" t="s">
        <v>355</v>
      </c>
      <c r="BM107" t="s">
        <v>200</v>
      </c>
      <c r="BN107" t="s">
        <v>111</v>
      </c>
      <c r="BO107">
        <v>8.0800000000000004E-3</v>
      </c>
      <c r="BP107">
        <v>8.6199999999999992E-3</v>
      </c>
      <c r="BQ107" t="s">
        <v>129</v>
      </c>
      <c r="BR107">
        <v>45</v>
      </c>
      <c r="BS107" t="s">
        <v>111</v>
      </c>
      <c r="BT107">
        <v>1.43E-2</v>
      </c>
      <c r="BU107">
        <v>1.5100000000000001E-2</v>
      </c>
      <c r="BV107" t="s">
        <v>129</v>
      </c>
      <c r="BW107">
        <v>45</v>
      </c>
      <c r="BX107" t="s">
        <v>201</v>
      </c>
      <c r="BY107">
        <v>1.43E-2</v>
      </c>
      <c r="BZ107">
        <v>1.5100000000000001E-2</v>
      </c>
      <c r="CA107">
        <v>5.3999999999999881E-4</v>
      </c>
      <c r="CB107">
        <v>8.0000000000000036E-4</v>
      </c>
      <c r="CC107" t="s">
        <v>202</v>
      </c>
      <c r="CG107" t="s">
        <v>3095</v>
      </c>
    </row>
    <row r="108" spans="1:85" ht="14.5">
      <c r="A108">
        <v>8</v>
      </c>
      <c r="B108" t="s">
        <v>292</v>
      </c>
      <c r="C108">
        <v>2014</v>
      </c>
      <c r="D108" t="s">
        <v>293</v>
      </c>
      <c r="E108">
        <v>44706</v>
      </c>
      <c r="F108" t="s">
        <v>90</v>
      </c>
      <c r="G108" t="s">
        <v>91</v>
      </c>
      <c r="I108" t="s">
        <v>294</v>
      </c>
      <c r="J108" t="s">
        <v>295</v>
      </c>
      <c r="K108" s="87" t="s">
        <v>94</v>
      </c>
      <c r="L108" s="87" t="s">
        <v>94</v>
      </c>
      <c r="M108" s="87" t="s">
        <v>95</v>
      </c>
      <c r="N108" s="87" t="s">
        <v>296</v>
      </c>
      <c r="O108" s="87" t="s">
        <v>97</v>
      </c>
      <c r="P108" s="87" t="s">
        <v>97</v>
      </c>
      <c r="Q108" s="87"/>
      <c r="R108" s="87"/>
      <c r="S108" s="87" t="s">
        <v>90</v>
      </c>
      <c r="T108" s="117" t="s">
        <v>114</v>
      </c>
      <c r="U108" s="87" t="s">
        <v>98</v>
      </c>
      <c r="V108" s="87" t="s">
        <v>99</v>
      </c>
      <c r="W108" s="87">
        <v>1</v>
      </c>
      <c r="X108" s="87" t="s">
        <v>297</v>
      </c>
      <c r="Y108" s="87" t="s">
        <v>298</v>
      </c>
      <c r="Z108" s="87" t="s">
        <v>568</v>
      </c>
      <c r="AA108" s="87" t="s">
        <v>299</v>
      </c>
      <c r="AB108" s="87" t="s">
        <v>300</v>
      </c>
      <c r="AC108" s="87" t="s">
        <v>105</v>
      </c>
      <c r="AD108" s="87" t="s">
        <v>301</v>
      </c>
      <c r="AE108" s="87" t="s">
        <v>302</v>
      </c>
      <c r="AF108" s="87" t="s">
        <v>108</v>
      </c>
      <c r="AG108" s="87">
        <v>1</v>
      </c>
      <c r="AH108" s="87" t="s">
        <v>160</v>
      </c>
      <c r="AI108" s="87" t="s">
        <v>155</v>
      </c>
      <c r="AJ108" s="87" t="s">
        <v>110</v>
      </c>
      <c r="AK108" s="87">
        <v>2</v>
      </c>
      <c r="AL108" s="87" t="s">
        <v>99</v>
      </c>
      <c r="AM108" s="87" t="s">
        <v>94</v>
      </c>
      <c r="AN108" s="87" t="s">
        <v>94</v>
      </c>
      <c r="AO108" s="87" t="s">
        <v>111</v>
      </c>
      <c r="AP108" s="87" t="s">
        <v>111</v>
      </c>
      <c r="AQ108" s="87" t="s">
        <v>155</v>
      </c>
      <c r="AR108" s="87" t="s">
        <v>119</v>
      </c>
      <c r="AS108" s="87" t="s">
        <v>114</v>
      </c>
      <c r="AT108" s="87" t="s">
        <v>120</v>
      </c>
      <c r="AU108" s="87" t="s">
        <v>116</v>
      </c>
      <c r="AV108" s="87" t="s">
        <v>303</v>
      </c>
      <c r="AW108" s="87">
        <v>2</v>
      </c>
      <c r="AX108" s="87"/>
      <c r="AY108" s="87"/>
      <c r="AZ108" s="87"/>
      <c r="BA108" s="87"/>
      <c r="BB108" s="87"/>
      <c r="BC108" s="87"/>
      <c r="BD108" s="87"/>
      <c r="BE108" s="87"/>
      <c r="BF108" s="87"/>
      <c r="BG108" s="87"/>
      <c r="BH108" s="87"/>
      <c r="BI108" s="87"/>
      <c r="BJ108">
        <v>0</v>
      </c>
      <c r="BK108" t="s">
        <v>126</v>
      </c>
      <c r="BL108" t="s">
        <v>355</v>
      </c>
      <c r="BM108" t="s">
        <v>304</v>
      </c>
      <c r="BN108">
        <v>7.3280000000000003</v>
      </c>
      <c r="BO108">
        <v>8.8130000000000006</v>
      </c>
      <c r="BP108">
        <v>10.111000000000001</v>
      </c>
      <c r="BQ108" t="s">
        <v>161</v>
      </c>
      <c r="BR108">
        <v>14</v>
      </c>
      <c r="BS108">
        <v>33.488</v>
      </c>
      <c r="BT108">
        <v>37.57</v>
      </c>
      <c r="BU108">
        <v>41.837000000000003</v>
      </c>
      <c r="BV108" t="s">
        <v>161</v>
      </c>
      <c r="BW108">
        <v>14</v>
      </c>
      <c r="BX108" t="s">
        <v>305</v>
      </c>
      <c r="BY108">
        <v>37.57</v>
      </c>
      <c r="BZ108">
        <v>41.837000000000003</v>
      </c>
      <c r="CA108">
        <v>1.298</v>
      </c>
      <c r="CB108">
        <v>4.267000000000003</v>
      </c>
      <c r="CC108" t="s">
        <v>306</v>
      </c>
      <c r="CG108" t="s">
        <v>3095</v>
      </c>
    </row>
    <row r="109" spans="1:85" ht="14.5">
      <c r="A109">
        <v>8</v>
      </c>
      <c r="B109" t="s">
        <v>292</v>
      </c>
      <c r="C109">
        <v>2014</v>
      </c>
      <c r="D109" t="s">
        <v>293</v>
      </c>
      <c r="E109">
        <v>44706</v>
      </c>
      <c r="F109" t="s">
        <v>90</v>
      </c>
      <c r="G109" t="s">
        <v>91</v>
      </c>
      <c r="I109" t="s">
        <v>294</v>
      </c>
      <c r="J109" t="s">
        <v>295</v>
      </c>
      <c r="K109" s="87" t="s">
        <v>94</v>
      </c>
      <c r="L109" s="87" t="s">
        <v>94</v>
      </c>
      <c r="M109" s="87" t="s">
        <v>95</v>
      </c>
      <c r="N109" s="87" t="s">
        <v>296</v>
      </c>
      <c r="O109" s="87" t="s">
        <v>97</v>
      </c>
      <c r="P109" s="87" t="s">
        <v>97</v>
      </c>
      <c r="Q109" s="87"/>
      <c r="R109" s="87"/>
      <c r="S109" s="87" t="s">
        <v>90</v>
      </c>
      <c r="T109" s="117" t="s">
        <v>114</v>
      </c>
      <c r="U109" s="87" t="s">
        <v>98</v>
      </c>
      <c r="V109" s="87" t="s">
        <v>99</v>
      </c>
      <c r="W109" s="87">
        <v>1</v>
      </c>
      <c r="X109" s="87" t="s">
        <v>297</v>
      </c>
      <c r="Y109" s="87" t="s">
        <v>298</v>
      </c>
      <c r="Z109" s="87" t="s">
        <v>568</v>
      </c>
      <c r="AA109" s="87" t="s">
        <v>299</v>
      </c>
      <c r="AB109" s="87" t="s">
        <v>300</v>
      </c>
      <c r="AC109" s="87" t="s">
        <v>105</v>
      </c>
      <c r="AD109" s="87" t="s">
        <v>301</v>
      </c>
      <c r="AE109" s="87" t="s">
        <v>302</v>
      </c>
      <c r="AF109" s="87" t="s">
        <v>108</v>
      </c>
      <c r="AG109" s="87">
        <v>1</v>
      </c>
      <c r="AH109" s="87" t="s">
        <v>160</v>
      </c>
      <c r="AI109" s="87" t="s">
        <v>155</v>
      </c>
      <c r="AJ109" s="87" t="s">
        <v>110</v>
      </c>
      <c r="AK109" s="87">
        <v>2</v>
      </c>
      <c r="AL109" s="87" t="s">
        <v>99</v>
      </c>
      <c r="AM109" s="87" t="s">
        <v>94</v>
      </c>
      <c r="AN109" s="87" t="s">
        <v>94</v>
      </c>
      <c r="AO109" s="87" t="s">
        <v>111</v>
      </c>
      <c r="AP109" s="87" t="s">
        <v>111</v>
      </c>
      <c r="AQ109" s="87" t="s">
        <v>155</v>
      </c>
      <c r="AR109" s="87" t="s">
        <v>119</v>
      </c>
      <c r="AS109" s="87" t="s">
        <v>114</v>
      </c>
      <c r="AT109" s="87" t="s">
        <v>120</v>
      </c>
      <c r="AU109" s="87" t="s">
        <v>116</v>
      </c>
      <c r="AV109" s="87" t="s">
        <v>303</v>
      </c>
      <c r="AW109" s="87">
        <v>2</v>
      </c>
      <c r="AX109" s="87"/>
      <c r="AY109" s="87"/>
      <c r="AZ109" s="87"/>
      <c r="BA109" s="87"/>
      <c r="BB109" s="87"/>
      <c r="BC109" s="87"/>
      <c r="BD109" s="87"/>
      <c r="BE109" s="87"/>
      <c r="BF109" s="87"/>
      <c r="BG109" s="87"/>
      <c r="BH109" s="87"/>
      <c r="BI109" s="87"/>
      <c r="BJ109">
        <v>3</v>
      </c>
      <c r="BK109" t="s">
        <v>307</v>
      </c>
      <c r="BL109" t="s">
        <v>355</v>
      </c>
      <c r="BM109" t="s">
        <v>304</v>
      </c>
      <c r="BN109">
        <v>-1.113</v>
      </c>
      <c r="BO109">
        <v>0.27800000000000002</v>
      </c>
      <c r="BP109">
        <v>1.7629999999999999</v>
      </c>
      <c r="BQ109" t="s">
        <v>161</v>
      </c>
      <c r="BR109">
        <v>11</v>
      </c>
      <c r="BS109">
        <v>12.616</v>
      </c>
      <c r="BT109">
        <v>15.584</v>
      </c>
      <c r="BU109">
        <v>18.831</v>
      </c>
      <c r="BV109" t="s">
        <v>161</v>
      </c>
      <c r="BW109">
        <v>13</v>
      </c>
      <c r="BX109" t="s">
        <v>305</v>
      </c>
      <c r="BY109">
        <v>15.584</v>
      </c>
      <c r="BZ109">
        <v>18.831</v>
      </c>
      <c r="CA109">
        <v>1.4849999999999999</v>
      </c>
      <c r="CB109">
        <v>3.2469999999999999</v>
      </c>
      <c r="CC109" t="s">
        <v>306</v>
      </c>
      <c r="CG109" t="s">
        <v>3095</v>
      </c>
    </row>
    <row r="110" spans="1:85" ht="14.5">
      <c r="A110">
        <v>8</v>
      </c>
      <c r="B110" t="s">
        <v>292</v>
      </c>
      <c r="C110">
        <v>2014</v>
      </c>
      <c r="D110" t="s">
        <v>293</v>
      </c>
      <c r="E110">
        <v>44706</v>
      </c>
      <c r="F110" t="s">
        <v>90</v>
      </c>
      <c r="G110" t="s">
        <v>91</v>
      </c>
      <c r="I110" t="s">
        <v>294</v>
      </c>
      <c r="J110" t="s">
        <v>295</v>
      </c>
      <c r="K110" s="87" t="s">
        <v>94</v>
      </c>
      <c r="L110" s="87" t="s">
        <v>94</v>
      </c>
      <c r="M110" s="87" t="s">
        <v>95</v>
      </c>
      <c r="N110" s="87" t="s">
        <v>296</v>
      </c>
      <c r="O110" s="87" t="s">
        <v>97</v>
      </c>
      <c r="P110" s="87" t="s">
        <v>97</v>
      </c>
      <c r="Q110" s="87"/>
      <c r="R110" s="87"/>
      <c r="S110" s="87" t="s">
        <v>90</v>
      </c>
      <c r="T110" s="117" t="s">
        <v>114</v>
      </c>
      <c r="U110" s="87" t="s">
        <v>98</v>
      </c>
      <c r="V110" s="87" t="s">
        <v>99</v>
      </c>
      <c r="W110" s="87">
        <v>1</v>
      </c>
      <c r="X110" s="87" t="s">
        <v>297</v>
      </c>
      <c r="Y110" s="87" t="s">
        <v>298</v>
      </c>
      <c r="Z110" s="87" t="s">
        <v>568</v>
      </c>
      <c r="AA110" s="87" t="s">
        <v>299</v>
      </c>
      <c r="AB110" s="87" t="s">
        <v>300</v>
      </c>
      <c r="AC110" s="87" t="s">
        <v>105</v>
      </c>
      <c r="AD110" s="87" t="s">
        <v>301</v>
      </c>
      <c r="AE110" s="87" t="s">
        <v>302</v>
      </c>
      <c r="AF110" s="87" t="s">
        <v>108</v>
      </c>
      <c r="AG110" s="87">
        <v>1</v>
      </c>
      <c r="AH110" s="87" t="s">
        <v>160</v>
      </c>
      <c r="AI110" s="87" t="s">
        <v>155</v>
      </c>
      <c r="AJ110" s="87" t="s">
        <v>110</v>
      </c>
      <c r="AK110" s="87">
        <v>2</v>
      </c>
      <c r="AL110" s="87" t="s">
        <v>99</v>
      </c>
      <c r="AM110" s="87" t="s">
        <v>94</v>
      </c>
      <c r="AN110" s="87" t="s">
        <v>94</v>
      </c>
      <c r="AO110" s="87" t="s">
        <v>111</v>
      </c>
      <c r="AP110" s="87" t="s">
        <v>111</v>
      </c>
      <c r="AQ110" s="87" t="s">
        <v>155</v>
      </c>
      <c r="AR110" s="87" t="s">
        <v>119</v>
      </c>
      <c r="AS110" s="87" t="s">
        <v>114</v>
      </c>
      <c r="AT110" s="87" t="s">
        <v>120</v>
      </c>
      <c r="AU110" s="87" t="s">
        <v>116</v>
      </c>
      <c r="AV110" s="87" t="s">
        <v>303</v>
      </c>
      <c r="AW110" s="87">
        <v>2</v>
      </c>
      <c r="AX110" s="87"/>
      <c r="AY110" s="87"/>
      <c r="AZ110" s="87"/>
      <c r="BA110" s="87"/>
      <c r="BB110" s="87"/>
      <c r="BC110" s="87"/>
      <c r="BD110" s="87"/>
      <c r="BE110" s="87"/>
      <c r="BF110" s="87"/>
      <c r="BG110" s="87"/>
      <c r="BH110" s="87"/>
      <c r="BI110" s="87"/>
      <c r="BJ110">
        <v>0</v>
      </c>
      <c r="BK110" t="s">
        <v>126</v>
      </c>
      <c r="BL110" t="s">
        <v>355</v>
      </c>
      <c r="BM110" t="s">
        <v>308</v>
      </c>
      <c r="BN110">
        <v>5.67E-2</v>
      </c>
      <c r="BO110">
        <v>6.59E-2</v>
      </c>
      <c r="BP110">
        <v>7.2599999999999998E-2</v>
      </c>
      <c r="BQ110" t="s">
        <v>161</v>
      </c>
      <c r="BR110">
        <v>14</v>
      </c>
      <c r="BS110">
        <v>0.14599999999999999</v>
      </c>
      <c r="BT110">
        <v>0.16</v>
      </c>
      <c r="BU110">
        <v>0.17599999999999999</v>
      </c>
      <c r="BV110" t="s">
        <v>161</v>
      </c>
      <c r="BW110">
        <v>14</v>
      </c>
      <c r="BX110" t="s">
        <v>308</v>
      </c>
      <c r="BY110">
        <v>0.16</v>
      </c>
      <c r="BZ110">
        <v>0.17599999999999999</v>
      </c>
      <c r="CA110">
        <v>6.6999999999999976E-3</v>
      </c>
      <c r="CB110">
        <v>1.5999999999999986E-2</v>
      </c>
      <c r="CC110" t="s">
        <v>309</v>
      </c>
      <c r="CF110" t="s">
        <v>310</v>
      </c>
      <c r="CG110" t="s">
        <v>3095</v>
      </c>
    </row>
    <row r="111" spans="1:85" ht="14.5">
      <c r="A111">
        <v>8</v>
      </c>
      <c r="B111" t="s">
        <v>292</v>
      </c>
      <c r="C111">
        <v>2014</v>
      </c>
      <c r="D111" t="s">
        <v>293</v>
      </c>
      <c r="E111">
        <v>44706</v>
      </c>
      <c r="F111" t="s">
        <v>90</v>
      </c>
      <c r="G111" t="s">
        <v>91</v>
      </c>
      <c r="I111" t="s">
        <v>294</v>
      </c>
      <c r="J111" t="s">
        <v>295</v>
      </c>
      <c r="K111" s="87" t="s">
        <v>94</v>
      </c>
      <c r="L111" s="87" t="s">
        <v>94</v>
      </c>
      <c r="M111" s="87" t="s">
        <v>95</v>
      </c>
      <c r="N111" s="87" t="s">
        <v>296</v>
      </c>
      <c r="O111" s="87" t="s">
        <v>97</v>
      </c>
      <c r="P111" s="87" t="s">
        <v>97</v>
      </c>
      <c r="Q111" s="87"/>
      <c r="R111" s="87"/>
      <c r="S111" s="87" t="s">
        <v>90</v>
      </c>
      <c r="T111" s="117" t="s">
        <v>114</v>
      </c>
      <c r="U111" s="87" t="s">
        <v>98</v>
      </c>
      <c r="V111" s="87" t="s">
        <v>99</v>
      </c>
      <c r="W111" s="87">
        <v>1</v>
      </c>
      <c r="X111" s="87" t="s">
        <v>297</v>
      </c>
      <c r="Y111" s="87" t="s">
        <v>298</v>
      </c>
      <c r="Z111" s="87" t="s">
        <v>568</v>
      </c>
      <c r="AA111" s="87" t="s">
        <v>299</v>
      </c>
      <c r="AB111" s="87" t="s">
        <v>300</v>
      </c>
      <c r="AC111" s="87" t="s">
        <v>105</v>
      </c>
      <c r="AD111" s="87" t="s">
        <v>301</v>
      </c>
      <c r="AE111" s="87" t="s">
        <v>302</v>
      </c>
      <c r="AF111" s="87" t="s">
        <v>108</v>
      </c>
      <c r="AG111" s="87">
        <v>1</v>
      </c>
      <c r="AH111" s="87" t="s">
        <v>160</v>
      </c>
      <c r="AI111" s="87" t="s">
        <v>155</v>
      </c>
      <c r="AJ111" s="87" t="s">
        <v>110</v>
      </c>
      <c r="AK111" s="87">
        <v>2</v>
      </c>
      <c r="AL111" s="87" t="s">
        <v>99</v>
      </c>
      <c r="AM111" s="87" t="s">
        <v>94</v>
      </c>
      <c r="AN111" s="87" t="s">
        <v>94</v>
      </c>
      <c r="AO111" s="87" t="s">
        <v>111</v>
      </c>
      <c r="AP111" s="87" t="s">
        <v>111</v>
      </c>
      <c r="AQ111" s="87" t="s">
        <v>155</v>
      </c>
      <c r="AR111" s="87" t="s">
        <v>119</v>
      </c>
      <c r="AS111" s="87" t="s">
        <v>114</v>
      </c>
      <c r="AT111" s="87" t="s">
        <v>120</v>
      </c>
      <c r="AU111" s="87" t="s">
        <v>116</v>
      </c>
      <c r="AV111" s="87" t="s">
        <v>303</v>
      </c>
      <c r="AW111" s="87">
        <v>2</v>
      </c>
      <c r="AX111" s="87"/>
      <c r="AY111" s="87"/>
      <c r="AZ111" s="87"/>
      <c r="BA111" s="87"/>
      <c r="BB111" s="87"/>
      <c r="BC111" s="87"/>
      <c r="BD111" s="87"/>
      <c r="BE111" s="87"/>
      <c r="BF111" s="87"/>
      <c r="BG111" s="87"/>
      <c r="BH111" s="87"/>
      <c r="BI111" s="87"/>
      <c r="BJ111">
        <v>3</v>
      </c>
      <c r="BK111" t="s">
        <v>307</v>
      </c>
      <c r="BL111" t="s">
        <v>355</v>
      </c>
      <c r="BM111" t="s">
        <v>308</v>
      </c>
      <c r="BN111">
        <v>-3.1800000000000002E-2</v>
      </c>
      <c r="BO111">
        <v>-1.34E-2</v>
      </c>
      <c r="BP111">
        <v>3.0100000000000001E-3</v>
      </c>
      <c r="BQ111" t="s">
        <v>161</v>
      </c>
      <c r="BR111">
        <v>11</v>
      </c>
      <c r="BS111">
        <v>6.1199999999999997E-2</v>
      </c>
      <c r="BT111">
        <v>7.7899999999999997E-2</v>
      </c>
      <c r="BU111">
        <v>9.0899999999999995E-2</v>
      </c>
      <c r="BV111" t="s">
        <v>161</v>
      </c>
      <c r="BW111">
        <v>13</v>
      </c>
      <c r="BX111" t="s">
        <v>308</v>
      </c>
      <c r="BY111">
        <v>7.7899999999999997E-2</v>
      </c>
      <c r="BZ111">
        <v>9.0899999999999995E-2</v>
      </c>
      <c r="CA111">
        <v>1.6410000000000001E-2</v>
      </c>
      <c r="CB111">
        <v>1.2999999999999998E-2</v>
      </c>
      <c r="CC111" t="s">
        <v>309</v>
      </c>
      <c r="CF111" t="s">
        <v>310</v>
      </c>
      <c r="CG111" t="s">
        <v>3095</v>
      </c>
    </row>
    <row r="112" spans="1:85" ht="14.5">
      <c r="A112" s="87">
        <v>9</v>
      </c>
      <c r="B112" s="87" t="s">
        <v>323</v>
      </c>
      <c r="C112" s="87">
        <v>2015</v>
      </c>
      <c r="D112" s="87" t="s">
        <v>324</v>
      </c>
      <c r="E112" s="88">
        <v>44712</v>
      </c>
      <c r="F112" t="s">
        <v>90</v>
      </c>
      <c r="G112" s="87" t="s">
        <v>495</v>
      </c>
      <c r="H112" s="87"/>
      <c r="I112" s="87" t="s">
        <v>325</v>
      </c>
      <c r="J112" s="87" t="s">
        <v>326</v>
      </c>
      <c r="K112" s="87" t="s">
        <v>97</v>
      </c>
      <c r="L112" s="87" t="s">
        <v>97</v>
      </c>
      <c r="M112" s="87" t="s">
        <v>95</v>
      </c>
      <c r="N112" s="87" t="s">
        <v>327</v>
      </c>
      <c r="O112" s="87" t="s">
        <v>90</v>
      </c>
      <c r="P112" s="87" t="s">
        <v>97</v>
      </c>
      <c r="Q112" s="87" t="s">
        <v>328</v>
      </c>
      <c r="R112" s="87"/>
      <c r="S112" s="87" t="s">
        <v>90</v>
      </c>
      <c r="T112" s="117" t="s">
        <v>114</v>
      </c>
      <c r="U112" s="87" t="s">
        <v>98</v>
      </c>
      <c r="V112" s="87" t="s">
        <v>99</v>
      </c>
      <c r="W112" s="87">
        <v>1</v>
      </c>
      <c r="X112" s="87" t="s">
        <v>329</v>
      </c>
      <c r="Y112" s="87" t="s">
        <v>330</v>
      </c>
      <c r="Z112" s="87" t="s">
        <v>568</v>
      </c>
      <c r="AA112" s="87" t="s">
        <v>331</v>
      </c>
      <c r="AB112" s="87" t="s">
        <v>332</v>
      </c>
      <c r="AC112" s="87" t="s">
        <v>20</v>
      </c>
      <c r="AD112" s="87" t="s">
        <v>333</v>
      </c>
      <c r="AE112" s="87" t="s">
        <v>334</v>
      </c>
      <c r="AF112" s="87" t="s">
        <v>108</v>
      </c>
      <c r="AG112" s="87">
        <v>1</v>
      </c>
      <c r="AH112" s="87" t="s">
        <v>160</v>
      </c>
      <c r="AI112" s="87" t="s">
        <v>155</v>
      </c>
      <c r="AJ112" s="87" t="s">
        <v>110</v>
      </c>
      <c r="AK112" s="87">
        <v>2</v>
      </c>
      <c r="AL112" s="87" t="s">
        <v>99</v>
      </c>
      <c r="AM112" s="87" t="s">
        <v>94</v>
      </c>
      <c r="AN112" s="87" t="s">
        <v>94</v>
      </c>
      <c r="AO112" s="87" t="s">
        <v>111</v>
      </c>
      <c r="AP112" s="87" t="s">
        <v>111</v>
      </c>
      <c r="AQ112" s="87" t="s">
        <v>155</v>
      </c>
      <c r="AR112" s="87" t="s">
        <v>119</v>
      </c>
      <c r="AS112" s="87" t="s">
        <v>114</v>
      </c>
      <c r="AT112" s="87" t="s">
        <v>120</v>
      </c>
      <c r="AU112" s="87" t="s">
        <v>116</v>
      </c>
      <c r="AV112" s="87" t="s">
        <v>335</v>
      </c>
      <c r="AW112" s="87">
        <v>3</v>
      </c>
      <c r="AX112" s="87"/>
      <c r="AY112" s="87"/>
      <c r="AZ112" s="87"/>
      <c r="BA112" s="87"/>
      <c r="BB112" s="87"/>
      <c r="BC112" s="87"/>
      <c r="BD112" s="87"/>
      <c r="BE112" s="87"/>
      <c r="BF112" s="87"/>
      <c r="BG112" s="87"/>
      <c r="BH112" s="87"/>
      <c r="BI112" s="87"/>
      <c r="BJ112" s="87">
        <v>8</v>
      </c>
      <c r="BK112" s="87" t="s">
        <v>496</v>
      </c>
      <c r="BL112" t="s">
        <v>355</v>
      </c>
      <c r="BM112" s="87" t="s">
        <v>339</v>
      </c>
      <c r="BN112" s="87">
        <v>199.721</v>
      </c>
      <c r="BO112" s="87">
        <v>233.24</v>
      </c>
      <c r="BP112" s="87">
        <v>263.96600000000001</v>
      </c>
      <c r="BQ112" s="87" t="s">
        <v>129</v>
      </c>
      <c r="BR112" s="87">
        <v>9</v>
      </c>
      <c r="BS112" s="87">
        <v>382.68200000000002</v>
      </c>
      <c r="BT112" s="87">
        <v>414.80399999999997</v>
      </c>
      <c r="BU112" s="87">
        <v>452.51400000000001</v>
      </c>
      <c r="BV112" s="87" t="s">
        <v>129</v>
      </c>
      <c r="BW112" s="87">
        <v>9</v>
      </c>
      <c r="BX112" s="87" t="s">
        <v>340</v>
      </c>
      <c r="BY112" s="87">
        <v>414.80399999999997</v>
      </c>
      <c r="BZ112" s="87">
        <v>452.51400000000001</v>
      </c>
      <c r="CA112">
        <v>30.725999999999999</v>
      </c>
      <c r="CB112">
        <v>37.710000000000036</v>
      </c>
      <c r="CC112" s="87" t="s">
        <v>309</v>
      </c>
      <c r="CD112" s="87"/>
      <c r="CE112" s="87"/>
      <c r="CF112" s="87"/>
      <c r="CG112" t="s">
        <v>3095</v>
      </c>
    </row>
    <row r="113" spans="1:85" ht="14.5">
      <c r="A113" s="87">
        <v>9</v>
      </c>
      <c r="B113" s="87" t="s">
        <v>323</v>
      </c>
      <c r="C113" s="87">
        <v>2015</v>
      </c>
      <c r="D113" s="87" t="s">
        <v>324</v>
      </c>
      <c r="E113" s="88">
        <v>44712</v>
      </c>
      <c r="F113" t="s">
        <v>90</v>
      </c>
      <c r="G113" s="87" t="s">
        <v>495</v>
      </c>
      <c r="H113" s="87"/>
      <c r="I113" s="87" t="s">
        <v>325</v>
      </c>
      <c r="J113" s="87" t="s">
        <v>326</v>
      </c>
      <c r="K113" s="87" t="s">
        <v>97</v>
      </c>
      <c r="L113" s="87" t="s">
        <v>97</v>
      </c>
      <c r="M113" s="87" t="s">
        <v>95</v>
      </c>
      <c r="N113" s="87" t="s">
        <v>327</v>
      </c>
      <c r="O113" s="87" t="s">
        <v>90</v>
      </c>
      <c r="P113" s="87" t="s">
        <v>97</v>
      </c>
      <c r="Q113" s="87" t="s">
        <v>328</v>
      </c>
      <c r="R113" s="87"/>
      <c r="S113" s="87" t="s">
        <v>90</v>
      </c>
      <c r="T113" s="117" t="s">
        <v>114</v>
      </c>
      <c r="U113" s="87" t="s">
        <v>98</v>
      </c>
      <c r="V113" s="87" t="s">
        <v>99</v>
      </c>
      <c r="W113" s="87">
        <v>1</v>
      </c>
      <c r="X113" s="87" t="s">
        <v>329</v>
      </c>
      <c r="Y113" s="87" t="s">
        <v>330</v>
      </c>
      <c r="Z113" s="87" t="s">
        <v>568</v>
      </c>
      <c r="AA113" s="87" t="s">
        <v>331</v>
      </c>
      <c r="AB113" s="87" t="s">
        <v>332</v>
      </c>
      <c r="AC113" s="87" t="s">
        <v>20</v>
      </c>
      <c r="AD113" s="87" t="s">
        <v>333</v>
      </c>
      <c r="AE113" s="87" t="s">
        <v>334</v>
      </c>
      <c r="AF113" s="87" t="s">
        <v>108</v>
      </c>
      <c r="AG113" s="87">
        <v>1</v>
      </c>
      <c r="AH113" s="87" t="s">
        <v>160</v>
      </c>
      <c r="AI113" s="87" t="s">
        <v>155</v>
      </c>
      <c r="AJ113" s="87" t="s">
        <v>110</v>
      </c>
      <c r="AK113" s="87">
        <v>2</v>
      </c>
      <c r="AL113" s="87" t="s">
        <v>99</v>
      </c>
      <c r="AM113" s="87" t="s">
        <v>94</v>
      </c>
      <c r="AN113" s="87" t="s">
        <v>94</v>
      </c>
      <c r="AO113" s="87" t="s">
        <v>111</v>
      </c>
      <c r="AP113" s="87" t="s">
        <v>111</v>
      </c>
      <c r="AQ113" s="87" t="s">
        <v>155</v>
      </c>
      <c r="AR113" s="87" t="s">
        <v>119</v>
      </c>
      <c r="AS113" s="87" t="s">
        <v>114</v>
      </c>
      <c r="AT113" s="87" t="s">
        <v>120</v>
      </c>
      <c r="AU113" s="87" t="s">
        <v>116</v>
      </c>
      <c r="AV113" s="87" t="s">
        <v>335</v>
      </c>
      <c r="AW113" s="87">
        <v>3</v>
      </c>
      <c r="AX113" s="87"/>
      <c r="AY113" s="87"/>
      <c r="AZ113" s="87"/>
      <c r="BA113" s="87"/>
      <c r="BB113" s="87"/>
      <c r="BC113" s="87"/>
      <c r="BD113" s="87"/>
      <c r="BE113" s="87"/>
      <c r="BF113" s="87"/>
      <c r="BG113" s="87"/>
      <c r="BH113" s="87"/>
      <c r="BI113" s="87"/>
      <c r="BJ113" s="87">
        <v>5.5</v>
      </c>
      <c r="BK113" s="87" t="s">
        <v>497</v>
      </c>
      <c r="BL113" t="s">
        <v>355</v>
      </c>
      <c r="BM113" s="87" t="s">
        <v>339</v>
      </c>
      <c r="BN113" s="87">
        <v>122.905</v>
      </c>
      <c r="BO113" s="87">
        <v>136.87200000000001</v>
      </c>
      <c r="BP113" s="87">
        <v>150.83799999999999</v>
      </c>
      <c r="BQ113" s="87" t="s">
        <v>129</v>
      </c>
      <c r="BR113" s="87">
        <v>9</v>
      </c>
      <c r="BS113" s="87">
        <v>226.25700000000001</v>
      </c>
      <c r="BT113" s="87">
        <v>248.60300000000001</v>
      </c>
      <c r="BU113" s="87">
        <v>273.74299999999999</v>
      </c>
      <c r="BV113" s="87" t="s">
        <v>129</v>
      </c>
      <c r="BW113" s="87">
        <v>10</v>
      </c>
      <c r="BX113" s="87" t="s">
        <v>340</v>
      </c>
      <c r="BY113" s="87">
        <v>248.60300000000001</v>
      </c>
      <c r="BZ113" s="87">
        <v>273.74299999999999</v>
      </c>
      <c r="CA113">
        <v>13.96599999999998</v>
      </c>
      <c r="CB113">
        <v>25.139999999999986</v>
      </c>
      <c r="CC113" s="87" t="s">
        <v>309</v>
      </c>
      <c r="CD113" s="87"/>
      <c r="CE113" s="87"/>
      <c r="CF113" s="87"/>
      <c r="CG113" t="s">
        <v>3095</v>
      </c>
    </row>
    <row r="114" spans="1:85" ht="14.5">
      <c r="A114" s="87">
        <v>9</v>
      </c>
      <c r="B114" s="87" t="s">
        <v>323</v>
      </c>
      <c r="C114" s="87">
        <v>2015</v>
      </c>
      <c r="D114" s="87" t="s">
        <v>324</v>
      </c>
      <c r="E114" s="88">
        <v>44712</v>
      </c>
      <c r="F114" t="s">
        <v>90</v>
      </c>
      <c r="G114" s="87" t="s">
        <v>495</v>
      </c>
      <c r="H114" s="87"/>
      <c r="I114" s="87" t="s">
        <v>325</v>
      </c>
      <c r="J114" s="87" t="s">
        <v>326</v>
      </c>
      <c r="K114" s="87" t="s">
        <v>97</v>
      </c>
      <c r="L114" s="87" t="s">
        <v>97</v>
      </c>
      <c r="M114" s="87" t="s">
        <v>95</v>
      </c>
      <c r="N114" s="87" t="s">
        <v>327</v>
      </c>
      <c r="O114" s="87" t="s">
        <v>90</v>
      </c>
      <c r="P114" s="87" t="s">
        <v>97</v>
      </c>
      <c r="Q114" s="87" t="s">
        <v>328</v>
      </c>
      <c r="R114" s="87"/>
      <c r="S114" s="87" t="s">
        <v>90</v>
      </c>
      <c r="T114" s="117" t="s">
        <v>114</v>
      </c>
      <c r="U114" s="87" t="s">
        <v>98</v>
      </c>
      <c r="V114" s="87" t="s">
        <v>99</v>
      </c>
      <c r="W114" s="87">
        <v>1</v>
      </c>
      <c r="X114" s="87" t="s">
        <v>329</v>
      </c>
      <c r="Y114" s="87" t="s">
        <v>330</v>
      </c>
      <c r="Z114" s="87" t="s">
        <v>568</v>
      </c>
      <c r="AA114" s="87" t="s">
        <v>331</v>
      </c>
      <c r="AB114" s="87" t="s">
        <v>332</v>
      </c>
      <c r="AC114" s="87" t="s">
        <v>20</v>
      </c>
      <c r="AD114" s="87" t="s">
        <v>333</v>
      </c>
      <c r="AE114" s="87" t="s">
        <v>334</v>
      </c>
      <c r="AF114" s="87" t="s">
        <v>108</v>
      </c>
      <c r="AG114" s="87">
        <v>1</v>
      </c>
      <c r="AH114" s="87" t="s">
        <v>160</v>
      </c>
      <c r="AI114" s="87" t="s">
        <v>155</v>
      </c>
      <c r="AJ114" s="87" t="s">
        <v>110</v>
      </c>
      <c r="AK114" s="87">
        <v>2</v>
      </c>
      <c r="AL114" s="87" t="s">
        <v>99</v>
      </c>
      <c r="AM114" s="87" t="s">
        <v>94</v>
      </c>
      <c r="AN114" s="87" t="s">
        <v>94</v>
      </c>
      <c r="AO114" s="87" t="s">
        <v>111</v>
      </c>
      <c r="AP114" s="87" t="s">
        <v>111</v>
      </c>
      <c r="AQ114" s="87" t="s">
        <v>155</v>
      </c>
      <c r="AR114" s="87" t="s">
        <v>119</v>
      </c>
      <c r="AS114" s="87" t="s">
        <v>114</v>
      </c>
      <c r="AT114" s="87" t="s">
        <v>120</v>
      </c>
      <c r="AU114" s="87" t="s">
        <v>116</v>
      </c>
      <c r="AV114" s="87" t="s">
        <v>335</v>
      </c>
      <c r="AW114" s="87">
        <v>3</v>
      </c>
      <c r="AX114" s="87"/>
      <c r="AY114" s="87"/>
      <c r="AZ114" s="87"/>
      <c r="BA114" s="87"/>
      <c r="BB114" s="87"/>
      <c r="BC114" s="87"/>
      <c r="BD114" s="87"/>
      <c r="BE114" s="87"/>
      <c r="BF114" s="87"/>
      <c r="BG114" s="87"/>
      <c r="BH114" s="87"/>
      <c r="BI114" s="87"/>
      <c r="BJ114" s="87">
        <v>0</v>
      </c>
      <c r="BK114" s="87" t="s">
        <v>498</v>
      </c>
      <c r="BL114" t="s">
        <v>355</v>
      </c>
      <c r="BM114" s="87" t="s">
        <v>339</v>
      </c>
      <c r="BN114" s="87">
        <v>104.749</v>
      </c>
      <c r="BO114" s="87">
        <v>115.922</v>
      </c>
      <c r="BP114" s="87">
        <v>129.88800000000001</v>
      </c>
      <c r="BQ114" s="87" t="s">
        <v>129</v>
      </c>
      <c r="BR114" s="87">
        <v>9</v>
      </c>
      <c r="BS114" s="87">
        <v>192.73699999999999</v>
      </c>
      <c r="BT114" s="87">
        <v>201.11699999999999</v>
      </c>
      <c r="BU114" s="87">
        <v>213.68700000000001</v>
      </c>
      <c r="BV114" s="87" t="s">
        <v>129</v>
      </c>
      <c r="BW114" s="87">
        <v>10</v>
      </c>
      <c r="BX114" s="87" t="s">
        <v>340</v>
      </c>
      <c r="BY114" s="87">
        <v>201.11699999999999</v>
      </c>
      <c r="BZ114" s="87">
        <v>213.68700000000001</v>
      </c>
      <c r="CA114">
        <v>13.966000000000008</v>
      </c>
      <c r="CB114">
        <v>12.570000000000022</v>
      </c>
      <c r="CC114" s="87" t="s">
        <v>309</v>
      </c>
      <c r="CD114" s="87"/>
      <c r="CE114" s="87"/>
      <c r="CF114" s="87"/>
      <c r="CG114" t="s">
        <v>3095</v>
      </c>
    </row>
    <row r="115" spans="1:85" ht="14.5">
      <c r="A115" s="87">
        <v>9</v>
      </c>
      <c r="B115" s="87" t="s">
        <v>323</v>
      </c>
      <c r="C115" s="87">
        <v>2015</v>
      </c>
      <c r="D115" s="87" t="s">
        <v>324</v>
      </c>
      <c r="E115" s="88">
        <v>44712</v>
      </c>
      <c r="F115" t="s">
        <v>90</v>
      </c>
      <c r="G115" s="87" t="s">
        <v>495</v>
      </c>
      <c r="H115" s="87"/>
      <c r="I115" s="87" t="s">
        <v>325</v>
      </c>
      <c r="J115" s="87" t="s">
        <v>326</v>
      </c>
      <c r="K115" s="87" t="s">
        <v>97</v>
      </c>
      <c r="L115" s="87" t="s">
        <v>97</v>
      </c>
      <c r="M115" s="87" t="s">
        <v>95</v>
      </c>
      <c r="N115" s="87" t="s">
        <v>327</v>
      </c>
      <c r="O115" s="87" t="s">
        <v>90</v>
      </c>
      <c r="P115" s="87" t="s">
        <v>97</v>
      </c>
      <c r="Q115" s="87" t="s">
        <v>328</v>
      </c>
      <c r="R115" s="87"/>
      <c r="S115" s="87" t="s">
        <v>90</v>
      </c>
      <c r="T115" s="117" t="s">
        <v>114</v>
      </c>
      <c r="U115" s="87" t="s">
        <v>98</v>
      </c>
      <c r="V115" s="87" t="s">
        <v>99</v>
      </c>
      <c r="W115" s="87">
        <v>1</v>
      </c>
      <c r="X115" s="87" t="s">
        <v>329</v>
      </c>
      <c r="Y115" s="87" t="s">
        <v>330</v>
      </c>
      <c r="Z115" s="87" t="s">
        <v>568</v>
      </c>
      <c r="AA115" s="87" t="s">
        <v>331</v>
      </c>
      <c r="AB115" s="87" t="s">
        <v>332</v>
      </c>
      <c r="AC115" s="87" t="s">
        <v>20</v>
      </c>
      <c r="AD115" s="87" t="s">
        <v>333</v>
      </c>
      <c r="AE115" s="87" t="s">
        <v>334</v>
      </c>
      <c r="AF115" s="87" t="s">
        <v>108</v>
      </c>
      <c r="AG115" s="87">
        <v>1</v>
      </c>
      <c r="AH115" s="87" t="s">
        <v>160</v>
      </c>
      <c r="AI115" s="87" t="s">
        <v>155</v>
      </c>
      <c r="AJ115" s="87" t="s">
        <v>110</v>
      </c>
      <c r="AK115" s="87">
        <v>2</v>
      </c>
      <c r="AL115" s="87" t="s">
        <v>99</v>
      </c>
      <c r="AM115" s="87" t="s">
        <v>94</v>
      </c>
      <c r="AN115" s="87" t="s">
        <v>94</v>
      </c>
      <c r="AO115" s="87" t="s">
        <v>111</v>
      </c>
      <c r="AP115" s="87" t="s">
        <v>111</v>
      </c>
      <c r="AQ115" s="87" t="s">
        <v>155</v>
      </c>
      <c r="AR115" s="87" t="s">
        <v>119</v>
      </c>
      <c r="AS115" s="87" t="s">
        <v>114</v>
      </c>
      <c r="AT115" s="87" t="s">
        <v>120</v>
      </c>
      <c r="AU115" s="87" t="s">
        <v>116</v>
      </c>
      <c r="AV115" s="87" t="s">
        <v>335</v>
      </c>
      <c r="AW115" s="87">
        <v>3</v>
      </c>
      <c r="AX115" s="87"/>
      <c r="AY115" s="87"/>
      <c r="AZ115" s="87"/>
      <c r="BA115" s="87"/>
      <c r="BB115" s="87"/>
      <c r="BC115" s="87"/>
      <c r="BD115" s="87"/>
      <c r="BE115" s="87"/>
      <c r="BF115" s="87"/>
      <c r="BG115" s="87"/>
      <c r="BH115" s="87"/>
      <c r="BI115" s="87"/>
      <c r="BJ115" s="87">
        <v>8</v>
      </c>
      <c r="BK115" s="87" t="s">
        <v>496</v>
      </c>
      <c r="BL115" t="s">
        <v>355</v>
      </c>
      <c r="BM115" s="87" t="s">
        <v>308</v>
      </c>
      <c r="BN115" s="87">
        <v>0.23599999999999999</v>
      </c>
      <c r="BO115" s="87">
        <v>0.25800000000000001</v>
      </c>
      <c r="BP115" s="87">
        <v>0.28100000000000003</v>
      </c>
      <c r="BQ115" s="87" t="s">
        <v>129</v>
      </c>
      <c r="BR115" s="87">
        <v>9</v>
      </c>
      <c r="BS115" s="87">
        <v>0.32800000000000001</v>
      </c>
      <c r="BT115" s="87">
        <v>0.34799999999999998</v>
      </c>
      <c r="BU115" s="87">
        <v>0.373</v>
      </c>
      <c r="BV115" s="87" t="s">
        <v>129</v>
      </c>
      <c r="BW115" s="87">
        <v>9</v>
      </c>
      <c r="BX115" s="87" t="s">
        <v>111</v>
      </c>
      <c r="BY115" s="87">
        <v>0.34799999999999998</v>
      </c>
      <c r="BZ115" s="87">
        <v>0.373</v>
      </c>
      <c r="CA115">
        <v>2.300000000000002E-2</v>
      </c>
      <c r="CB115">
        <v>2.5000000000000022E-2</v>
      </c>
      <c r="CC115" s="87" t="s">
        <v>337</v>
      </c>
      <c r="CD115" s="87"/>
      <c r="CE115" s="87"/>
      <c r="CF115" s="87" t="s">
        <v>338</v>
      </c>
      <c r="CG115" t="s">
        <v>3095</v>
      </c>
    </row>
    <row r="116" spans="1:85" ht="14.5">
      <c r="A116" s="87">
        <v>9</v>
      </c>
      <c r="B116" s="87" t="s">
        <v>323</v>
      </c>
      <c r="C116" s="87">
        <v>2015</v>
      </c>
      <c r="D116" s="87" t="s">
        <v>324</v>
      </c>
      <c r="E116" s="88">
        <v>44712</v>
      </c>
      <c r="F116" t="s">
        <v>90</v>
      </c>
      <c r="G116" s="87" t="s">
        <v>495</v>
      </c>
      <c r="H116" s="87"/>
      <c r="I116" s="87" t="s">
        <v>325</v>
      </c>
      <c r="J116" s="87" t="s">
        <v>326</v>
      </c>
      <c r="K116" s="87" t="s">
        <v>97</v>
      </c>
      <c r="L116" s="87" t="s">
        <v>97</v>
      </c>
      <c r="M116" s="87" t="s">
        <v>95</v>
      </c>
      <c r="N116" s="87" t="s">
        <v>327</v>
      </c>
      <c r="O116" s="87" t="s">
        <v>90</v>
      </c>
      <c r="P116" s="87" t="s">
        <v>97</v>
      </c>
      <c r="Q116" s="87" t="s">
        <v>328</v>
      </c>
      <c r="R116" s="87"/>
      <c r="S116" s="87" t="s">
        <v>90</v>
      </c>
      <c r="T116" s="117" t="s">
        <v>114</v>
      </c>
      <c r="U116" s="87" t="s">
        <v>98</v>
      </c>
      <c r="V116" s="87" t="s">
        <v>99</v>
      </c>
      <c r="W116" s="87">
        <v>1</v>
      </c>
      <c r="X116" s="87" t="s">
        <v>329</v>
      </c>
      <c r="Y116" s="87" t="s">
        <v>330</v>
      </c>
      <c r="Z116" s="87" t="s">
        <v>568</v>
      </c>
      <c r="AA116" s="87" t="s">
        <v>331</v>
      </c>
      <c r="AB116" s="87" t="s">
        <v>332</v>
      </c>
      <c r="AC116" s="87" t="s">
        <v>20</v>
      </c>
      <c r="AD116" s="87" t="s">
        <v>333</v>
      </c>
      <c r="AE116" s="87" t="s">
        <v>334</v>
      </c>
      <c r="AF116" s="87" t="s">
        <v>108</v>
      </c>
      <c r="AG116" s="87">
        <v>1</v>
      </c>
      <c r="AH116" s="87" t="s">
        <v>160</v>
      </c>
      <c r="AI116" s="87" t="s">
        <v>155</v>
      </c>
      <c r="AJ116" s="87" t="s">
        <v>110</v>
      </c>
      <c r="AK116" s="87">
        <v>2</v>
      </c>
      <c r="AL116" s="87" t="s">
        <v>99</v>
      </c>
      <c r="AM116" s="87" t="s">
        <v>94</v>
      </c>
      <c r="AN116" s="87" t="s">
        <v>94</v>
      </c>
      <c r="AO116" s="87" t="s">
        <v>111</v>
      </c>
      <c r="AP116" s="87" t="s">
        <v>111</v>
      </c>
      <c r="AQ116" s="87" t="s">
        <v>155</v>
      </c>
      <c r="AR116" s="87" t="s">
        <v>119</v>
      </c>
      <c r="AS116" s="87" t="s">
        <v>114</v>
      </c>
      <c r="AT116" s="87" t="s">
        <v>120</v>
      </c>
      <c r="AU116" s="87" t="s">
        <v>116</v>
      </c>
      <c r="AV116" s="87" t="s">
        <v>335</v>
      </c>
      <c r="AW116" s="87">
        <v>3</v>
      </c>
      <c r="AX116" s="87"/>
      <c r="AY116" s="87"/>
      <c r="AZ116" s="87"/>
      <c r="BA116" s="87"/>
      <c r="BB116" s="87"/>
      <c r="BC116" s="87"/>
      <c r="BD116" s="87"/>
      <c r="BE116" s="87"/>
      <c r="BF116" s="87"/>
      <c r="BG116" s="87"/>
      <c r="BH116" s="87"/>
      <c r="BI116" s="87"/>
      <c r="BJ116" s="87">
        <v>5.5</v>
      </c>
      <c r="BK116" s="87" t="s">
        <v>497</v>
      </c>
      <c r="BL116" t="s">
        <v>355</v>
      </c>
      <c r="BM116" s="87" t="s">
        <v>308</v>
      </c>
      <c r="BN116" s="87">
        <v>0.222</v>
      </c>
      <c r="BO116" s="87">
        <v>0.24299999999999999</v>
      </c>
      <c r="BP116" s="87">
        <v>0.26300000000000001</v>
      </c>
      <c r="BQ116" s="87" t="s">
        <v>129</v>
      </c>
      <c r="BR116" s="87">
        <v>9</v>
      </c>
      <c r="BS116" s="87">
        <v>0.32100000000000001</v>
      </c>
      <c r="BT116" s="87">
        <v>0.34</v>
      </c>
      <c r="BU116" s="87">
        <v>0.36</v>
      </c>
      <c r="BV116" s="87" t="s">
        <v>129</v>
      </c>
      <c r="BW116" s="87">
        <v>10</v>
      </c>
      <c r="BX116" s="87" t="s">
        <v>111</v>
      </c>
      <c r="BY116" s="87">
        <v>0.34</v>
      </c>
      <c r="BZ116" s="87">
        <v>0.36</v>
      </c>
      <c r="CA116">
        <v>2.0000000000000018E-2</v>
      </c>
      <c r="CB116">
        <v>1.9999999999999962E-2</v>
      </c>
      <c r="CC116" s="87" t="s">
        <v>337</v>
      </c>
      <c r="CD116" s="87"/>
      <c r="CE116" s="87"/>
      <c r="CF116" s="87" t="s">
        <v>338</v>
      </c>
      <c r="CG116" t="s">
        <v>3095</v>
      </c>
    </row>
    <row r="117" spans="1:85" ht="14.5">
      <c r="A117" s="87">
        <v>9</v>
      </c>
      <c r="B117" s="87" t="s">
        <v>323</v>
      </c>
      <c r="C117" s="87">
        <v>2015</v>
      </c>
      <c r="D117" s="87" t="s">
        <v>324</v>
      </c>
      <c r="E117" s="88">
        <v>44712</v>
      </c>
      <c r="F117" t="s">
        <v>90</v>
      </c>
      <c r="G117" s="87" t="s">
        <v>495</v>
      </c>
      <c r="H117" s="87"/>
      <c r="I117" s="87" t="s">
        <v>325</v>
      </c>
      <c r="J117" s="87" t="s">
        <v>326</v>
      </c>
      <c r="K117" s="87" t="s">
        <v>97</v>
      </c>
      <c r="L117" s="87" t="s">
        <v>97</v>
      </c>
      <c r="M117" s="87" t="s">
        <v>95</v>
      </c>
      <c r="N117" s="87" t="s">
        <v>327</v>
      </c>
      <c r="O117" s="87" t="s">
        <v>90</v>
      </c>
      <c r="P117" s="87" t="s">
        <v>97</v>
      </c>
      <c r="Q117" s="87" t="s">
        <v>328</v>
      </c>
      <c r="R117" s="87"/>
      <c r="S117" s="87" t="s">
        <v>90</v>
      </c>
      <c r="T117" s="117" t="s">
        <v>114</v>
      </c>
      <c r="U117" s="87" t="s">
        <v>98</v>
      </c>
      <c r="V117" s="87" t="s">
        <v>99</v>
      </c>
      <c r="W117" s="87">
        <v>1</v>
      </c>
      <c r="X117" s="87" t="s">
        <v>329</v>
      </c>
      <c r="Y117" s="87" t="s">
        <v>330</v>
      </c>
      <c r="Z117" s="87" t="s">
        <v>568</v>
      </c>
      <c r="AA117" s="87" t="s">
        <v>331</v>
      </c>
      <c r="AB117" s="87" t="s">
        <v>332</v>
      </c>
      <c r="AC117" s="87" t="s">
        <v>20</v>
      </c>
      <c r="AD117" s="87" t="s">
        <v>333</v>
      </c>
      <c r="AE117" s="87" t="s">
        <v>334</v>
      </c>
      <c r="AF117" s="87" t="s">
        <v>108</v>
      </c>
      <c r="AG117" s="87">
        <v>1</v>
      </c>
      <c r="AH117" s="87" t="s">
        <v>160</v>
      </c>
      <c r="AI117" s="87" t="s">
        <v>155</v>
      </c>
      <c r="AJ117" s="87" t="s">
        <v>110</v>
      </c>
      <c r="AK117" s="87">
        <v>2</v>
      </c>
      <c r="AL117" s="87" t="s">
        <v>99</v>
      </c>
      <c r="AM117" s="87" t="s">
        <v>94</v>
      </c>
      <c r="AN117" s="87" t="s">
        <v>94</v>
      </c>
      <c r="AO117" s="87" t="s">
        <v>111</v>
      </c>
      <c r="AP117" s="87" t="s">
        <v>111</v>
      </c>
      <c r="AQ117" s="87" t="s">
        <v>155</v>
      </c>
      <c r="AR117" s="87" t="s">
        <v>119</v>
      </c>
      <c r="AS117" s="87" t="s">
        <v>114</v>
      </c>
      <c r="AT117" s="87" t="s">
        <v>120</v>
      </c>
      <c r="AU117" s="87" t="s">
        <v>116</v>
      </c>
      <c r="AV117" s="87" t="s">
        <v>335</v>
      </c>
      <c r="AW117" s="87">
        <v>3</v>
      </c>
      <c r="AX117" s="87"/>
      <c r="AY117" s="87"/>
      <c r="AZ117" s="87"/>
      <c r="BA117" s="87"/>
      <c r="BB117" s="87"/>
      <c r="BC117" s="87"/>
      <c r="BD117" s="87"/>
      <c r="BE117" s="87"/>
      <c r="BF117" s="87"/>
      <c r="BG117" s="87"/>
      <c r="BH117" s="87"/>
      <c r="BI117" s="87"/>
      <c r="BJ117" s="87">
        <v>0</v>
      </c>
      <c r="BK117" s="87" t="s">
        <v>498</v>
      </c>
      <c r="BL117" t="s">
        <v>355</v>
      </c>
      <c r="BM117" s="87" t="s">
        <v>308</v>
      </c>
      <c r="BN117" s="87">
        <v>0.254</v>
      </c>
      <c r="BO117" s="87">
        <v>0.27300000000000002</v>
      </c>
      <c r="BP117" s="87">
        <v>0.29099999999999998</v>
      </c>
      <c r="BQ117" s="87" t="s">
        <v>129</v>
      </c>
      <c r="BR117" s="87">
        <v>9</v>
      </c>
      <c r="BS117" s="87">
        <v>0.35</v>
      </c>
      <c r="BT117" s="87">
        <v>0.36599999999999999</v>
      </c>
      <c r="BU117" s="87">
        <v>0.377</v>
      </c>
      <c r="BV117" s="87" t="s">
        <v>129</v>
      </c>
      <c r="BW117" s="87">
        <v>10</v>
      </c>
      <c r="BX117" s="87" t="s">
        <v>111</v>
      </c>
      <c r="BY117" s="87">
        <v>0.36599999999999999</v>
      </c>
      <c r="BZ117" s="87">
        <v>0.377</v>
      </c>
      <c r="CA117">
        <v>1.799999999999996E-2</v>
      </c>
      <c r="CB117">
        <v>1.100000000000001E-2</v>
      </c>
      <c r="CC117" s="87" t="s">
        <v>337</v>
      </c>
      <c r="CD117" s="87"/>
      <c r="CE117" s="87"/>
      <c r="CF117" s="87" t="s">
        <v>338</v>
      </c>
      <c r="CG117" t="s">
        <v>3095</v>
      </c>
    </row>
    <row r="118" spans="1:85" ht="14.5">
      <c r="A118" s="87">
        <v>12</v>
      </c>
      <c r="B118" s="87" t="s">
        <v>3194</v>
      </c>
      <c r="C118" s="87">
        <v>2016</v>
      </c>
      <c r="D118" s="87" t="s">
        <v>500</v>
      </c>
      <c r="E118" s="88">
        <v>44705</v>
      </c>
      <c r="F118" s="87" t="s">
        <v>90</v>
      </c>
      <c r="G118" s="87" t="s">
        <v>360</v>
      </c>
      <c r="H118" s="87"/>
      <c r="I118" s="87" t="s">
        <v>501</v>
      </c>
      <c r="J118" s="87" t="s">
        <v>502</v>
      </c>
      <c r="K118" s="87" t="s">
        <v>97</v>
      </c>
      <c r="L118" s="87" t="s">
        <v>97</v>
      </c>
      <c r="M118" s="87" t="s">
        <v>95</v>
      </c>
      <c r="N118" s="87" t="s">
        <v>503</v>
      </c>
      <c r="O118" t="s">
        <v>97</v>
      </c>
      <c r="P118" t="s">
        <v>97</v>
      </c>
      <c r="S118" t="s">
        <v>90</v>
      </c>
      <c r="T118" s="117" t="s">
        <v>114</v>
      </c>
      <c r="U118" t="s">
        <v>191</v>
      </c>
      <c r="V118" t="s">
        <v>99</v>
      </c>
      <c r="W118">
        <v>1</v>
      </c>
      <c r="X118" t="s">
        <v>504</v>
      </c>
      <c r="Y118" t="s">
        <v>211</v>
      </c>
      <c r="Z118" t="s">
        <v>102</v>
      </c>
      <c r="AA118" t="s">
        <v>3104</v>
      </c>
      <c r="AB118" s="6" t="s">
        <v>505</v>
      </c>
      <c r="AC118" t="s">
        <v>105</v>
      </c>
      <c r="AD118" t="s">
        <v>506</v>
      </c>
      <c r="AE118" t="s">
        <v>211</v>
      </c>
      <c r="AF118" t="s">
        <v>197</v>
      </c>
      <c r="AG118" s="87">
        <v>2</v>
      </c>
      <c r="AH118" s="87" t="s">
        <v>90</v>
      </c>
      <c r="AI118" s="87" t="s">
        <v>507</v>
      </c>
      <c r="AJ118" s="87" t="s">
        <v>508</v>
      </c>
      <c r="AK118" s="87">
        <v>2</v>
      </c>
      <c r="AL118" s="87" t="s">
        <v>99</v>
      </c>
      <c r="AM118" s="87" t="s">
        <v>94</v>
      </c>
      <c r="AN118" s="87" t="s">
        <v>94</v>
      </c>
      <c r="AO118" s="87" t="s">
        <v>160</v>
      </c>
      <c r="AP118" s="87" t="s">
        <v>160</v>
      </c>
      <c r="AQ118" s="87" t="s">
        <v>155</v>
      </c>
      <c r="AR118" s="87" t="s">
        <v>119</v>
      </c>
      <c r="AS118" s="87" t="s">
        <v>114</v>
      </c>
      <c r="AT118" s="87" t="s">
        <v>120</v>
      </c>
      <c r="AU118" s="87" t="s">
        <v>116</v>
      </c>
      <c r="AV118" s="87" t="s">
        <v>509</v>
      </c>
      <c r="AW118" s="87">
        <v>2</v>
      </c>
      <c r="AX118" s="87"/>
      <c r="AY118" s="87"/>
      <c r="AZ118" s="87"/>
      <c r="BA118" s="87"/>
      <c r="BB118" s="87"/>
      <c r="BC118" s="87"/>
      <c r="BD118" s="87"/>
      <c r="BE118" s="87"/>
      <c r="BF118" s="87"/>
      <c r="BG118" s="87"/>
      <c r="BH118" s="87"/>
      <c r="BI118" s="87"/>
      <c r="BJ118" s="87">
        <v>0</v>
      </c>
      <c r="BK118" s="87" t="s">
        <v>510</v>
      </c>
      <c r="BL118" s="87" t="s">
        <v>512</v>
      </c>
      <c r="BM118" s="87" t="s">
        <v>512</v>
      </c>
      <c r="BN118" s="87" t="s">
        <v>111</v>
      </c>
      <c r="BO118" s="87">
        <v>21.545000000000002</v>
      </c>
      <c r="BP118" s="87">
        <v>22.606999999999999</v>
      </c>
      <c r="BQ118" s="87" t="s">
        <v>129</v>
      </c>
      <c r="BR118" s="87">
        <v>8</v>
      </c>
      <c r="BS118" s="87" t="s">
        <v>111</v>
      </c>
      <c r="BT118" s="87">
        <v>19.161999999999999</v>
      </c>
      <c r="BU118" s="87">
        <v>19.492000000000001</v>
      </c>
      <c r="BV118" s="87" t="s">
        <v>129</v>
      </c>
      <c r="BW118" s="87">
        <v>8</v>
      </c>
      <c r="BX118" s="87" t="s">
        <v>512</v>
      </c>
      <c r="BY118" s="87">
        <v>19.161999999999999</v>
      </c>
      <c r="BZ118" s="87">
        <v>19.492000000000001</v>
      </c>
      <c r="CA118">
        <v>1.0619999999999976</v>
      </c>
      <c r="CB118">
        <v>0.33000000000000185</v>
      </c>
      <c r="CC118" s="87" t="s">
        <v>513</v>
      </c>
      <c r="CD118" s="87"/>
      <c r="CE118" s="87"/>
      <c r="CF118" s="87" t="s">
        <v>514</v>
      </c>
      <c r="CG118" t="s">
        <v>3095</v>
      </c>
    </row>
    <row r="119" spans="1:85" ht="14.5">
      <c r="A119" s="87">
        <v>12</v>
      </c>
      <c r="B119" s="87" t="s">
        <v>3194</v>
      </c>
      <c r="C119" s="87">
        <v>2016</v>
      </c>
      <c r="D119" s="87" t="s">
        <v>500</v>
      </c>
      <c r="E119" s="88">
        <v>44705</v>
      </c>
      <c r="F119" s="87" t="s">
        <v>90</v>
      </c>
      <c r="G119" s="87" t="s">
        <v>360</v>
      </c>
      <c r="H119" s="87"/>
      <c r="I119" s="87" t="s">
        <v>515</v>
      </c>
      <c r="J119" s="87" t="s">
        <v>502</v>
      </c>
      <c r="K119" s="87" t="s">
        <v>97</v>
      </c>
      <c r="L119" s="87" t="s">
        <v>97</v>
      </c>
      <c r="M119" s="87" t="s">
        <v>95</v>
      </c>
      <c r="N119" s="87" t="s">
        <v>503</v>
      </c>
      <c r="O119" t="s">
        <v>97</v>
      </c>
      <c r="P119" t="s">
        <v>97</v>
      </c>
      <c r="S119" t="s">
        <v>90</v>
      </c>
      <c r="T119" s="117" t="s">
        <v>114</v>
      </c>
      <c r="U119" t="s">
        <v>191</v>
      </c>
      <c r="V119" t="s">
        <v>99</v>
      </c>
      <c r="W119">
        <v>1</v>
      </c>
      <c r="X119" t="s">
        <v>504</v>
      </c>
      <c r="Y119" t="s">
        <v>211</v>
      </c>
      <c r="Z119" t="s">
        <v>102</v>
      </c>
      <c r="AA119" t="s">
        <v>3104</v>
      </c>
      <c r="AB119" s="6" t="s">
        <v>505</v>
      </c>
      <c r="AC119" t="s">
        <v>105</v>
      </c>
      <c r="AD119" t="s">
        <v>506</v>
      </c>
      <c r="AE119" t="s">
        <v>211</v>
      </c>
      <c r="AF119" t="s">
        <v>197</v>
      </c>
      <c r="AG119" s="87">
        <v>2</v>
      </c>
      <c r="AH119" s="87" t="s">
        <v>90</v>
      </c>
      <c r="AI119" s="87" t="s">
        <v>507</v>
      </c>
      <c r="AJ119" s="87" t="s">
        <v>508</v>
      </c>
      <c r="AK119" s="87">
        <v>2</v>
      </c>
      <c r="AL119" s="87" t="s">
        <v>99</v>
      </c>
      <c r="AM119" s="87" t="s">
        <v>94</v>
      </c>
      <c r="AN119" s="87" t="s">
        <v>94</v>
      </c>
      <c r="AO119" s="87" t="s">
        <v>160</v>
      </c>
      <c r="AP119" s="87" t="s">
        <v>160</v>
      </c>
      <c r="AQ119" s="87" t="s">
        <v>155</v>
      </c>
      <c r="AR119" s="87" t="s">
        <v>119</v>
      </c>
      <c r="AS119" s="87" t="s">
        <v>114</v>
      </c>
      <c r="AT119" s="87" t="s">
        <v>120</v>
      </c>
      <c r="AU119" s="87" t="s">
        <v>116</v>
      </c>
      <c r="AV119" s="87" t="s">
        <v>509</v>
      </c>
      <c r="AW119" s="87">
        <v>2</v>
      </c>
      <c r="AX119" s="87"/>
      <c r="AY119" s="87"/>
      <c r="AZ119" s="87"/>
      <c r="BA119" s="87"/>
      <c r="BB119" s="87"/>
      <c r="BC119" s="87"/>
      <c r="BD119" s="87"/>
      <c r="BE119" s="87"/>
      <c r="BF119" s="87"/>
      <c r="BG119" s="87"/>
      <c r="BH119" s="87"/>
      <c r="BI119" s="87"/>
      <c r="BJ119" s="87">
        <v>0</v>
      </c>
      <c r="BK119" s="87" t="s">
        <v>516</v>
      </c>
      <c r="BL119" s="87" t="s">
        <v>512</v>
      </c>
      <c r="BM119" s="87" t="s">
        <v>512</v>
      </c>
      <c r="BN119" s="87" t="s">
        <v>111</v>
      </c>
      <c r="BO119" s="87">
        <v>18.283000000000001</v>
      </c>
      <c r="BP119" s="87">
        <v>18.795999999999999</v>
      </c>
      <c r="BQ119" s="87" t="s">
        <v>129</v>
      </c>
      <c r="BR119" s="87">
        <v>8</v>
      </c>
      <c r="BS119" s="87" t="s">
        <v>111</v>
      </c>
      <c r="BT119" s="87">
        <v>15.901</v>
      </c>
      <c r="BU119" s="87">
        <v>16.89</v>
      </c>
      <c r="BV119" s="87" t="s">
        <v>129</v>
      </c>
      <c r="BW119" s="87">
        <v>8</v>
      </c>
      <c r="BX119" s="87" t="s">
        <v>512</v>
      </c>
      <c r="BY119" s="87">
        <v>15.901</v>
      </c>
      <c r="BZ119" s="87">
        <v>16.89</v>
      </c>
      <c r="CA119">
        <v>0.51299999999999812</v>
      </c>
      <c r="CB119">
        <v>0.98900000000000077</v>
      </c>
      <c r="CC119" s="87" t="s">
        <v>513</v>
      </c>
      <c r="CD119" s="87"/>
      <c r="CE119" s="87"/>
      <c r="CF119" s="87" t="s">
        <v>517</v>
      </c>
      <c r="CG119" t="s">
        <v>3095</v>
      </c>
    </row>
    <row r="120" spans="1:85" ht="14.5">
      <c r="A120" s="87">
        <v>12</v>
      </c>
      <c r="B120" s="87" t="s">
        <v>3194</v>
      </c>
      <c r="C120" s="87">
        <v>2016</v>
      </c>
      <c r="D120" s="87" t="s">
        <v>500</v>
      </c>
      <c r="E120" s="88">
        <v>44705</v>
      </c>
      <c r="F120" s="87" t="s">
        <v>90</v>
      </c>
      <c r="G120" s="87" t="s">
        <v>360</v>
      </c>
      <c r="H120" s="87"/>
      <c r="I120" s="87" t="s">
        <v>515</v>
      </c>
      <c r="J120" s="87" t="s">
        <v>502</v>
      </c>
      <c r="K120" s="87" t="s">
        <v>97</v>
      </c>
      <c r="L120" s="87" t="s">
        <v>97</v>
      </c>
      <c r="M120" s="87" t="s">
        <v>95</v>
      </c>
      <c r="N120" s="87" t="s">
        <v>503</v>
      </c>
      <c r="O120" t="s">
        <v>97</v>
      </c>
      <c r="P120" t="s">
        <v>97</v>
      </c>
      <c r="S120" t="s">
        <v>90</v>
      </c>
      <c r="T120" s="117" t="s">
        <v>114</v>
      </c>
      <c r="U120" t="s">
        <v>191</v>
      </c>
      <c r="V120" t="s">
        <v>99</v>
      </c>
      <c r="W120">
        <v>1</v>
      </c>
      <c r="X120" t="s">
        <v>504</v>
      </c>
      <c r="Y120" t="s">
        <v>211</v>
      </c>
      <c r="Z120" t="s">
        <v>102</v>
      </c>
      <c r="AA120" t="s">
        <v>3104</v>
      </c>
      <c r="AB120" s="6" t="s">
        <v>505</v>
      </c>
      <c r="AC120" t="s">
        <v>105</v>
      </c>
      <c r="AD120" t="s">
        <v>506</v>
      </c>
      <c r="AE120" t="s">
        <v>211</v>
      </c>
      <c r="AF120" t="s">
        <v>197</v>
      </c>
      <c r="AG120" s="87">
        <v>2</v>
      </c>
      <c r="AH120" s="87" t="s">
        <v>90</v>
      </c>
      <c r="AI120" s="87" t="s">
        <v>507</v>
      </c>
      <c r="AJ120" s="87" t="s">
        <v>508</v>
      </c>
      <c r="AK120" s="87">
        <v>2</v>
      </c>
      <c r="AL120" s="87" t="s">
        <v>99</v>
      </c>
      <c r="AM120" s="87" t="s">
        <v>94</v>
      </c>
      <c r="AN120" s="87" t="s">
        <v>94</v>
      </c>
      <c r="AO120" s="87" t="s">
        <v>160</v>
      </c>
      <c r="AP120" s="87" t="s">
        <v>160</v>
      </c>
      <c r="AQ120" s="87" t="s">
        <v>155</v>
      </c>
      <c r="AR120" s="87" t="s">
        <v>119</v>
      </c>
      <c r="AS120" s="87" t="s">
        <v>114</v>
      </c>
      <c r="AT120" s="87" t="s">
        <v>120</v>
      </c>
      <c r="AU120" s="87" t="s">
        <v>116</v>
      </c>
      <c r="AV120" s="87" t="s">
        <v>509</v>
      </c>
      <c r="AW120" s="87">
        <v>2</v>
      </c>
      <c r="AX120" s="87"/>
      <c r="AY120" s="87"/>
      <c r="AZ120" s="87"/>
      <c r="BA120" s="87"/>
      <c r="BB120" s="87"/>
      <c r="BC120" s="87"/>
      <c r="BD120" s="87"/>
      <c r="BE120" s="87"/>
      <c r="BF120" s="87"/>
      <c r="BG120" s="87"/>
      <c r="BH120" s="87"/>
      <c r="BI120" s="87"/>
      <c r="BJ120" s="87">
        <v>4</v>
      </c>
      <c r="BK120" s="87" t="s">
        <v>518</v>
      </c>
      <c r="BL120" s="87" t="s">
        <v>512</v>
      </c>
      <c r="BM120" s="87" t="s">
        <v>512</v>
      </c>
      <c r="BN120" s="87" t="s">
        <v>111</v>
      </c>
      <c r="BO120" s="87">
        <v>17.733000000000001</v>
      </c>
      <c r="BP120" s="87">
        <v>18.393000000000001</v>
      </c>
      <c r="BQ120" s="87" t="s">
        <v>129</v>
      </c>
      <c r="BR120" s="87">
        <v>8</v>
      </c>
      <c r="BS120" s="87" t="s">
        <v>111</v>
      </c>
      <c r="BT120" s="87">
        <v>15.606999999999999</v>
      </c>
      <c r="BU120" s="87">
        <v>16.266999999999999</v>
      </c>
      <c r="BV120" s="87" t="s">
        <v>129</v>
      </c>
      <c r="BW120" s="87">
        <v>8</v>
      </c>
      <c r="BX120" s="87" t="s">
        <v>512</v>
      </c>
      <c r="BY120" s="87">
        <v>15.606999999999999</v>
      </c>
      <c r="BZ120" s="87">
        <v>16.266999999999999</v>
      </c>
      <c r="CA120">
        <v>0.66000000000000014</v>
      </c>
      <c r="CB120">
        <v>0.66000000000000014</v>
      </c>
      <c r="CC120" s="87" t="s">
        <v>513</v>
      </c>
      <c r="CD120" s="87"/>
      <c r="CE120" s="87"/>
      <c r="CF120" s="87" t="s">
        <v>514</v>
      </c>
      <c r="CG120" t="s">
        <v>3095</v>
      </c>
    </row>
    <row r="121" spans="1:85" ht="14.5">
      <c r="A121" s="87">
        <v>12</v>
      </c>
      <c r="B121" s="87" t="s">
        <v>3194</v>
      </c>
      <c r="C121" s="87">
        <v>2016</v>
      </c>
      <c r="D121" s="87" t="s">
        <v>500</v>
      </c>
      <c r="E121" s="88">
        <v>44705</v>
      </c>
      <c r="F121" s="87" t="s">
        <v>90</v>
      </c>
      <c r="G121" s="87" t="s">
        <v>360</v>
      </c>
      <c r="H121" s="87"/>
      <c r="I121" s="87" t="s">
        <v>515</v>
      </c>
      <c r="J121" s="87" t="s">
        <v>502</v>
      </c>
      <c r="K121" s="87" t="s">
        <v>97</v>
      </c>
      <c r="L121" s="87" t="s">
        <v>97</v>
      </c>
      <c r="M121" s="87" t="s">
        <v>95</v>
      </c>
      <c r="N121" s="87" t="s">
        <v>503</v>
      </c>
      <c r="O121" t="s">
        <v>97</v>
      </c>
      <c r="P121" t="s">
        <v>97</v>
      </c>
      <c r="S121" t="s">
        <v>90</v>
      </c>
      <c r="T121" s="117" t="s">
        <v>114</v>
      </c>
      <c r="U121" t="s">
        <v>191</v>
      </c>
      <c r="V121" t="s">
        <v>99</v>
      </c>
      <c r="W121">
        <v>1</v>
      </c>
      <c r="X121" t="s">
        <v>504</v>
      </c>
      <c r="Y121" t="s">
        <v>211</v>
      </c>
      <c r="Z121" t="s">
        <v>102</v>
      </c>
      <c r="AA121" t="s">
        <v>3104</v>
      </c>
      <c r="AB121" s="6" t="s">
        <v>505</v>
      </c>
      <c r="AC121" t="s">
        <v>105</v>
      </c>
      <c r="AD121" t="s">
        <v>506</v>
      </c>
      <c r="AE121" t="s">
        <v>211</v>
      </c>
      <c r="AF121" t="s">
        <v>197</v>
      </c>
      <c r="AG121" s="87">
        <v>2</v>
      </c>
      <c r="AH121" s="87" t="s">
        <v>90</v>
      </c>
      <c r="AI121" s="87" t="s">
        <v>507</v>
      </c>
      <c r="AJ121" s="87" t="s">
        <v>508</v>
      </c>
      <c r="AK121" s="87">
        <v>2</v>
      </c>
      <c r="AL121" s="87" t="s">
        <v>99</v>
      </c>
      <c r="AM121" s="87" t="s">
        <v>94</v>
      </c>
      <c r="AN121" s="87" t="s">
        <v>94</v>
      </c>
      <c r="AO121" s="87" t="s">
        <v>160</v>
      </c>
      <c r="AP121" s="87" t="s">
        <v>160</v>
      </c>
      <c r="AQ121" s="87" t="s">
        <v>155</v>
      </c>
      <c r="AR121" s="87" t="s">
        <v>119</v>
      </c>
      <c r="AS121" s="87" t="s">
        <v>114</v>
      </c>
      <c r="AT121" s="87" t="s">
        <v>120</v>
      </c>
      <c r="AU121" s="87" t="s">
        <v>116</v>
      </c>
      <c r="AV121" s="87" t="s">
        <v>509</v>
      </c>
      <c r="AW121" s="87">
        <v>2</v>
      </c>
      <c r="AX121" s="87"/>
      <c r="AY121" s="87"/>
      <c r="AZ121" s="87"/>
      <c r="BA121" s="87"/>
      <c r="BB121" s="87"/>
      <c r="BC121" s="87"/>
      <c r="BD121" s="87"/>
      <c r="BE121" s="87"/>
      <c r="BF121" s="87"/>
      <c r="BG121" s="87"/>
      <c r="BH121" s="87"/>
      <c r="BI121" s="87"/>
      <c r="BJ121" s="87">
        <v>4</v>
      </c>
      <c r="BK121" s="87" t="s">
        <v>519</v>
      </c>
      <c r="BL121" s="87" t="s">
        <v>512</v>
      </c>
      <c r="BM121" s="87" t="s">
        <v>512</v>
      </c>
      <c r="BN121" s="87" t="s">
        <v>111</v>
      </c>
      <c r="BO121" s="87">
        <v>16.963000000000001</v>
      </c>
      <c r="BP121" s="87">
        <v>18.356000000000002</v>
      </c>
      <c r="BQ121" s="87" t="s">
        <v>129</v>
      </c>
      <c r="BR121" s="87">
        <v>8</v>
      </c>
      <c r="BS121" s="87" t="s">
        <v>111</v>
      </c>
      <c r="BT121" s="87">
        <v>14.691000000000001</v>
      </c>
      <c r="BU121" s="87">
        <v>15.827</v>
      </c>
      <c r="BV121" s="87" t="s">
        <v>129</v>
      </c>
      <c r="BW121" s="87">
        <v>8</v>
      </c>
      <c r="BX121" s="87" t="s">
        <v>512</v>
      </c>
      <c r="BY121" s="87">
        <v>14.691000000000001</v>
      </c>
      <c r="BZ121" s="87">
        <v>15.827</v>
      </c>
      <c r="CA121">
        <v>1.3930000000000007</v>
      </c>
      <c r="CB121">
        <v>1.1359999999999992</v>
      </c>
      <c r="CC121" s="87" t="s">
        <v>513</v>
      </c>
      <c r="CD121" s="87"/>
      <c r="CE121" s="87"/>
      <c r="CF121" s="87" t="s">
        <v>517</v>
      </c>
      <c r="CG121" t="s">
        <v>3095</v>
      </c>
    </row>
    <row r="122" spans="1:85" ht="14.5">
      <c r="A122" s="87">
        <v>12</v>
      </c>
      <c r="B122" s="87" t="s">
        <v>3195</v>
      </c>
      <c r="C122" s="87">
        <v>2016</v>
      </c>
      <c r="D122" s="87" t="s">
        <v>500</v>
      </c>
      <c r="E122" s="88">
        <v>44705</v>
      </c>
      <c r="F122" s="87" t="s">
        <v>90</v>
      </c>
      <c r="G122" s="87" t="s">
        <v>360</v>
      </c>
      <c r="H122" s="87"/>
      <c r="I122" s="87" t="s">
        <v>515</v>
      </c>
      <c r="J122" s="87" t="s">
        <v>502</v>
      </c>
      <c r="K122" s="87" t="s">
        <v>97</v>
      </c>
      <c r="L122" s="87" t="s">
        <v>97</v>
      </c>
      <c r="M122" s="87" t="s">
        <v>95</v>
      </c>
      <c r="N122" s="87" t="s">
        <v>503</v>
      </c>
      <c r="O122" t="s">
        <v>97</v>
      </c>
      <c r="P122" t="s">
        <v>97</v>
      </c>
      <c r="S122" t="s">
        <v>90</v>
      </c>
      <c r="T122" s="117" t="s">
        <v>114</v>
      </c>
      <c r="U122" t="s">
        <v>191</v>
      </c>
      <c r="V122" t="s">
        <v>99</v>
      </c>
      <c r="W122">
        <v>1</v>
      </c>
      <c r="X122" t="s">
        <v>504</v>
      </c>
      <c r="Y122" t="s">
        <v>211</v>
      </c>
      <c r="Z122" t="s">
        <v>102</v>
      </c>
      <c r="AA122" t="s">
        <v>3104</v>
      </c>
      <c r="AB122" s="6" t="s">
        <v>505</v>
      </c>
      <c r="AC122" t="s">
        <v>105</v>
      </c>
      <c r="AD122" t="s">
        <v>506</v>
      </c>
      <c r="AE122" t="s">
        <v>211</v>
      </c>
      <c r="AF122" t="s">
        <v>197</v>
      </c>
      <c r="AG122" s="87">
        <v>2</v>
      </c>
      <c r="AH122" s="87" t="s">
        <v>90</v>
      </c>
      <c r="AI122" s="87" t="s">
        <v>507</v>
      </c>
      <c r="AJ122" s="87" t="s">
        <v>508</v>
      </c>
      <c r="AK122" s="87">
        <v>2</v>
      </c>
      <c r="AL122" s="87" t="s">
        <v>99</v>
      </c>
      <c r="AM122" s="87" t="s">
        <v>94</v>
      </c>
      <c r="AN122" s="87" t="s">
        <v>94</v>
      </c>
      <c r="AO122" s="87" t="s">
        <v>160</v>
      </c>
      <c r="AP122" s="87" t="s">
        <v>160</v>
      </c>
      <c r="AQ122" s="87" t="s">
        <v>155</v>
      </c>
      <c r="AR122" s="87" t="s">
        <v>119</v>
      </c>
      <c r="AS122" s="87" t="s">
        <v>114</v>
      </c>
      <c r="AT122" s="87" t="s">
        <v>120</v>
      </c>
      <c r="AU122" s="87" t="s">
        <v>116</v>
      </c>
      <c r="AV122" s="87" t="s">
        <v>509</v>
      </c>
      <c r="AW122" s="87">
        <v>2</v>
      </c>
      <c r="AX122" s="87"/>
      <c r="AY122" s="87"/>
      <c r="AZ122" s="87"/>
      <c r="BA122" s="87"/>
      <c r="BB122" s="87"/>
      <c r="BC122" s="87"/>
      <c r="BD122" s="87"/>
      <c r="BE122" s="87"/>
      <c r="BF122" s="87"/>
      <c r="BG122" s="87"/>
      <c r="BH122" s="87"/>
      <c r="BI122" s="87"/>
      <c r="BJ122" s="87">
        <v>0</v>
      </c>
      <c r="BK122" s="87" t="s">
        <v>510</v>
      </c>
      <c r="BL122" s="87" t="s">
        <v>511</v>
      </c>
      <c r="BM122" s="87" t="s">
        <v>520</v>
      </c>
      <c r="BN122" s="87" t="s">
        <v>111</v>
      </c>
      <c r="BO122" s="87">
        <v>0.27789000000000003</v>
      </c>
      <c r="BP122" s="87">
        <v>0.28211000000000003</v>
      </c>
      <c r="BQ122" s="87" t="s">
        <v>129</v>
      </c>
      <c r="BR122" s="87">
        <v>8</v>
      </c>
      <c r="BS122" s="87" t="s">
        <v>111</v>
      </c>
      <c r="BT122" s="87">
        <v>0.25684000000000001</v>
      </c>
      <c r="BU122" s="87">
        <v>0.26105</v>
      </c>
      <c r="BV122" s="87" t="s">
        <v>129</v>
      </c>
      <c r="BW122" s="87">
        <v>8</v>
      </c>
      <c r="BX122" s="87" t="s">
        <v>521</v>
      </c>
      <c r="BY122" s="87">
        <v>0.25684000000000001</v>
      </c>
      <c r="BZ122" s="87">
        <v>0.26105</v>
      </c>
      <c r="CA122">
        <v>4.2200000000000015E-3</v>
      </c>
      <c r="CB122">
        <v>4.2099999999999915E-3</v>
      </c>
      <c r="CC122" s="87" t="s">
        <v>522</v>
      </c>
      <c r="CD122" s="87"/>
      <c r="CE122" s="87"/>
      <c r="CF122" s="87" t="s">
        <v>523</v>
      </c>
      <c r="CG122" t="s">
        <v>3095</v>
      </c>
    </row>
    <row r="123" spans="1:85" ht="14.5">
      <c r="A123" s="87">
        <v>12</v>
      </c>
      <c r="B123" s="87" t="s">
        <v>3195</v>
      </c>
      <c r="C123" s="87">
        <v>2016</v>
      </c>
      <c r="D123" s="87" t="s">
        <v>500</v>
      </c>
      <c r="E123" s="88">
        <v>44705</v>
      </c>
      <c r="F123" s="87" t="s">
        <v>90</v>
      </c>
      <c r="G123" s="87" t="s">
        <v>360</v>
      </c>
      <c r="H123" s="87"/>
      <c r="I123" s="87" t="s">
        <v>515</v>
      </c>
      <c r="J123" s="87" t="s">
        <v>502</v>
      </c>
      <c r="K123" s="87" t="s">
        <v>97</v>
      </c>
      <c r="L123" s="87" t="s">
        <v>97</v>
      </c>
      <c r="M123" s="87" t="s">
        <v>95</v>
      </c>
      <c r="N123" s="87" t="s">
        <v>503</v>
      </c>
      <c r="O123" t="s">
        <v>97</v>
      </c>
      <c r="P123" t="s">
        <v>97</v>
      </c>
      <c r="S123" t="s">
        <v>90</v>
      </c>
      <c r="T123" s="117" t="s">
        <v>114</v>
      </c>
      <c r="U123" t="s">
        <v>191</v>
      </c>
      <c r="V123" t="s">
        <v>99</v>
      </c>
      <c r="W123">
        <v>1</v>
      </c>
      <c r="X123" t="s">
        <v>504</v>
      </c>
      <c r="Y123" t="s">
        <v>211</v>
      </c>
      <c r="Z123" t="s">
        <v>102</v>
      </c>
      <c r="AA123" t="s">
        <v>3104</v>
      </c>
      <c r="AB123" s="6" t="s">
        <v>505</v>
      </c>
      <c r="AC123" t="s">
        <v>105</v>
      </c>
      <c r="AD123" t="s">
        <v>506</v>
      </c>
      <c r="AE123" t="s">
        <v>211</v>
      </c>
      <c r="AF123" t="s">
        <v>197</v>
      </c>
      <c r="AG123" s="87">
        <v>2</v>
      </c>
      <c r="AH123" s="87" t="s">
        <v>90</v>
      </c>
      <c r="AI123" s="87" t="s">
        <v>507</v>
      </c>
      <c r="AJ123" s="87" t="s">
        <v>508</v>
      </c>
      <c r="AK123" s="87">
        <v>2</v>
      </c>
      <c r="AL123" s="87" t="s">
        <v>99</v>
      </c>
      <c r="AM123" s="87" t="s">
        <v>94</v>
      </c>
      <c r="AN123" s="87" t="s">
        <v>94</v>
      </c>
      <c r="AO123" s="87" t="s">
        <v>160</v>
      </c>
      <c r="AP123" s="87" t="s">
        <v>160</v>
      </c>
      <c r="AQ123" s="87" t="s">
        <v>155</v>
      </c>
      <c r="AR123" s="87" t="s">
        <v>119</v>
      </c>
      <c r="AS123" s="87" t="s">
        <v>114</v>
      </c>
      <c r="AT123" s="87" t="s">
        <v>120</v>
      </c>
      <c r="AU123" s="87" t="s">
        <v>116</v>
      </c>
      <c r="AV123" s="87" t="s">
        <v>509</v>
      </c>
      <c r="AW123" s="87">
        <v>2</v>
      </c>
      <c r="AX123" s="87"/>
      <c r="AY123" s="87"/>
      <c r="AZ123" s="87"/>
      <c r="BA123" s="87"/>
      <c r="BB123" s="87"/>
      <c r="BC123" s="87"/>
      <c r="BD123" s="87"/>
      <c r="BE123" s="87"/>
      <c r="BF123" s="87"/>
      <c r="BG123" s="87"/>
      <c r="BH123" s="87"/>
      <c r="BI123" s="87"/>
      <c r="BJ123" s="87">
        <v>0</v>
      </c>
      <c r="BK123" s="87" t="s">
        <v>516</v>
      </c>
      <c r="BL123" s="87" t="s">
        <v>511</v>
      </c>
      <c r="BM123" s="87" t="s">
        <v>520</v>
      </c>
      <c r="BN123" s="87" t="s">
        <v>111</v>
      </c>
      <c r="BO123" s="87">
        <v>0.27473999999999998</v>
      </c>
      <c r="BP123" s="87">
        <v>0.27789000000000003</v>
      </c>
      <c r="BQ123" s="87" t="s">
        <v>129</v>
      </c>
      <c r="BR123" s="87">
        <v>8</v>
      </c>
      <c r="BS123" s="87" t="s">
        <v>111</v>
      </c>
      <c r="BT123" s="87">
        <v>0.25789000000000001</v>
      </c>
      <c r="BU123" s="87">
        <v>0.26</v>
      </c>
      <c r="BV123" s="87" t="s">
        <v>129</v>
      </c>
      <c r="BW123" s="87">
        <v>8</v>
      </c>
      <c r="BX123" s="87" t="s">
        <v>521</v>
      </c>
      <c r="BY123" s="87">
        <v>0.25789000000000001</v>
      </c>
      <c r="BZ123" s="87">
        <v>0.26</v>
      </c>
      <c r="CA123">
        <v>3.1500000000000417E-3</v>
      </c>
      <c r="CB123">
        <v>2.1100000000000008E-3</v>
      </c>
      <c r="CC123" s="87" t="s">
        <v>522</v>
      </c>
      <c r="CD123" s="87"/>
      <c r="CE123" s="87"/>
      <c r="CF123" s="87" t="s">
        <v>524</v>
      </c>
      <c r="CG123" t="s">
        <v>3095</v>
      </c>
    </row>
    <row r="124" spans="1:85" ht="14.5">
      <c r="A124" s="87">
        <v>12</v>
      </c>
      <c r="B124" s="87" t="s">
        <v>3195</v>
      </c>
      <c r="C124" s="87">
        <v>2016</v>
      </c>
      <c r="D124" s="87" t="s">
        <v>500</v>
      </c>
      <c r="E124" s="88">
        <v>44705</v>
      </c>
      <c r="F124" s="87" t="s">
        <v>90</v>
      </c>
      <c r="G124" s="87" t="s">
        <v>360</v>
      </c>
      <c r="H124" s="87"/>
      <c r="I124" s="87" t="s">
        <v>515</v>
      </c>
      <c r="J124" s="87" t="s">
        <v>502</v>
      </c>
      <c r="K124" s="87" t="s">
        <v>97</v>
      </c>
      <c r="L124" s="87" t="s">
        <v>97</v>
      </c>
      <c r="M124" s="87" t="s">
        <v>95</v>
      </c>
      <c r="N124" s="87" t="s">
        <v>503</v>
      </c>
      <c r="O124" t="s">
        <v>97</v>
      </c>
      <c r="P124" t="s">
        <v>97</v>
      </c>
      <c r="S124" t="s">
        <v>90</v>
      </c>
      <c r="T124" s="117" t="s">
        <v>114</v>
      </c>
      <c r="U124" t="s">
        <v>191</v>
      </c>
      <c r="V124" t="s">
        <v>99</v>
      </c>
      <c r="W124">
        <v>1</v>
      </c>
      <c r="X124" t="s">
        <v>504</v>
      </c>
      <c r="Y124" t="s">
        <v>211</v>
      </c>
      <c r="Z124" t="s">
        <v>102</v>
      </c>
      <c r="AA124" t="s">
        <v>3104</v>
      </c>
      <c r="AB124" s="6" t="s">
        <v>505</v>
      </c>
      <c r="AC124" t="s">
        <v>105</v>
      </c>
      <c r="AD124" t="s">
        <v>506</v>
      </c>
      <c r="AE124" t="s">
        <v>211</v>
      </c>
      <c r="AF124" t="s">
        <v>197</v>
      </c>
      <c r="AG124" s="87">
        <v>2</v>
      </c>
      <c r="AH124" s="87" t="s">
        <v>90</v>
      </c>
      <c r="AI124" s="87" t="s">
        <v>507</v>
      </c>
      <c r="AJ124" s="87" t="s">
        <v>508</v>
      </c>
      <c r="AK124" s="87">
        <v>2</v>
      </c>
      <c r="AL124" s="87" t="s">
        <v>99</v>
      </c>
      <c r="AM124" s="87" t="s">
        <v>94</v>
      </c>
      <c r="AN124" s="87" t="s">
        <v>94</v>
      </c>
      <c r="AO124" s="87" t="s">
        <v>160</v>
      </c>
      <c r="AP124" s="87" t="s">
        <v>160</v>
      </c>
      <c r="AQ124" s="87" t="s">
        <v>155</v>
      </c>
      <c r="AR124" s="87" t="s">
        <v>119</v>
      </c>
      <c r="AS124" s="87" t="s">
        <v>114</v>
      </c>
      <c r="AT124" s="87" t="s">
        <v>120</v>
      </c>
      <c r="AU124" s="87" t="s">
        <v>116</v>
      </c>
      <c r="AV124" s="87" t="s">
        <v>509</v>
      </c>
      <c r="AW124" s="87">
        <v>2</v>
      </c>
      <c r="AX124" s="87"/>
      <c r="AY124" s="87"/>
      <c r="AZ124" s="87"/>
      <c r="BA124" s="87"/>
      <c r="BB124" s="87"/>
      <c r="BC124" s="87"/>
      <c r="BD124" s="87"/>
      <c r="BE124" s="87"/>
      <c r="BF124" s="87"/>
      <c r="BG124" s="87"/>
      <c r="BH124" s="87"/>
      <c r="BI124" s="87"/>
      <c r="BJ124" s="87">
        <v>4</v>
      </c>
      <c r="BK124" s="87" t="s">
        <v>518</v>
      </c>
      <c r="BL124" s="87" t="s">
        <v>511</v>
      </c>
      <c r="BM124" s="87" t="s">
        <v>520</v>
      </c>
      <c r="BN124" s="87" t="s">
        <v>111</v>
      </c>
      <c r="BO124" s="87">
        <v>0.30315999999999999</v>
      </c>
      <c r="BP124" s="87">
        <v>0.30842000000000003</v>
      </c>
      <c r="BQ124" s="87" t="s">
        <v>129</v>
      </c>
      <c r="BR124" s="87">
        <v>8</v>
      </c>
      <c r="BS124" s="87" t="s">
        <v>111</v>
      </c>
      <c r="BT124" s="87">
        <v>0.28842000000000001</v>
      </c>
      <c r="BU124" s="87">
        <v>0.29683999999999999</v>
      </c>
      <c r="BV124" s="87" t="s">
        <v>129</v>
      </c>
      <c r="BW124" s="87">
        <v>8</v>
      </c>
      <c r="BX124" s="87" t="s">
        <v>521</v>
      </c>
      <c r="BY124" s="87">
        <v>0.28842000000000001</v>
      </c>
      <c r="BZ124" s="87">
        <v>0.29683999999999999</v>
      </c>
      <c r="CA124">
        <v>5.2600000000000424E-3</v>
      </c>
      <c r="CB124">
        <v>8.4199999999999831E-3</v>
      </c>
      <c r="CC124" s="87" t="s">
        <v>522</v>
      </c>
      <c r="CD124" s="87"/>
      <c r="CE124" s="87"/>
      <c r="CF124" s="87" t="s">
        <v>523</v>
      </c>
      <c r="CG124" t="s">
        <v>3095</v>
      </c>
    </row>
    <row r="125" spans="1:85" ht="14.5">
      <c r="A125" s="87">
        <v>12</v>
      </c>
      <c r="B125" s="87" t="s">
        <v>3195</v>
      </c>
      <c r="C125" s="87">
        <v>2016</v>
      </c>
      <c r="D125" s="87" t="s">
        <v>500</v>
      </c>
      <c r="E125" s="88">
        <v>44705</v>
      </c>
      <c r="F125" s="87" t="s">
        <v>90</v>
      </c>
      <c r="G125" s="87" t="s">
        <v>360</v>
      </c>
      <c r="H125" s="87"/>
      <c r="I125" s="87" t="s">
        <v>515</v>
      </c>
      <c r="J125" s="87" t="s">
        <v>502</v>
      </c>
      <c r="K125" s="87" t="s">
        <v>97</v>
      </c>
      <c r="L125" s="87" t="s">
        <v>97</v>
      </c>
      <c r="M125" s="87" t="s">
        <v>95</v>
      </c>
      <c r="N125" s="87" t="s">
        <v>503</v>
      </c>
      <c r="O125" t="s">
        <v>97</v>
      </c>
      <c r="P125" t="s">
        <v>97</v>
      </c>
      <c r="S125" t="s">
        <v>90</v>
      </c>
      <c r="T125" s="117" t="s">
        <v>114</v>
      </c>
      <c r="U125" t="s">
        <v>191</v>
      </c>
      <c r="V125" t="s">
        <v>99</v>
      </c>
      <c r="W125">
        <v>1</v>
      </c>
      <c r="X125" t="s">
        <v>504</v>
      </c>
      <c r="Y125" t="s">
        <v>211</v>
      </c>
      <c r="Z125" t="s">
        <v>102</v>
      </c>
      <c r="AA125" t="s">
        <v>3104</v>
      </c>
      <c r="AB125" s="6" t="s">
        <v>505</v>
      </c>
      <c r="AC125" t="s">
        <v>105</v>
      </c>
      <c r="AD125" t="s">
        <v>506</v>
      </c>
      <c r="AE125" t="s">
        <v>211</v>
      </c>
      <c r="AF125" t="s">
        <v>197</v>
      </c>
      <c r="AG125" s="87">
        <v>2</v>
      </c>
      <c r="AH125" s="87" t="s">
        <v>90</v>
      </c>
      <c r="AI125" s="87" t="s">
        <v>507</v>
      </c>
      <c r="AJ125" s="87" t="s">
        <v>508</v>
      </c>
      <c r="AK125" s="87">
        <v>2</v>
      </c>
      <c r="AL125" s="87" t="s">
        <v>99</v>
      </c>
      <c r="AM125" s="87" t="s">
        <v>94</v>
      </c>
      <c r="AN125" s="87" t="s">
        <v>94</v>
      </c>
      <c r="AO125" s="87" t="s">
        <v>160</v>
      </c>
      <c r="AP125" s="87" t="s">
        <v>160</v>
      </c>
      <c r="AQ125" s="87" t="s">
        <v>155</v>
      </c>
      <c r="AR125" s="87" t="s">
        <v>119</v>
      </c>
      <c r="AS125" s="87" t="s">
        <v>114</v>
      </c>
      <c r="AT125" s="87" t="s">
        <v>120</v>
      </c>
      <c r="AU125" s="87" t="s">
        <v>116</v>
      </c>
      <c r="AV125" s="87" t="s">
        <v>509</v>
      </c>
      <c r="AW125" s="87">
        <v>2</v>
      </c>
      <c r="AX125" s="87"/>
      <c r="AY125" s="87"/>
      <c r="AZ125" s="87"/>
      <c r="BA125" s="87"/>
      <c r="BB125" s="87"/>
      <c r="BC125" s="87"/>
      <c r="BD125" s="87"/>
      <c r="BE125" s="87"/>
      <c r="BF125" s="87"/>
      <c r="BG125" s="87"/>
      <c r="BH125" s="87"/>
      <c r="BI125" s="87"/>
      <c r="BJ125" s="87">
        <v>4</v>
      </c>
      <c r="BK125" s="87" t="s">
        <v>519</v>
      </c>
      <c r="BL125" s="87" t="s">
        <v>511</v>
      </c>
      <c r="BM125" s="87" t="s">
        <v>520</v>
      </c>
      <c r="BN125" s="87" t="s">
        <v>111</v>
      </c>
      <c r="BO125" s="87">
        <v>0.34842000000000001</v>
      </c>
      <c r="BP125" s="87">
        <v>0.35894999999999999</v>
      </c>
      <c r="BQ125" s="87" t="s">
        <v>129</v>
      </c>
      <c r="BR125" s="87">
        <v>8</v>
      </c>
      <c r="BS125" s="87" t="s">
        <v>111</v>
      </c>
      <c r="BT125" s="87">
        <v>0.32736999999999999</v>
      </c>
      <c r="BU125" s="87">
        <v>0.33894999999999997</v>
      </c>
      <c r="BV125" s="87" t="s">
        <v>129</v>
      </c>
      <c r="BW125" s="87">
        <v>8</v>
      </c>
      <c r="BX125" s="87" t="s">
        <v>521</v>
      </c>
      <c r="BY125" s="87">
        <v>0.32736999999999999</v>
      </c>
      <c r="BZ125" s="87">
        <v>0.33894999999999997</v>
      </c>
      <c r="CA125">
        <v>1.0529999999999984E-2</v>
      </c>
      <c r="CB125">
        <v>1.1579999999999979E-2</v>
      </c>
      <c r="CC125" s="87" t="s">
        <v>522</v>
      </c>
      <c r="CD125" s="87"/>
      <c r="CE125" s="87"/>
      <c r="CF125" s="87" t="s">
        <v>524</v>
      </c>
      <c r="CG125" t="s">
        <v>3095</v>
      </c>
    </row>
    <row r="126" spans="1:85" ht="14.5">
      <c r="A126" s="87">
        <v>17</v>
      </c>
      <c r="B126" t="s">
        <v>2869</v>
      </c>
      <c r="C126" s="87">
        <v>2017</v>
      </c>
      <c r="D126" s="87" t="s">
        <v>525</v>
      </c>
      <c r="E126" s="87"/>
      <c r="F126" s="87" t="s">
        <v>90</v>
      </c>
      <c r="G126" s="87" t="s">
        <v>526</v>
      </c>
      <c r="H126" s="87"/>
      <c r="I126" s="87" t="s">
        <v>527</v>
      </c>
      <c r="J126" s="87" t="s">
        <v>528</v>
      </c>
      <c r="K126" s="87" t="s">
        <v>97</v>
      </c>
      <c r="L126" s="87" t="s">
        <v>97</v>
      </c>
      <c r="M126" s="87" t="s">
        <v>95</v>
      </c>
      <c r="N126" s="87" t="s">
        <v>529</v>
      </c>
      <c r="O126" s="87" t="s">
        <v>97</v>
      </c>
      <c r="P126" s="87" t="s">
        <v>97</v>
      </c>
      <c r="Q126" s="87"/>
      <c r="R126" s="87"/>
      <c r="S126" s="87" t="s">
        <v>90</v>
      </c>
      <c r="T126" s="117" t="s">
        <v>114</v>
      </c>
      <c r="U126" s="87" t="s">
        <v>191</v>
      </c>
      <c r="V126" s="87" t="s">
        <v>99</v>
      </c>
      <c r="W126" s="87"/>
      <c r="X126" s="87" t="s">
        <v>3088</v>
      </c>
      <c r="Y126" s="87" t="s">
        <v>3087</v>
      </c>
      <c r="Z126" s="87" t="s">
        <v>102</v>
      </c>
      <c r="AA126" s="87" t="s">
        <v>3105</v>
      </c>
      <c r="AB126" s="87" t="s">
        <v>319</v>
      </c>
      <c r="AC126" s="87" t="s">
        <v>105</v>
      </c>
      <c r="AD126" s="87" t="s">
        <v>530</v>
      </c>
      <c r="AE126" s="87" t="s">
        <v>531</v>
      </c>
      <c r="AF126" s="87" t="s">
        <v>532</v>
      </c>
      <c r="AG126" s="87">
        <v>2</v>
      </c>
      <c r="AH126" s="87" t="s">
        <v>90</v>
      </c>
      <c r="AI126" s="87" t="s">
        <v>533</v>
      </c>
      <c r="AJ126" s="87" t="s">
        <v>508</v>
      </c>
      <c r="AK126" s="87">
        <v>2</v>
      </c>
      <c r="AL126" s="87" t="s">
        <v>99</v>
      </c>
      <c r="AM126" s="87" t="s">
        <v>97</v>
      </c>
      <c r="AN126" s="87" t="s">
        <v>97</v>
      </c>
      <c r="AO126" s="87" t="s">
        <v>160</v>
      </c>
      <c r="AP126" s="87">
        <v>0</v>
      </c>
      <c r="AQ126" s="87" t="s">
        <v>155</v>
      </c>
      <c r="AR126" s="87" t="s">
        <v>119</v>
      </c>
      <c r="AS126" s="87" t="s">
        <v>114</v>
      </c>
      <c r="AT126" s="87" t="s">
        <v>120</v>
      </c>
      <c r="AU126" s="87" t="s">
        <v>116</v>
      </c>
      <c r="AV126" s="87" t="s">
        <v>534</v>
      </c>
      <c r="AW126" s="87">
        <v>2</v>
      </c>
      <c r="AX126" s="87" t="s">
        <v>535</v>
      </c>
      <c r="AY126" s="87" t="s">
        <v>536</v>
      </c>
      <c r="AZ126" s="87" t="s">
        <v>537</v>
      </c>
      <c r="BA126" s="87" t="s">
        <v>116</v>
      </c>
      <c r="BB126" s="87" t="s">
        <v>538</v>
      </c>
      <c r="BC126" s="87">
        <v>2</v>
      </c>
      <c r="BD126" s="87"/>
      <c r="BJ126">
        <v>0</v>
      </c>
      <c r="BK126" t="s">
        <v>539</v>
      </c>
      <c r="BL126" t="s">
        <v>355</v>
      </c>
      <c r="BM126" t="s">
        <v>540</v>
      </c>
      <c r="BN126">
        <v>0.39938888</v>
      </c>
      <c r="BO126">
        <v>0.47476560000000001</v>
      </c>
      <c r="BP126" s="87">
        <v>0.55014220000000003</v>
      </c>
      <c r="BQ126" s="87" t="s">
        <v>161</v>
      </c>
      <c r="BR126" s="87">
        <v>9</v>
      </c>
      <c r="BS126" s="87">
        <v>0.37818464000000002</v>
      </c>
      <c r="BT126" s="87">
        <v>0.46576000000000001</v>
      </c>
      <c r="BU126" s="87">
        <v>0.55333540000000003</v>
      </c>
      <c r="BV126" s="87" t="s">
        <v>161</v>
      </c>
      <c r="BW126" s="87">
        <v>9</v>
      </c>
      <c r="BX126" s="87"/>
      <c r="BY126" s="87">
        <v>0.46576000000000001</v>
      </c>
      <c r="BZ126" s="87">
        <v>0.55333540000000003</v>
      </c>
      <c r="CA126">
        <v>7.5376600000000016E-2</v>
      </c>
      <c r="CB126">
        <v>8.7575400000000025E-2</v>
      </c>
      <c r="CC126" s="87"/>
      <c r="CD126" s="87"/>
      <c r="CE126" s="87"/>
      <c r="CF126" s="87"/>
      <c r="CG126" t="s">
        <v>3095</v>
      </c>
    </row>
    <row r="127" spans="1:85" ht="14.5">
      <c r="A127" s="87">
        <v>5</v>
      </c>
      <c r="B127" s="87" t="s">
        <v>541</v>
      </c>
      <c r="C127" s="87">
        <v>2012</v>
      </c>
      <c r="D127" s="87" t="s">
        <v>542</v>
      </c>
      <c r="E127" s="88">
        <v>44708</v>
      </c>
      <c r="F127" s="87" t="s">
        <v>90</v>
      </c>
      <c r="G127" s="87" t="s">
        <v>135</v>
      </c>
      <c r="H127" s="87"/>
      <c r="I127" s="87" t="s">
        <v>543</v>
      </c>
      <c r="J127" s="87" t="s">
        <v>544</v>
      </c>
      <c r="K127" s="87" t="s">
        <v>94</v>
      </c>
      <c r="L127" s="87" t="s">
        <v>94</v>
      </c>
      <c r="M127" s="87" t="s">
        <v>95</v>
      </c>
      <c r="N127" s="87" t="s">
        <v>545</v>
      </c>
      <c r="O127" s="1" t="s">
        <v>97</v>
      </c>
      <c r="P127" s="1" t="s">
        <v>97</v>
      </c>
      <c r="Q127" s="87"/>
      <c r="R127" s="87"/>
      <c r="S127" t="s">
        <v>90</v>
      </c>
      <c r="T127" s="117" t="s">
        <v>114</v>
      </c>
      <c r="U127" t="s">
        <v>191</v>
      </c>
      <c r="V127" t="s">
        <v>99</v>
      </c>
      <c r="W127">
        <v>1</v>
      </c>
      <c r="X127" t="s">
        <v>546</v>
      </c>
      <c r="Y127" t="s">
        <v>546</v>
      </c>
      <c r="Z127" t="s">
        <v>102</v>
      </c>
      <c r="AA127" t="s">
        <v>211</v>
      </c>
      <c r="AB127" s="6" t="s">
        <v>547</v>
      </c>
      <c r="AC127" t="str">
        <f>IF(O127="N","lab",IF(AND(O127="Y",P127="N"),"field",IF(AND(O127="Y",P127="Y"),"plp")))</f>
        <v>lab</v>
      </c>
      <c r="AD127" t="s">
        <v>548</v>
      </c>
      <c r="AE127" t="s">
        <v>214</v>
      </c>
      <c r="AF127" t="s">
        <v>549</v>
      </c>
      <c r="AG127">
        <v>2</v>
      </c>
      <c r="AH127" t="s">
        <v>90</v>
      </c>
      <c r="AI127" s="6" t="s">
        <v>550</v>
      </c>
      <c r="AJ127" s="87" t="s">
        <v>110</v>
      </c>
      <c r="AK127" s="87">
        <v>2</v>
      </c>
      <c r="AL127" s="87" t="s">
        <v>99</v>
      </c>
      <c r="AM127" s="87" t="s">
        <v>94</v>
      </c>
      <c r="AN127" s="87" t="s">
        <v>94</v>
      </c>
      <c r="AO127" s="87" t="s">
        <v>111</v>
      </c>
      <c r="AP127" s="87" t="s">
        <v>111</v>
      </c>
      <c r="AQ127" s="87" t="s">
        <v>551</v>
      </c>
      <c r="AR127" s="87" t="s">
        <v>113</v>
      </c>
      <c r="AS127" s="87" t="s">
        <v>114</v>
      </c>
      <c r="AT127" s="87" t="s">
        <v>115</v>
      </c>
      <c r="AU127" s="87" t="s">
        <v>116</v>
      </c>
      <c r="AV127" s="87" t="s">
        <v>552</v>
      </c>
      <c r="AW127" s="87">
        <v>2</v>
      </c>
      <c r="AX127" s="87" t="s">
        <v>155</v>
      </c>
      <c r="AY127" s="87" t="s">
        <v>119</v>
      </c>
      <c r="AZ127" s="87" t="s">
        <v>120</v>
      </c>
      <c r="BA127" s="87" t="s">
        <v>116</v>
      </c>
      <c r="BB127" s="87" t="s">
        <v>553</v>
      </c>
      <c r="BC127" s="87">
        <v>2</v>
      </c>
      <c r="BJ127" s="87">
        <v>6</v>
      </c>
      <c r="BK127" s="87" t="s">
        <v>554</v>
      </c>
      <c r="BL127" t="s">
        <v>355</v>
      </c>
      <c r="BM127" s="87" t="s">
        <v>200</v>
      </c>
      <c r="BN127" s="87">
        <v>2.3204488999999998E-2</v>
      </c>
      <c r="BO127" s="87">
        <v>2.4638403999999999E-2</v>
      </c>
      <c r="BP127" s="87">
        <v>2.6072319E-2</v>
      </c>
      <c r="BQ127" s="87" t="s">
        <v>161</v>
      </c>
      <c r="BR127" s="87">
        <v>72</v>
      </c>
      <c r="BS127" s="87">
        <v>2.1645885E-2</v>
      </c>
      <c r="BT127" s="87">
        <v>2.2955112E-2</v>
      </c>
      <c r="BU127" s="87">
        <v>2.4326683000000002E-2</v>
      </c>
      <c r="BV127" s="87" t="s">
        <v>161</v>
      </c>
      <c r="BW127" s="87">
        <v>72</v>
      </c>
      <c r="BX127" s="87" t="s">
        <v>555</v>
      </c>
      <c r="BY127" s="87">
        <v>2.2955112E-2</v>
      </c>
      <c r="BZ127" s="87">
        <v>2.4326683000000002E-2</v>
      </c>
      <c r="CA127">
        <v>1.4339150000000009E-3</v>
      </c>
      <c r="CB127">
        <v>1.371571000000002E-3</v>
      </c>
      <c r="CC127" s="87" t="s">
        <v>3199</v>
      </c>
      <c r="CD127" s="87"/>
      <c r="CE127" s="87"/>
      <c r="CF127" s="87" t="s">
        <v>3200</v>
      </c>
    </row>
    <row r="128" spans="1:85" ht="14.5">
      <c r="A128" s="87">
        <v>5</v>
      </c>
      <c r="B128" s="87" t="s">
        <v>541</v>
      </c>
      <c r="C128" s="87">
        <v>2012</v>
      </c>
      <c r="D128" s="87" t="s">
        <v>542</v>
      </c>
      <c r="E128" s="88">
        <v>44708</v>
      </c>
      <c r="F128" s="87" t="s">
        <v>90</v>
      </c>
      <c r="G128" s="87" t="s">
        <v>135</v>
      </c>
      <c r="H128" s="87"/>
      <c r="I128" s="87" t="s">
        <v>543</v>
      </c>
      <c r="J128" s="87" t="s">
        <v>544</v>
      </c>
      <c r="K128" s="87" t="s">
        <v>94</v>
      </c>
      <c r="L128" s="87" t="s">
        <v>94</v>
      </c>
      <c r="M128" s="87" t="s">
        <v>95</v>
      </c>
      <c r="N128" s="87" t="s">
        <v>545</v>
      </c>
      <c r="O128" s="1" t="s">
        <v>97</v>
      </c>
      <c r="P128" s="1" t="s">
        <v>97</v>
      </c>
      <c r="Q128" s="87"/>
      <c r="R128" s="87"/>
      <c r="S128" t="s">
        <v>90</v>
      </c>
      <c r="T128" s="117" t="s">
        <v>114</v>
      </c>
      <c r="U128" t="s">
        <v>191</v>
      </c>
      <c r="V128" t="s">
        <v>99</v>
      </c>
      <c r="W128">
        <v>1</v>
      </c>
      <c r="X128" t="s">
        <v>546</v>
      </c>
      <c r="Y128" t="s">
        <v>546</v>
      </c>
      <c r="Z128" t="s">
        <v>102</v>
      </c>
      <c r="AA128" t="s">
        <v>211</v>
      </c>
      <c r="AB128" s="6" t="s">
        <v>547</v>
      </c>
      <c r="AC128" t="str">
        <f>IF(O128="N","lab",IF(AND(O128="Y",P128="N"),"field",IF(AND(O128="Y",P128="Y"),"plp")))</f>
        <v>lab</v>
      </c>
      <c r="AD128" t="s">
        <v>548</v>
      </c>
      <c r="AE128" t="s">
        <v>214</v>
      </c>
      <c r="AF128" t="s">
        <v>549</v>
      </c>
      <c r="AG128" s="87">
        <v>2</v>
      </c>
      <c r="AH128" s="87" t="s">
        <v>90</v>
      </c>
      <c r="AI128" s="87" t="s">
        <v>550</v>
      </c>
      <c r="AJ128" s="87" t="s">
        <v>110</v>
      </c>
      <c r="AK128" s="87">
        <v>2</v>
      </c>
      <c r="AL128" s="87" t="s">
        <v>99</v>
      </c>
      <c r="AM128" s="87" t="s">
        <v>94</v>
      </c>
      <c r="AN128" s="87" t="s">
        <v>94</v>
      </c>
      <c r="AO128" s="87" t="s">
        <v>111</v>
      </c>
      <c r="AP128" s="87" t="s">
        <v>111</v>
      </c>
      <c r="AQ128" s="87" t="s">
        <v>551</v>
      </c>
      <c r="AR128" s="87" t="s">
        <v>113</v>
      </c>
      <c r="AS128" s="87" t="s">
        <v>114</v>
      </c>
      <c r="AT128" s="87" t="s">
        <v>115</v>
      </c>
      <c r="AU128" s="87" t="s">
        <v>116</v>
      </c>
      <c r="AV128" s="87" t="s">
        <v>552</v>
      </c>
      <c r="AW128" s="87">
        <v>2</v>
      </c>
      <c r="AX128" s="87" t="s">
        <v>155</v>
      </c>
      <c r="AY128" s="87" t="s">
        <v>119</v>
      </c>
      <c r="AZ128" s="87" t="s">
        <v>120</v>
      </c>
      <c r="BA128" s="87" t="s">
        <v>116</v>
      </c>
      <c r="BB128" s="87" t="s">
        <v>553</v>
      </c>
      <c r="BC128" s="87">
        <v>2</v>
      </c>
      <c r="BJ128" s="87">
        <v>6</v>
      </c>
      <c r="BK128" s="87" t="s">
        <v>554</v>
      </c>
      <c r="BL128" t="s">
        <v>355</v>
      </c>
      <c r="BM128" s="87" t="s">
        <v>200</v>
      </c>
      <c r="BN128" s="87">
        <v>2.0149626E-2</v>
      </c>
      <c r="BO128" s="87">
        <v>2.1895261999999999E-2</v>
      </c>
      <c r="BP128" s="87">
        <v>2.3640898E-2</v>
      </c>
      <c r="BQ128" s="87" t="s">
        <v>161</v>
      </c>
      <c r="BR128" s="87">
        <v>72</v>
      </c>
      <c r="BS128" s="87">
        <v>1.7344140000000001E-2</v>
      </c>
      <c r="BT128" s="87">
        <v>1.9214464000000001E-2</v>
      </c>
      <c r="BU128" s="87">
        <v>2.1147131999999999E-2</v>
      </c>
      <c r="BV128" s="87" t="s">
        <v>161</v>
      </c>
      <c r="BW128" s="87">
        <v>72</v>
      </c>
      <c r="BX128" s="87" t="s">
        <v>555</v>
      </c>
      <c r="BY128" s="87">
        <v>1.9214464000000001E-2</v>
      </c>
      <c r="BZ128" s="87">
        <v>2.1147131999999999E-2</v>
      </c>
      <c r="CA128">
        <v>1.7456360000000018E-3</v>
      </c>
      <c r="CB128">
        <v>1.9326679999999985E-3</v>
      </c>
      <c r="CC128" s="87" t="s">
        <v>3199</v>
      </c>
      <c r="CD128" s="87"/>
      <c r="CE128" s="87"/>
      <c r="CF128" s="87" t="s">
        <v>3200</v>
      </c>
    </row>
    <row r="129" spans="1:85" ht="14.5">
      <c r="A129" s="87">
        <v>5</v>
      </c>
      <c r="B129" s="87" t="s">
        <v>541</v>
      </c>
      <c r="C129" s="87">
        <v>2012</v>
      </c>
      <c r="D129" s="87" t="s">
        <v>542</v>
      </c>
      <c r="E129" s="88">
        <v>44708</v>
      </c>
      <c r="F129" s="87" t="s">
        <v>90</v>
      </c>
      <c r="G129" s="87" t="s">
        <v>135</v>
      </c>
      <c r="H129" s="87"/>
      <c r="I129" s="87" t="s">
        <v>543</v>
      </c>
      <c r="J129" s="87" t="s">
        <v>544</v>
      </c>
      <c r="K129" s="87" t="s">
        <v>94</v>
      </c>
      <c r="L129" s="87" t="s">
        <v>94</v>
      </c>
      <c r="M129" s="87" t="s">
        <v>95</v>
      </c>
      <c r="N129" s="87" t="s">
        <v>545</v>
      </c>
      <c r="O129" s="1" t="s">
        <v>97</v>
      </c>
      <c r="P129" s="1" t="s">
        <v>97</v>
      </c>
      <c r="Q129" s="87"/>
      <c r="R129" s="87"/>
      <c r="S129" t="s">
        <v>90</v>
      </c>
      <c r="T129" s="117" t="s">
        <v>114</v>
      </c>
      <c r="U129" t="s">
        <v>191</v>
      </c>
      <c r="V129" t="s">
        <v>99</v>
      </c>
      <c r="W129">
        <v>1</v>
      </c>
      <c r="X129" t="s">
        <v>546</v>
      </c>
      <c r="Y129" t="s">
        <v>546</v>
      </c>
      <c r="Z129" t="s">
        <v>102</v>
      </c>
      <c r="AA129" t="s">
        <v>211</v>
      </c>
      <c r="AB129" s="6" t="s">
        <v>547</v>
      </c>
      <c r="AC129" t="str">
        <f>IF(O129="N","lab",IF(AND(O129="Y",P129="N"),"field",IF(AND(O129="Y",P129="Y"),"plp")))</f>
        <v>lab</v>
      </c>
      <c r="AD129" t="s">
        <v>548</v>
      </c>
      <c r="AE129" t="s">
        <v>214</v>
      </c>
      <c r="AF129" t="s">
        <v>549</v>
      </c>
      <c r="AG129" s="87">
        <v>2</v>
      </c>
      <c r="AH129" s="87" t="s">
        <v>90</v>
      </c>
      <c r="AI129" s="87" t="s">
        <v>550</v>
      </c>
      <c r="AJ129" s="87" t="s">
        <v>110</v>
      </c>
      <c r="AK129" s="87">
        <v>2</v>
      </c>
      <c r="AL129" s="87" t="s">
        <v>99</v>
      </c>
      <c r="AM129" s="87" t="s">
        <v>94</v>
      </c>
      <c r="AN129" s="87" t="s">
        <v>94</v>
      </c>
      <c r="AO129" s="87" t="s">
        <v>111</v>
      </c>
      <c r="AP129" s="87" t="s">
        <v>111</v>
      </c>
      <c r="AQ129" s="87" t="s">
        <v>551</v>
      </c>
      <c r="AR129" s="87" t="s">
        <v>113</v>
      </c>
      <c r="AS129" s="87" t="s">
        <v>114</v>
      </c>
      <c r="AT129" s="87" t="s">
        <v>115</v>
      </c>
      <c r="AU129" s="87" t="s">
        <v>116</v>
      </c>
      <c r="AV129" s="87" t="s">
        <v>552</v>
      </c>
      <c r="AW129" s="87">
        <v>2</v>
      </c>
      <c r="AX129" s="87" t="s">
        <v>155</v>
      </c>
      <c r="AY129" s="87" t="s">
        <v>119</v>
      </c>
      <c r="AZ129" s="87" t="s">
        <v>120</v>
      </c>
      <c r="BA129" s="87" t="s">
        <v>116</v>
      </c>
      <c r="BB129" s="87" t="s">
        <v>553</v>
      </c>
      <c r="BC129" s="87">
        <v>2</v>
      </c>
      <c r="BJ129" s="87">
        <v>0</v>
      </c>
      <c r="BK129" s="87" t="s">
        <v>557</v>
      </c>
      <c r="BL129" t="s">
        <v>355</v>
      </c>
      <c r="BM129" s="87" t="s">
        <v>200</v>
      </c>
      <c r="BN129" s="87">
        <v>1.6346632999999999E-2</v>
      </c>
      <c r="BO129" s="87">
        <v>1.7531172000000001E-2</v>
      </c>
      <c r="BP129" s="87">
        <v>1.8715710999999999E-2</v>
      </c>
      <c r="BQ129" s="87" t="s">
        <v>161</v>
      </c>
      <c r="BR129" s="87">
        <v>72</v>
      </c>
      <c r="BS129" s="87">
        <v>1.4351621E-2</v>
      </c>
      <c r="BT129" s="87">
        <v>1.5598503999999999E-2</v>
      </c>
      <c r="BU129" s="87">
        <v>1.6845387E-2</v>
      </c>
      <c r="BV129" s="87" t="s">
        <v>161</v>
      </c>
      <c r="BW129" s="87">
        <v>72</v>
      </c>
      <c r="BX129" s="87" t="s">
        <v>555</v>
      </c>
      <c r="BY129" s="87">
        <v>1.5598503999999999E-2</v>
      </c>
      <c r="BZ129" s="87">
        <v>1.6845387E-2</v>
      </c>
      <c r="CA129">
        <v>1.1845389999999983E-3</v>
      </c>
      <c r="CB129">
        <v>1.2468830000000007E-3</v>
      </c>
      <c r="CC129" s="87" t="s">
        <v>3199</v>
      </c>
      <c r="CD129" s="87"/>
      <c r="CE129" s="87"/>
      <c r="CF129" s="87" t="s">
        <v>3200</v>
      </c>
    </row>
    <row r="130" spans="1:85" ht="14.5">
      <c r="A130" s="87">
        <v>5</v>
      </c>
      <c r="B130" s="87" t="s">
        <v>541</v>
      </c>
      <c r="C130" s="87">
        <v>2012</v>
      </c>
      <c r="D130" s="87" t="s">
        <v>542</v>
      </c>
      <c r="E130" s="88">
        <v>44708</v>
      </c>
      <c r="F130" s="87" t="s">
        <v>90</v>
      </c>
      <c r="G130" s="87" t="s">
        <v>135</v>
      </c>
      <c r="H130" s="87"/>
      <c r="I130" s="87" t="s">
        <v>543</v>
      </c>
      <c r="J130" s="87" t="s">
        <v>544</v>
      </c>
      <c r="K130" s="87" t="s">
        <v>94</v>
      </c>
      <c r="L130" s="87" t="s">
        <v>94</v>
      </c>
      <c r="M130" s="87" t="s">
        <v>95</v>
      </c>
      <c r="N130" s="87" t="s">
        <v>545</v>
      </c>
      <c r="O130" s="1" t="s">
        <v>97</v>
      </c>
      <c r="P130" s="1" t="s">
        <v>97</v>
      </c>
      <c r="Q130" s="87"/>
      <c r="R130" s="87"/>
      <c r="S130" t="s">
        <v>90</v>
      </c>
      <c r="T130" s="117" t="s">
        <v>114</v>
      </c>
      <c r="U130" t="s">
        <v>191</v>
      </c>
      <c r="V130" t="s">
        <v>99</v>
      </c>
      <c r="W130">
        <v>1</v>
      </c>
      <c r="X130" t="s">
        <v>546</v>
      </c>
      <c r="Y130" t="s">
        <v>546</v>
      </c>
      <c r="Z130" t="s">
        <v>102</v>
      </c>
      <c r="AA130" t="s">
        <v>211</v>
      </c>
      <c r="AB130" s="6" t="s">
        <v>547</v>
      </c>
      <c r="AC130" t="str">
        <f>IF(O130="N","lab",IF(AND(O130="Y",P130="N"),"field",IF(AND(O130="Y",P130="Y"),"plp")))</f>
        <v>lab</v>
      </c>
      <c r="AD130" t="s">
        <v>548</v>
      </c>
      <c r="AE130" t="s">
        <v>214</v>
      </c>
      <c r="AF130" t="s">
        <v>549</v>
      </c>
      <c r="AG130" s="87">
        <v>2</v>
      </c>
      <c r="AH130" s="87" t="s">
        <v>90</v>
      </c>
      <c r="AI130" s="87" t="s">
        <v>550</v>
      </c>
      <c r="AJ130" s="87" t="s">
        <v>110</v>
      </c>
      <c r="AK130" s="87">
        <v>2</v>
      </c>
      <c r="AL130" s="87" t="s">
        <v>99</v>
      </c>
      <c r="AM130" s="87" t="s">
        <v>94</v>
      </c>
      <c r="AN130" s="87" t="s">
        <v>94</v>
      </c>
      <c r="AO130" s="87" t="s">
        <v>111</v>
      </c>
      <c r="AP130" s="87" t="s">
        <v>111</v>
      </c>
      <c r="AQ130" s="87" t="s">
        <v>551</v>
      </c>
      <c r="AR130" s="87" t="s">
        <v>113</v>
      </c>
      <c r="AS130" s="87" t="s">
        <v>114</v>
      </c>
      <c r="AT130" s="87" t="s">
        <v>115</v>
      </c>
      <c r="AU130" s="87" t="s">
        <v>116</v>
      </c>
      <c r="AV130" s="87" t="s">
        <v>552</v>
      </c>
      <c r="AW130" s="87">
        <v>2</v>
      </c>
      <c r="AX130" s="87" t="s">
        <v>155</v>
      </c>
      <c r="AY130" s="87" t="s">
        <v>119</v>
      </c>
      <c r="AZ130" s="87" t="s">
        <v>120</v>
      </c>
      <c r="BA130" s="87" t="s">
        <v>116</v>
      </c>
      <c r="BB130" s="87" t="s">
        <v>553</v>
      </c>
      <c r="BC130" s="87">
        <v>2</v>
      </c>
      <c r="BJ130" s="87">
        <v>0</v>
      </c>
      <c r="BK130" s="87" t="s">
        <v>557</v>
      </c>
      <c r="BL130" t="s">
        <v>355</v>
      </c>
      <c r="BM130" s="87" t="s">
        <v>200</v>
      </c>
      <c r="BN130" s="87">
        <v>1.2668329000000001E-2</v>
      </c>
      <c r="BO130" s="87">
        <v>1.3665834999999999E-2</v>
      </c>
      <c r="BP130" s="87">
        <v>1.4600998E-2</v>
      </c>
      <c r="BQ130" s="87" t="s">
        <v>161</v>
      </c>
      <c r="BR130" s="87">
        <v>72</v>
      </c>
      <c r="BS130" s="87">
        <v>9.3640900000000003E-3</v>
      </c>
      <c r="BT130" s="87">
        <v>1.0548628000000001E-2</v>
      </c>
      <c r="BU130" s="87">
        <v>1.1608479E-2</v>
      </c>
      <c r="BV130" s="87" t="s">
        <v>161</v>
      </c>
      <c r="BW130" s="87">
        <v>72</v>
      </c>
      <c r="BX130" s="87" t="s">
        <v>555</v>
      </c>
      <c r="BY130" s="87">
        <v>1.0548628000000001E-2</v>
      </c>
      <c r="BZ130" s="87">
        <v>1.1608479E-2</v>
      </c>
      <c r="CA130">
        <v>9.3516300000000101E-4</v>
      </c>
      <c r="CB130">
        <v>1.0598509999999988E-3</v>
      </c>
      <c r="CC130" s="87" t="s">
        <v>3199</v>
      </c>
      <c r="CD130" s="87"/>
      <c r="CE130" s="87"/>
      <c r="CF130" s="87" t="s">
        <v>3200</v>
      </c>
    </row>
    <row r="131" spans="1:85" ht="101.75" customHeight="1">
      <c r="A131" s="87">
        <v>17</v>
      </c>
      <c r="B131" t="s">
        <v>2869</v>
      </c>
      <c r="C131" s="87">
        <v>2017</v>
      </c>
      <c r="D131" s="87" t="s">
        <v>525</v>
      </c>
      <c r="E131" s="87"/>
      <c r="F131" s="87" t="s">
        <v>90</v>
      </c>
      <c r="G131" s="87" t="s">
        <v>526</v>
      </c>
      <c r="H131" s="87"/>
      <c r="I131" s="87" t="s">
        <v>527</v>
      </c>
      <c r="J131" s="87" t="s">
        <v>528</v>
      </c>
      <c r="K131" s="87" t="s">
        <v>97</v>
      </c>
      <c r="L131" s="87" t="s">
        <v>97</v>
      </c>
      <c r="M131" s="87" t="s">
        <v>95</v>
      </c>
      <c r="N131" s="87" t="s">
        <v>529</v>
      </c>
      <c r="O131" s="87" t="s">
        <v>97</v>
      </c>
      <c r="P131" s="87" t="s">
        <v>97</v>
      </c>
      <c r="Q131" s="87"/>
      <c r="R131" s="87"/>
      <c r="S131" s="87" t="s">
        <v>90</v>
      </c>
      <c r="T131" s="117" t="s">
        <v>114</v>
      </c>
      <c r="U131" s="87" t="s">
        <v>191</v>
      </c>
      <c r="V131" s="87" t="s">
        <v>99</v>
      </c>
      <c r="W131" s="87"/>
      <c r="X131" s="87" t="s">
        <v>3088</v>
      </c>
      <c r="Y131" s="87" t="s">
        <v>3087</v>
      </c>
      <c r="Z131" s="87" t="s">
        <v>102</v>
      </c>
      <c r="AA131" s="87" t="s">
        <v>3106</v>
      </c>
      <c r="AB131" s="87" t="s">
        <v>319</v>
      </c>
      <c r="AC131" s="87" t="s">
        <v>105</v>
      </c>
      <c r="AD131" s="87" t="s">
        <v>530</v>
      </c>
      <c r="AE131" s="87" t="s">
        <v>531</v>
      </c>
      <c r="AF131" s="87" t="s">
        <v>532</v>
      </c>
      <c r="AG131" s="87">
        <v>2</v>
      </c>
      <c r="AH131" s="87" t="s">
        <v>90</v>
      </c>
      <c r="AI131" s="87" t="s">
        <v>533</v>
      </c>
      <c r="AJ131" s="87" t="s">
        <v>508</v>
      </c>
      <c r="AK131" s="87">
        <v>2</v>
      </c>
      <c r="AL131" s="87" t="s">
        <v>99</v>
      </c>
      <c r="AM131" s="87" t="s">
        <v>97</v>
      </c>
      <c r="AN131" s="87" t="s">
        <v>97</v>
      </c>
      <c r="AO131" s="87" t="s">
        <v>160</v>
      </c>
      <c r="AP131" s="87">
        <v>0</v>
      </c>
      <c r="AQ131" s="87" t="s">
        <v>155</v>
      </c>
      <c r="AR131" s="87" t="s">
        <v>119</v>
      </c>
      <c r="AS131" s="87" t="s">
        <v>114</v>
      </c>
      <c r="AT131" s="87" t="s">
        <v>120</v>
      </c>
      <c r="AU131" s="87" t="s">
        <v>116</v>
      </c>
      <c r="AV131" s="87" t="s">
        <v>534</v>
      </c>
      <c r="AW131" s="87">
        <v>2</v>
      </c>
      <c r="AX131" s="87" t="s">
        <v>535</v>
      </c>
      <c r="AY131" s="87" t="s">
        <v>536</v>
      </c>
      <c r="AZ131" s="87" t="s">
        <v>537</v>
      </c>
      <c r="BA131" s="87" t="s">
        <v>116</v>
      </c>
      <c r="BB131" s="87" t="s">
        <v>538</v>
      </c>
      <c r="BC131" s="87">
        <v>2</v>
      </c>
      <c r="BD131" s="87"/>
      <c r="BJ131">
        <v>0</v>
      </c>
      <c r="BK131" t="s">
        <v>558</v>
      </c>
      <c r="BL131" t="s">
        <v>355</v>
      </c>
      <c r="BM131" t="s">
        <v>540</v>
      </c>
      <c r="BN131">
        <v>7.7119960000000001E-2</v>
      </c>
      <c r="BO131">
        <v>0.19354199999999999</v>
      </c>
      <c r="BP131">
        <v>0.30996400000000002</v>
      </c>
      <c r="BQ131" s="87" t="s">
        <v>161</v>
      </c>
      <c r="BR131" s="87">
        <v>9</v>
      </c>
      <c r="BS131">
        <v>3.0479099999999999E-2</v>
      </c>
      <c r="BT131">
        <v>0.17724799999999999</v>
      </c>
      <c r="BU131">
        <v>0.3240169</v>
      </c>
      <c r="BV131" s="87" t="s">
        <v>161</v>
      </c>
      <c r="BW131" s="87">
        <v>9</v>
      </c>
      <c r="BY131">
        <v>0.17724799999999999</v>
      </c>
      <c r="BZ131">
        <v>0.3240169</v>
      </c>
      <c r="CA131">
        <v>0.11642200000000003</v>
      </c>
      <c r="CB131">
        <v>0.14676890000000001</v>
      </c>
      <c r="CG131" t="s">
        <v>3095</v>
      </c>
    </row>
    <row r="132" spans="1:85" ht="101.75" customHeight="1">
      <c r="A132" s="87">
        <v>17</v>
      </c>
      <c r="B132" t="s">
        <v>2869</v>
      </c>
      <c r="C132" s="87">
        <v>2017</v>
      </c>
      <c r="D132" s="87" t="s">
        <v>525</v>
      </c>
      <c r="E132" s="87"/>
      <c r="F132" s="87" t="s">
        <v>90</v>
      </c>
      <c r="G132" s="87" t="s">
        <v>526</v>
      </c>
      <c r="H132" s="87"/>
      <c r="I132" s="87" t="s">
        <v>527</v>
      </c>
      <c r="J132" s="87" t="s">
        <v>528</v>
      </c>
      <c r="K132" s="87" t="s">
        <v>97</v>
      </c>
      <c r="L132" s="87" t="s">
        <v>97</v>
      </c>
      <c r="M132" s="87" t="s">
        <v>95</v>
      </c>
      <c r="N132" s="87" t="s">
        <v>529</v>
      </c>
      <c r="O132" s="87" t="s">
        <v>97</v>
      </c>
      <c r="P132" s="87" t="s">
        <v>97</v>
      </c>
      <c r="Q132" s="87"/>
      <c r="R132" s="87"/>
      <c r="S132" s="87" t="s">
        <v>90</v>
      </c>
      <c r="T132" s="117" t="s">
        <v>114</v>
      </c>
      <c r="U132" s="87" t="s">
        <v>191</v>
      </c>
      <c r="V132" s="87" t="s">
        <v>99</v>
      </c>
      <c r="W132" s="87"/>
      <c r="X132" s="87" t="s">
        <v>3088</v>
      </c>
      <c r="Y132" s="87" t="s">
        <v>3087</v>
      </c>
      <c r="Z132" s="87" t="s">
        <v>102</v>
      </c>
      <c r="AA132" s="87" t="s">
        <v>3106</v>
      </c>
      <c r="AB132" s="87" t="s">
        <v>319</v>
      </c>
      <c r="AC132" s="87" t="s">
        <v>105</v>
      </c>
      <c r="AD132" s="87" t="s">
        <v>530</v>
      </c>
      <c r="AE132" s="87" t="s">
        <v>531</v>
      </c>
      <c r="AF132" s="87" t="s">
        <v>532</v>
      </c>
      <c r="AG132" s="87">
        <v>2</v>
      </c>
      <c r="AH132" s="87" t="s">
        <v>90</v>
      </c>
      <c r="AI132" s="87" t="s">
        <v>533</v>
      </c>
      <c r="AJ132" s="87" t="s">
        <v>508</v>
      </c>
      <c r="AK132" s="87">
        <v>2</v>
      </c>
      <c r="AL132" s="87" t="s">
        <v>99</v>
      </c>
      <c r="AM132" s="87" t="s">
        <v>97</v>
      </c>
      <c r="AN132" s="87" t="s">
        <v>97</v>
      </c>
      <c r="AO132" s="87" t="s">
        <v>160</v>
      </c>
      <c r="AP132" s="87">
        <v>0</v>
      </c>
      <c r="AQ132" s="87" t="s">
        <v>155</v>
      </c>
      <c r="AR132" s="87" t="s">
        <v>119</v>
      </c>
      <c r="AS132" s="87" t="s">
        <v>114</v>
      </c>
      <c r="AT132" s="87" t="s">
        <v>120</v>
      </c>
      <c r="AU132" s="87" t="s">
        <v>116</v>
      </c>
      <c r="AV132" s="87" t="s">
        <v>534</v>
      </c>
      <c r="AW132" s="87">
        <v>2</v>
      </c>
      <c r="AX132" s="87" t="s">
        <v>535</v>
      </c>
      <c r="AY132" s="87" t="s">
        <v>536</v>
      </c>
      <c r="AZ132" s="87" t="s">
        <v>537</v>
      </c>
      <c r="BA132" s="87" t="s">
        <v>116</v>
      </c>
      <c r="BB132" s="87" t="s">
        <v>538</v>
      </c>
      <c r="BC132" s="87">
        <v>2</v>
      </c>
      <c r="BD132" s="87"/>
      <c r="BJ132">
        <v>5</v>
      </c>
      <c r="BK132" t="s">
        <v>559</v>
      </c>
      <c r="BL132" t="s">
        <v>355</v>
      </c>
      <c r="BM132" t="s">
        <v>540</v>
      </c>
      <c r="BN132">
        <v>0.67779420000000001</v>
      </c>
      <c r="BO132">
        <v>0.82447899999999996</v>
      </c>
      <c r="BP132">
        <v>0.97116380000000002</v>
      </c>
      <c r="BQ132" s="87" t="s">
        <v>161</v>
      </c>
      <c r="BR132" s="87">
        <v>9</v>
      </c>
      <c r="BS132">
        <v>0.64018268</v>
      </c>
      <c r="BT132">
        <v>0.75800440000000002</v>
      </c>
      <c r="BU132">
        <v>0.8758262</v>
      </c>
      <c r="BV132" s="87" t="s">
        <v>161</v>
      </c>
      <c r="BW132" s="87">
        <v>9</v>
      </c>
      <c r="BY132">
        <v>0.75800440000000002</v>
      </c>
      <c r="BZ132">
        <v>0.8758262</v>
      </c>
      <c r="CA132">
        <v>0.14668480000000006</v>
      </c>
      <c r="CB132">
        <v>0.11782179999999998</v>
      </c>
      <c r="CG132" t="s">
        <v>3095</v>
      </c>
    </row>
    <row r="133" spans="1:85" ht="101.75" customHeight="1">
      <c r="A133" s="87">
        <v>17</v>
      </c>
      <c r="B133" t="s">
        <v>2869</v>
      </c>
      <c r="C133" s="87">
        <v>2017</v>
      </c>
      <c r="D133" s="87" t="s">
        <v>525</v>
      </c>
      <c r="E133" s="87"/>
      <c r="F133" s="87" t="s">
        <v>90</v>
      </c>
      <c r="G133" s="87" t="s">
        <v>526</v>
      </c>
      <c r="H133" s="87"/>
      <c r="I133" s="87" t="s">
        <v>527</v>
      </c>
      <c r="J133" s="87" t="s">
        <v>528</v>
      </c>
      <c r="K133" s="87" t="s">
        <v>97</v>
      </c>
      <c r="L133" s="87" t="s">
        <v>97</v>
      </c>
      <c r="M133" s="87" t="s">
        <v>95</v>
      </c>
      <c r="N133" s="87" t="s">
        <v>529</v>
      </c>
      <c r="O133" s="87" t="s">
        <v>97</v>
      </c>
      <c r="P133" s="87" t="s">
        <v>97</v>
      </c>
      <c r="Q133" s="87"/>
      <c r="R133" s="87"/>
      <c r="S133" s="87" t="s">
        <v>90</v>
      </c>
      <c r="T133" s="117" t="s">
        <v>114</v>
      </c>
      <c r="U133" s="87" t="s">
        <v>191</v>
      </c>
      <c r="V133" s="87" t="s">
        <v>99</v>
      </c>
      <c r="W133" s="87"/>
      <c r="X133" s="87" t="s">
        <v>3088</v>
      </c>
      <c r="Y133" s="87" t="s">
        <v>3087</v>
      </c>
      <c r="Z133" s="87" t="s">
        <v>102</v>
      </c>
      <c r="AA133" s="87" t="s">
        <v>3106</v>
      </c>
      <c r="AB133" s="87" t="s">
        <v>319</v>
      </c>
      <c r="AC133" s="87" t="s">
        <v>105</v>
      </c>
      <c r="AD133" s="87" t="s">
        <v>530</v>
      </c>
      <c r="AE133" s="87" t="s">
        <v>531</v>
      </c>
      <c r="AF133" s="87" t="s">
        <v>532</v>
      </c>
      <c r="AG133" s="87">
        <v>2</v>
      </c>
      <c r="AH133" s="87" t="s">
        <v>90</v>
      </c>
      <c r="AI133" s="87" t="s">
        <v>533</v>
      </c>
      <c r="AJ133" s="87" t="s">
        <v>508</v>
      </c>
      <c r="AK133" s="87">
        <v>2</v>
      </c>
      <c r="AL133" s="87" t="s">
        <v>99</v>
      </c>
      <c r="AM133" s="87" t="s">
        <v>97</v>
      </c>
      <c r="AN133" s="87" t="s">
        <v>97</v>
      </c>
      <c r="AO133" s="87" t="s">
        <v>160</v>
      </c>
      <c r="AP133" s="87">
        <v>0</v>
      </c>
      <c r="AQ133" s="87" t="s">
        <v>155</v>
      </c>
      <c r="AR133" s="87" t="s">
        <v>119</v>
      </c>
      <c r="AS133" s="87" t="s">
        <v>114</v>
      </c>
      <c r="AT133" s="87" t="s">
        <v>120</v>
      </c>
      <c r="AU133" s="87" t="s">
        <v>116</v>
      </c>
      <c r="AV133" s="87" t="s">
        <v>534</v>
      </c>
      <c r="AW133" s="87">
        <v>2</v>
      </c>
      <c r="AX133" s="87" t="s">
        <v>535</v>
      </c>
      <c r="AY133" s="87" t="s">
        <v>536</v>
      </c>
      <c r="AZ133" s="87" t="s">
        <v>537</v>
      </c>
      <c r="BA133" s="87" t="s">
        <v>116</v>
      </c>
      <c r="BB133" s="87" t="s">
        <v>538</v>
      </c>
      <c r="BC133" s="87">
        <v>2</v>
      </c>
      <c r="BD133" s="87"/>
      <c r="BJ133">
        <v>5</v>
      </c>
      <c r="BK133" t="s">
        <v>560</v>
      </c>
      <c r="BL133" t="s">
        <v>355</v>
      </c>
      <c r="BM133" t="s">
        <v>540</v>
      </c>
      <c r="BN133">
        <v>0.17139865000000001</v>
      </c>
      <c r="BO133">
        <v>0.34264600000000001</v>
      </c>
      <c r="BP133">
        <v>0.51389339999999994</v>
      </c>
      <c r="BQ133" s="87" t="s">
        <v>161</v>
      </c>
      <c r="BR133" s="87">
        <v>9</v>
      </c>
      <c r="BS133">
        <v>0.17953712999999999</v>
      </c>
      <c r="BT133">
        <v>0.2806922</v>
      </c>
      <c r="BU133">
        <v>0.3818473</v>
      </c>
      <c r="BV133" s="87" t="s">
        <v>161</v>
      </c>
      <c r="BW133" s="87">
        <v>9</v>
      </c>
      <c r="BY133">
        <v>0.2806922</v>
      </c>
      <c r="BZ133">
        <v>0.3818473</v>
      </c>
      <c r="CA133">
        <v>0.17124739999999994</v>
      </c>
      <c r="CB133">
        <v>0.1011551</v>
      </c>
      <c r="CG133" t="s">
        <v>3095</v>
      </c>
    </row>
    <row r="134" spans="1:85" s="72" customFormat="1" ht="26" customHeight="1">
      <c r="A134" s="72" t="s">
        <v>561</v>
      </c>
      <c r="B134" s="72" t="str">
        <f t="shared" ref="B134:B164" si="0">A134&amp;"-"&amp;C134</f>
        <v>addtl3-2022</v>
      </c>
      <c r="C134" s="72">
        <v>2022</v>
      </c>
      <c r="D134" s="73" t="s">
        <v>562</v>
      </c>
      <c r="E134" s="74">
        <v>45030</v>
      </c>
      <c r="F134" s="72" t="s">
        <v>90</v>
      </c>
      <c r="G134" s="72" t="s">
        <v>495</v>
      </c>
      <c r="I134" s="73" t="s">
        <v>563</v>
      </c>
      <c r="J134" s="72" t="s">
        <v>564</v>
      </c>
      <c r="K134" s="72" t="s">
        <v>94</v>
      </c>
      <c r="L134" s="72" t="s">
        <v>98</v>
      </c>
      <c r="M134" s="72" t="s">
        <v>138</v>
      </c>
      <c r="N134" s="72" t="s">
        <v>565</v>
      </c>
      <c r="O134" s="72" t="s">
        <v>97</v>
      </c>
      <c r="P134" s="72" t="s">
        <v>97</v>
      </c>
      <c r="S134" s="72" t="s">
        <v>114</v>
      </c>
      <c r="T134" s="117" t="s">
        <v>114</v>
      </c>
      <c r="U134" s="72" t="s">
        <v>191</v>
      </c>
      <c r="V134" s="72" t="s">
        <v>99</v>
      </c>
      <c r="W134" s="72">
        <v>1</v>
      </c>
      <c r="X134" s="72" t="s">
        <v>566</v>
      </c>
      <c r="Y134" s="72" t="s">
        <v>567</v>
      </c>
      <c r="Z134" s="72" t="s">
        <v>102</v>
      </c>
      <c r="AA134" s="72" t="s">
        <v>569</v>
      </c>
      <c r="AB134" s="72" t="s">
        <v>570</v>
      </c>
      <c r="AC134" s="72" t="s">
        <v>105</v>
      </c>
      <c r="AD134" s="72" t="s">
        <v>3110</v>
      </c>
      <c r="AG134" s="72">
        <v>1</v>
      </c>
      <c r="AH134" s="72" t="s">
        <v>97</v>
      </c>
      <c r="AI134" s="72" t="s">
        <v>155</v>
      </c>
      <c r="AJ134" s="72" t="s">
        <v>110</v>
      </c>
      <c r="AQ134" s="72" t="s">
        <v>155</v>
      </c>
      <c r="AR134" s="72" t="s">
        <v>119</v>
      </c>
      <c r="AS134" s="72" t="s">
        <v>114</v>
      </c>
      <c r="AT134" s="72" t="s">
        <v>120</v>
      </c>
      <c r="AU134" s="72" t="s">
        <v>116</v>
      </c>
      <c r="AV134" s="72" t="s">
        <v>571</v>
      </c>
      <c r="AW134" s="72">
        <v>3</v>
      </c>
      <c r="BJ134" s="123">
        <v>0</v>
      </c>
      <c r="BK134" s="72" t="s">
        <v>572</v>
      </c>
      <c r="BL134" s="72" t="s">
        <v>184</v>
      </c>
      <c r="BM134" s="72" t="s">
        <v>573</v>
      </c>
      <c r="BN134" s="72">
        <v>0.43807993498356401</v>
      </c>
      <c r="BO134" s="72">
        <v>0.51746727418636795</v>
      </c>
      <c r="BP134" s="72">
        <v>0.60183539622669702</v>
      </c>
      <c r="BQ134" s="72" t="s">
        <v>161</v>
      </c>
      <c r="BR134" s="72">
        <v>22</v>
      </c>
      <c r="BS134" s="72">
        <v>0.76777431359393999</v>
      </c>
      <c r="BT134" s="72">
        <v>0.890829692504577</v>
      </c>
      <c r="BU134" s="72">
        <v>1.01449919187552</v>
      </c>
      <c r="BV134" s="72" t="s">
        <v>161</v>
      </c>
      <c r="BW134" s="72">
        <v>22</v>
      </c>
      <c r="BX134" s="72" t="s">
        <v>574</v>
      </c>
      <c r="BY134" s="72">
        <v>0.890829692504577</v>
      </c>
      <c r="BZ134" s="72">
        <v>1.01449919187552</v>
      </c>
      <c r="CA134">
        <v>8.4368122040329063E-2</v>
      </c>
      <c r="CB134">
        <v>0.12366949937094296</v>
      </c>
      <c r="CC134" s="72" t="s">
        <v>349</v>
      </c>
      <c r="CG134" t="s">
        <v>3095</v>
      </c>
    </row>
    <row r="135" spans="1:85" s="72" customFormat="1" ht="26" customHeight="1">
      <c r="A135" s="72" t="s">
        <v>561</v>
      </c>
      <c r="B135" s="72" t="str">
        <f t="shared" si="0"/>
        <v>addtl3-2022</v>
      </c>
      <c r="C135" s="72">
        <v>2022</v>
      </c>
      <c r="D135" s="73" t="s">
        <v>562</v>
      </c>
      <c r="E135" s="74">
        <v>45030</v>
      </c>
      <c r="F135" s="72" t="s">
        <v>90</v>
      </c>
      <c r="G135" s="72" t="s">
        <v>495</v>
      </c>
      <c r="I135" s="73" t="s">
        <v>563</v>
      </c>
      <c r="J135" s="72" t="s">
        <v>564</v>
      </c>
      <c r="K135" s="72" t="s">
        <v>94</v>
      </c>
      <c r="L135" s="72" t="s">
        <v>98</v>
      </c>
      <c r="M135" s="72" t="s">
        <v>138</v>
      </c>
      <c r="N135" s="72" t="s">
        <v>565</v>
      </c>
      <c r="O135" s="72" t="s">
        <v>97</v>
      </c>
      <c r="P135" s="72" t="s">
        <v>97</v>
      </c>
      <c r="S135" s="72" t="s">
        <v>114</v>
      </c>
      <c r="T135" s="117" t="s">
        <v>114</v>
      </c>
      <c r="U135" s="72" t="s">
        <v>191</v>
      </c>
      <c r="V135" s="72" t="s">
        <v>99</v>
      </c>
      <c r="W135" s="72">
        <v>1</v>
      </c>
      <c r="X135" s="72" t="s">
        <v>566</v>
      </c>
      <c r="Y135" s="72" t="s">
        <v>567</v>
      </c>
      <c r="Z135" s="72" t="s">
        <v>102</v>
      </c>
      <c r="AA135" s="72" t="s">
        <v>569</v>
      </c>
      <c r="AB135" s="72" t="s">
        <v>570</v>
      </c>
      <c r="AC135" s="72" t="s">
        <v>105</v>
      </c>
      <c r="AD135" s="72" t="s">
        <v>3110</v>
      </c>
      <c r="AG135" s="72">
        <v>1</v>
      </c>
      <c r="AH135" s="72" t="s">
        <v>97</v>
      </c>
      <c r="AI135" s="72" t="s">
        <v>155</v>
      </c>
      <c r="AJ135" s="72" t="s">
        <v>110</v>
      </c>
      <c r="AQ135" s="72" t="s">
        <v>155</v>
      </c>
      <c r="AR135" s="72" t="s">
        <v>119</v>
      </c>
      <c r="AS135" s="72" t="s">
        <v>114</v>
      </c>
      <c r="AT135" s="72" t="s">
        <v>120</v>
      </c>
      <c r="AU135" s="72" t="s">
        <v>116</v>
      </c>
      <c r="AV135" s="72" t="s">
        <v>571</v>
      </c>
      <c r="AW135" s="72">
        <v>3</v>
      </c>
      <c r="BJ135" s="123">
        <v>0</v>
      </c>
      <c r="BK135" s="72" t="s">
        <v>575</v>
      </c>
      <c r="BL135" s="72" t="s">
        <v>184</v>
      </c>
      <c r="BM135" s="72" t="s">
        <v>573</v>
      </c>
      <c r="BN135" s="72">
        <v>0.65205372101652503</v>
      </c>
      <c r="BO135" s="72">
        <v>0.51746727418636795</v>
      </c>
      <c r="BP135" s="72">
        <v>0.92279611692130503</v>
      </c>
      <c r="BQ135" s="72" t="s">
        <v>161</v>
      </c>
      <c r="BR135" s="72">
        <v>22</v>
      </c>
      <c r="BS135" s="72">
        <v>0.76777431359393999</v>
      </c>
      <c r="BT135" s="72">
        <v>0.890829692504577</v>
      </c>
      <c r="BU135" s="72">
        <v>1.01449919187552</v>
      </c>
      <c r="BV135" s="72" t="s">
        <v>161</v>
      </c>
      <c r="BW135" s="72">
        <v>22</v>
      </c>
      <c r="BX135" s="72" t="s">
        <v>574</v>
      </c>
      <c r="BY135" s="72">
        <v>0.890829692504577</v>
      </c>
      <c r="BZ135" s="72">
        <v>1.01449919187552</v>
      </c>
      <c r="CA135">
        <v>0.40532884273493708</v>
      </c>
      <c r="CB135">
        <v>0.12366949937094296</v>
      </c>
      <c r="CC135" s="72" t="s">
        <v>349</v>
      </c>
      <c r="CG135" t="s">
        <v>3095</v>
      </c>
    </row>
    <row r="136" spans="1:85" s="72" customFormat="1" ht="26" customHeight="1">
      <c r="A136" s="72" t="s">
        <v>561</v>
      </c>
      <c r="B136" s="72" t="str">
        <f t="shared" si="0"/>
        <v>addtl3-2022</v>
      </c>
      <c r="C136" s="72">
        <v>2022</v>
      </c>
      <c r="D136" s="73" t="s">
        <v>562</v>
      </c>
      <c r="E136" s="74">
        <v>45030</v>
      </c>
      <c r="F136" s="72" t="s">
        <v>90</v>
      </c>
      <c r="G136" s="72" t="s">
        <v>495</v>
      </c>
      <c r="I136" s="73" t="s">
        <v>563</v>
      </c>
      <c r="J136" s="72" t="s">
        <v>564</v>
      </c>
      <c r="K136" s="72" t="s">
        <v>94</v>
      </c>
      <c r="L136" s="72" t="s">
        <v>98</v>
      </c>
      <c r="M136" s="72" t="s">
        <v>138</v>
      </c>
      <c r="N136" s="72" t="s">
        <v>565</v>
      </c>
      <c r="O136" s="72" t="s">
        <v>97</v>
      </c>
      <c r="P136" s="72" t="s">
        <v>97</v>
      </c>
      <c r="S136" s="72" t="s">
        <v>114</v>
      </c>
      <c r="T136" s="117" t="s">
        <v>114</v>
      </c>
      <c r="U136" s="72" t="s">
        <v>191</v>
      </c>
      <c r="V136" s="72" t="s">
        <v>99</v>
      </c>
      <c r="W136" s="72">
        <v>1</v>
      </c>
      <c r="X136" s="72" t="s">
        <v>566</v>
      </c>
      <c r="Y136" s="72" t="s">
        <v>567</v>
      </c>
      <c r="Z136" s="72" t="s">
        <v>102</v>
      </c>
      <c r="AA136" s="72" t="s">
        <v>569</v>
      </c>
      <c r="AB136" s="72" t="s">
        <v>570</v>
      </c>
      <c r="AC136" s="72" t="s">
        <v>105</v>
      </c>
      <c r="AD136" s="72" t="s">
        <v>3110</v>
      </c>
      <c r="AG136" s="72">
        <v>1</v>
      </c>
      <c r="AH136" s="72" t="s">
        <v>97</v>
      </c>
      <c r="AI136" s="72" t="s">
        <v>155</v>
      </c>
      <c r="AJ136" s="72" t="s">
        <v>110</v>
      </c>
      <c r="AQ136" s="72" t="s">
        <v>155</v>
      </c>
      <c r="AR136" s="72" t="s">
        <v>119</v>
      </c>
      <c r="AS136" s="72" t="s">
        <v>114</v>
      </c>
      <c r="AT136" s="72" t="s">
        <v>120</v>
      </c>
      <c r="AU136" s="72" t="s">
        <v>116</v>
      </c>
      <c r="AV136" s="72" t="s">
        <v>571</v>
      </c>
      <c r="AW136" s="72">
        <v>3</v>
      </c>
      <c r="BJ136" s="72">
        <v>2</v>
      </c>
      <c r="BK136" s="72" t="s">
        <v>576</v>
      </c>
      <c r="BL136" s="72" t="s">
        <v>184</v>
      </c>
      <c r="BM136" s="72" t="s">
        <v>573</v>
      </c>
      <c r="BN136" s="72">
        <v>0.63895331743320805</v>
      </c>
      <c r="BO136" s="72">
        <v>0.80925898046800004</v>
      </c>
      <c r="BP136" s="72">
        <v>0.98174809962690102</v>
      </c>
      <c r="BQ136" s="72" t="s">
        <v>161</v>
      </c>
      <c r="BR136" s="72">
        <v>22</v>
      </c>
      <c r="BS136" s="72">
        <v>0.997031917689159</v>
      </c>
      <c r="BT136" s="72">
        <v>1.11930267041306</v>
      </c>
      <c r="BU136" s="72">
        <v>1.2393900086580301</v>
      </c>
      <c r="BV136" s="72" t="s">
        <v>161</v>
      </c>
      <c r="BW136" s="72">
        <v>22</v>
      </c>
      <c r="BX136" s="72" t="s">
        <v>574</v>
      </c>
      <c r="BY136" s="72">
        <v>1.11930267041306</v>
      </c>
      <c r="BZ136" s="72">
        <v>1.2393900086580301</v>
      </c>
      <c r="CA136">
        <v>0.17248911915890097</v>
      </c>
      <c r="CB136">
        <v>0.12008733824497009</v>
      </c>
      <c r="CC136" s="72" t="s">
        <v>349</v>
      </c>
      <c r="CG136" t="s">
        <v>3095</v>
      </c>
    </row>
    <row r="137" spans="1:85" s="72" customFormat="1" ht="14.5">
      <c r="A137" s="72" t="s">
        <v>561</v>
      </c>
      <c r="B137" s="72" t="str">
        <f t="shared" si="0"/>
        <v>addtl3-2022</v>
      </c>
      <c r="C137" s="72">
        <v>2022</v>
      </c>
      <c r="D137" s="73" t="s">
        <v>562</v>
      </c>
      <c r="E137" s="74">
        <v>45030</v>
      </c>
      <c r="F137" s="72" t="s">
        <v>90</v>
      </c>
      <c r="G137" s="72" t="s">
        <v>495</v>
      </c>
      <c r="I137" s="73" t="s">
        <v>563</v>
      </c>
      <c r="J137" s="72" t="s">
        <v>564</v>
      </c>
      <c r="K137" s="72" t="s">
        <v>94</v>
      </c>
      <c r="L137" s="72" t="s">
        <v>98</v>
      </c>
      <c r="M137" s="72" t="s">
        <v>138</v>
      </c>
      <c r="N137" s="72" t="s">
        <v>565</v>
      </c>
      <c r="O137" s="72" t="s">
        <v>97</v>
      </c>
      <c r="P137" s="72" t="s">
        <v>97</v>
      </c>
      <c r="S137" s="72" t="s">
        <v>114</v>
      </c>
      <c r="T137" s="117" t="s">
        <v>114</v>
      </c>
      <c r="U137" s="72" t="s">
        <v>191</v>
      </c>
      <c r="V137" s="72" t="s">
        <v>99</v>
      </c>
      <c r="W137" s="72">
        <v>1</v>
      </c>
      <c r="X137" s="72" t="s">
        <v>566</v>
      </c>
      <c r="Y137" s="72" t="s">
        <v>567</v>
      </c>
      <c r="Z137" s="72" t="s">
        <v>102</v>
      </c>
      <c r="AA137" s="72" t="s">
        <v>569</v>
      </c>
      <c r="AB137" s="72" t="s">
        <v>570</v>
      </c>
      <c r="AC137" s="72" t="s">
        <v>105</v>
      </c>
      <c r="AD137" s="72" t="s">
        <v>3110</v>
      </c>
      <c r="AG137" s="72">
        <v>1</v>
      </c>
      <c r="AH137" s="72" t="s">
        <v>97</v>
      </c>
      <c r="AI137" s="72" t="s">
        <v>155</v>
      </c>
      <c r="AJ137" s="72" t="s">
        <v>110</v>
      </c>
      <c r="AQ137" s="72" t="s">
        <v>155</v>
      </c>
      <c r="AR137" s="72" t="s">
        <v>119</v>
      </c>
      <c r="AS137" s="72" t="s">
        <v>114</v>
      </c>
      <c r="AT137" s="72" t="s">
        <v>120</v>
      </c>
      <c r="AU137" s="72" t="s">
        <v>116</v>
      </c>
      <c r="AV137" s="72" t="s">
        <v>571</v>
      </c>
      <c r="AW137" s="72">
        <v>3</v>
      </c>
      <c r="BJ137" s="72">
        <v>2</v>
      </c>
      <c r="BK137" s="72" t="s">
        <v>577</v>
      </c>
      <c r="BL137" s="72" t="s">
        <v>184</v>
      </c>
      <c r="BM137" s="72" t="s">
        <v>573</v>
      </c>
      <c r="BN137" s="72">
        <v>0.74157342313697205</v>
      </c>
      <c r="BO137" s="72">
        <v>0.89441185363056297</v>
      </c>
      <c r="BP137" s="72">
        <v>1.03851666785355</v>
      </c>
      <c r="BQ137" s="72" t="s">
        <v>161</v>
      </c>
      <c r="BR137" s="72">
        <v>22</v>
      </c>
      <c r="BS137" s="72">
        <v>0.997031917689159</v>
      </c>
      <c r="BT137" s="72">
        <v>1.11930267041306</v>
      </c>
      <c r="BU137" s="72">
        <v>1.2393900086580301</v>
      </c>
      <c r="BV137" s="72" t="s">
        <v>161</v>
      </c>
      <c r="BW137" s="72">
        <v>22</v>
      </c>
      <c r="BX137" s="72" t="s">
        <v>574</v>
      </c>
      <c r="BY137" s="72">
        <v>1.11930267041306</v>
      </c>
      <c r="BZ137" s="72">
        <v>1.2393900086580301</v>
      </c>
      <c r="CA137">
        <v>0.14410481422298704</v>
      </c>
      <c r="CB137">
        <v>0.12008733824497009</v>
      </c>
      <c r="CC137" s="72" t="s">
        <v>349</v>
      </c>
      <c r="CG137" t="s">
        <v>3095</v>
      </c>
    </row>
    <row r="138" spans="1:85" s="72" customFormat="1" ht="14.5">
      <c r="A138" s="72" t="s">
        <v>561</v>
      </c>
      <c r="B138" s="72" t="str">
        <f t="shared" si="0"/>
        <v>addtl3-2022</v>
      </c>
      <c r="C138" s="72">
        <v>2022</v>
      </c>
      <c r="D138" s="73" t="s">
        <v>562</v>
      </c>
      <c r="E138" s="74">
        <v>45030</v>
      </c>
      <c r="F138" s="72" t="s">
        <v>90</v>
      </c>
      <c r="G138" s="72" t="s">
        <v>495</v>
      </c>
      <c r="I138" s="73" t="s">
        <v>563</v>
      </c>
      <c r="J138" s="72" t="s">
        <v>564</v>
      </c>
      <c r="K138" s="72" t="s">
        <v>94</v>
      </c>
      <c r="L138" s="72" t="s">
        <v>98</v>
      </c>
      <c r="M138" s="72" t="s">
        <v>138</v>
      </c>
      <c r="N138" s="72" t="s">
        <v>565</v>
      </c>
      <c r="O138" s="72" t="s">
        <v>97</v>
      </c>
      <c r="P138" s="72" t="s">
        <v>97</v>
      </c>
      <c r="S138" s="72" t="s">
        <v>114</v>
      </c>
      <c r="T138" s="117" t="s">
        <v>114</v>
      </c>
      <c r="U138" s="72" t="s">
        <v>191</v>
      </c>
      <c r="V138" s="72" t="s">
        <v>99</v>
      </c>
      <c r="W138" s="72">
        <v>1</v>
      </c>
      <c r="X138" s="72" t="s">
        <v>566</v>
      </c>
      <c r="Y138" s="72" t="s">
        <v>567</v>
      </c>
      <c r="Z138" s="72" t="s">
        <v>102</v>
      </c>
      <c r="AA138" s="72" t="s">
        <v>569</v>
      </c>
      <c r="AB138" s="72" t="s">
        <v>570</v>
      </c>
      <c r="AC138" s="72" t="s">
        <v>105</v>
      </c>
      <c r="AD138" s="72" t="s">
        <v>3110</v>
      </c>
      <c r="AG138" s="72">
        <v>1</v>
      </c>
      <c r="AH138" s="72" t="s">
        <v>97</v>
      </c>
      <c r="AI138" s="72" t="s">
        <v>155</v>
      </c>
      <c r="AJ138" s="72" t="s">
        <v>110</v>
      </c>
      <c r="AQ138" s="72" t="s">
        <v>155</v>
      </c>
      <c r="AR138" s="72" t="s">
        <v>119</v>
      </c>
      <c r="AS138" s="72" t="s">
        <v>114</v>
      </c>
      <c r="AT138" s="72" t="s">
        <v>120</v>
      </c>
      <c r="AU138" s="72" t="s">
        <v>116</v>
      </c>
      <c r="AV138" s="72" t="s">
        <v>571</v>
      </c>
      <c r="AW138" s="72">
        <v>3</v>
      </c>
      <c r="BJ138" s="72">
        <v>4</v>
      </c>
      <c r="BK138" s="72" t="s">
        <v>578</v>
      </c>
      <c r="BL138" s="72" t="s">
        <v>184</v>
      </c>
      <c r="BM138" s="72" t="s">
        <v>573</v>
      </c>
      <c r="BN138" s="72">
        <v>0.78305809001103099</v>
      </c>
      <c r="BO138" s="72">
        <v>0.85729393242405205</v>
      </c>
      <c r="BP138" s="72">
        <v>0.931529774837073</v>
      </c>
      <c r="BQ138" s="72" t="s">
        <v>161</v>
      </c>
      <c r="BR138" s="72">
        <v>22</v>
      </c>
      <c r="BS138" s="72">
        <v>0.892228397506453</v>
      </c>
      <c r="BT138" s="72">
        <v>1.05161707143687</v>
      </c>
      <c r="BU138" s="72">
        <v>1.2066389164094</v>
      </c>
      <c r="BV138" s="72" t="s">
        <v>161</v>
      </c>
      <c r="BW138" s="72">
        <v>22</v>
      </c>
      <c r="BX138" s="72" t="s">
        <v>574</v>
      </c>
      <c r="BY138" s="72">
        <v>1.05161707143687</v>
      </c>
      <c r="BZ138" s="72">
        <v>1.2066389164094</v>
      </c>
      <c r="CA138">
        <v>7.4235842413020947E-2</v>
      </c>
      <c r="CB138">
        <v>0.15502184497253002</v>
      </c>
      <c r="CC138" s="72" t="s">
        <v>349</v>
      </c>
      <c r="CG138" t="s">
        <v>3095</v>
      </c>
    </row>
    <row r="139" spans="1:85" s="72" customFormat="1" ht="14.5">
      <c r="A139" s="72" t="s">
        <v>561</v>
      </c>
      <c r="B139" s="72" t="str">
        <f t="shared" si="0"/>
        <v>addtl3-2022</v>
      </c>
      <c r="C139" s="72">
        <v>2022</v>
      </c>
      <c r="D139" s="73" t="s">
        <v>562</v>
      </c>
      <c r="E139" s="74">
        <v>45030</v>
      </c>
      <c r="F139" s="72" t="s">
        <v>90</v>
      </c>
      <c r="G139" s="72" t="s">
        <v>495</v>
      </c>
      <c r="I139" s="73" t="s">
        <v>563</v>
      </c>
      <c r="J139" s="72" t="s">
        <v>564</v>
      </c>
      <c r="K139" s="72" t="s">
        <v>94</v>
      </c>
      <c r="L139" s="72" t="s">
        <v>98</v>
      </c>
      <c r="M139" s="72" t="s">
        <v>138</v>
      </c>
      <c r="N139" s="72" t="s">
        <v>565</v>
      </c>
      <c r="O139" s="72" t="s">
        <v>97</v>
      </c>
      <c r="P139" s="72" t="s">
        <v>97</v>
      </c>
      <c r="S139" s="72" t="s">
        <v>114</v>
      </c>
      <c r="T139" s="117" t="s">
        <v>114</v>
      </c>
      <c r="U139" s="72" t="s">
        <v>191</v>
      </c>
      <c r="V139" s="72" t="s">
        <v>99</v>
      </c>
      <c r="W139" s="72">
        <v>1</v>
      </c>
      <c r="X139" s="72" t="s">
        <v>566</v>
      </c>
      <c r="Y139" s="72" t="s">
        <v>567</v>
      </c>
      <c r="Z139" s="72" t="s">
        <v>102</v>
      </c>
      <c r="AA139" s="72" t="s">
        <v>569</v>
      </c>
      <c r="AB139" s="72" t="s">
        <v>570</v>
      </c>
      <c r="AC139" s="72" t="s">
        <v>105</v>
      </c>
      <c r="AD139" s="72" t="s">
        <v>3110</v>
      </c>
      <c r="AG139" s="72">
        <v>1</v>
      </c>
      <c r="AH139" s="72" t="s">
        <v>97</v>
      </c>
      <c r="AI139" s="72" t="s">
        <v>155</v>
      </c>
      <c r="AJ139" s="72" t="s">
        <v>110</v>
      </c>
      <c r="AQ139" s="72" t="s">
        <v>155</v>
      </c>
      <c r="AR139" s="72" t="s">
        <v>119</v>
      </c>
      <c r="AS139" s="72" t="s">
        <v>114</v>
      </c>
      <c r="AT139" s="72" t="s">
        <v>120</v>
      </c>
      <c r="AU139" s="72" t="s">
        <v>116</v>
      </c>
      <c r="AV139" s="72" t="s">
        <v>571</v>
      </c>
      <c r="AW139" s="72">
        <v>3</v>
      </c>
      <c r="BJ139" s="72">
        <v>4</v>
      </c>
      <c r="BK139" s="72" t="s">
        <v>578</v>
      </c>
      <c r="BL139" s="72" t="s">
        <v>184</v>
      </c>
      <c r="BM139" s="72" t="s">
        <v>573</v>
      </c>
      <c r="BN139" s="72">
        <v>0.74375679597074595</v>
      </c>
      <c r="BO139" s="72">
        <v>0.87039433600736904</v>
      </c>
      <c r="BP139" s="72">
        <v>0.997031917689159</v>
      </c>
      <c r="BQ139" s="72" t="s">
        <v>161</v>
      </c>
      <c r="BR139" s="72">
        <v>22</v>
      </c>
      <c r="BS139" s="72">
        <v>0.892228397506453</v>
      </c>
      <c r="BT139" s="72">
        <v>1.05161707143687</v>
      </c>
      <c r="BU139" s="72">
        <v>1.2066389164094</v>
      </c>
      <c r="BV139" s="72" t="s">
        <v>161</v>
      </c>
      <c r="BW139" s="72">
        <v>22</v>
      </c>
      <c r="BX139" s="72" t="s">
        <v>574</v>
      </c>
      <c r="BY139" s="72">
        <v>1.05161707143687</v>
      </c>
      <c r="BZ139" s="72">
        <v>1.2066389164094</v>
      </c>
      <c r="CA139">
        <v>0.12663758168178996</v>
      </c>
      <c r="CB139">
        <v>0.15502184497253002</v>
      </c>
      <c r="CC139" s="72" t="s">
        <v>349</v>
      </c>
      <c r="CG139" t="s">
        <v>3095</v>
      </c>
    </row>
    <row r="140" spans="1:85" s="72" customFormat="1" ht="14.5">
      <c r="A140" s="72" t="s">
        <v>579</v>
      </c>
      <c r="B140" s="72" t="str">
        <f t="shared" si="0"/>
        <v>addtl4-2022</v>
      </c>
      <c r="C140" s="72">
        <v>2022</v>
      </c>
      <c r="D140" s="73" t="s">
        <v>580</v>
      </c>
      <c r="E140" s="74">
        <v>45033</v>
      </c>
      <c r="F140" s="72" t="s">
        <v>90</v>
      </c>
      <c r="G140" s="72" t="s">
        <v>495</v>
      </c>
      <c r="I140" s="73" t="s">
        <v>563</v>
      </c>
      <c r="J140" s="72" t="s">
        <v>581</v>
      </c>
      <c r="K140" s="72" t="s">
        <v>94</v>
      </c>
      <c r="L140" s="72" t="s">
        <v>94</v>
      </c>
      <c r="M140" s="72" t="s">
        <v>95</v>
      </c>
      <c r="N140" s="72" t="s">
        <v>582</v>
      </c>
      <c r="O140" s="72" t="s">
        <v>97</v>
      </c>
      <c r="P140" s="72" t="s">
        <v>97</v>
      </c>
      <c r="S140" s="72" t="s">
        <v>114</v>
      </c>
      <c r="T140" s="117" t="s">
        <v>114</v>
      </c>
      <c r="U140" s="72" t="s">
        <v>98</v>
      </c>
      <c r="V140" s="72" t="s">
        <v>99</v>
      </c>
      <c r="W140" s="72">
        <v>1</v>
      </c>
      <c r="X140" s="72" t="s">
        <v>583</v>
      </c>
      <c r="Y140" s="72" t="s">
        <v>584</v>
      </c>
      <c r="Z140" s="72" t="s">
        <v>568</v>
      </c>
      <c r="AA140" s="72" t="s">
        <v>299</v>
      </c>
      <c r="AB140" s="72" t="s">
        <v>585</v>
      </c>
      <c r="AC140" s="72" t="s">
        <v>105</v>
      </c>
      <c r="AG140" s="72">
        <v>2</v>
      </c>
      <c r="AH140" s="72" t="s">
        <v>90</v>
      </c>
      <c r="AI140" s="72" t="s">
        <v>586</v>
      </c>
      <c r="AJ140" s="72" t="s">
        <v>110</v>
      </c>
      <c r="AQ140" s="72" t="s">
        <v>155</v>
      </c>
      <c r="AR140" s="72" t="s">
        <v>119</v>
      </c>
      <c r="AS140" s="72" t="s">
        <v>114</v>
      </c>
      <c r="AT140" s="72" t="s">
        <v>120</v>
      </c>
      <c r="AU140" s="72" t="s">
        <v>116</v>
      </c>
      <c r="AV140" s="72" t="s">
        <v>587</v>
      </c>
      <c r="AW140" s="72">
        <v>2</v>
      </c>
      <c r="AX140" s="72" t="s">
        <v>588</v>
      </c>
      <c r="AY140" s="72" t="s">
        <v>119</v>
      </c>
      <c r="AZ140" s="72" t="s">
        <v>120</v>
      </c>
      <c r="BA140" s="72" t="s">
        <v>116</v>
      </c>
      <c r="BB140" s="72" t="s">
        <v>589</v>
      </c>
      <c r="BC140" s="72">
        <v>2</v>
      </c>
      <c r="BJ140" s="123">
        <v>0</v>
      </c>
      <c r="BK140" s="72" t="s">
        <v>590</v>
      </c>
      <c r="BL140" t="s">
        <v>355</v>
      </c>
      <c r="BM140" s="72" t="s">
        <v>592</v>
      </c>
      <c r="BN140" s="72">
        <v>0.10674843380926501</v>
      </c>
      <c r="BO140" s="72" t="s">
        <v>593</v>
      </c>
      <c r="BP140" s="72">
        <v>0.22208588124308501</v>
      </c>
      <c r="BQ140" s="72" t="s">
        <v>594</v>
      </c>
      <c r="BR140" s="72">
        <v>4</v>
      </c>
      <c r="BS140" s="72">
        <v>0.105521458609245</v>
      </c>
      <c r="BT140" s="72">
        <v>0.247852734892335</v>
      </c>
      <c r="BU140" s="72" t="s">
        <v>595</v>
      </c>
      <c r="BV140" s="72" t="s">
        <v>594</v>
      </c>
      <c r="BW140" s="72">
        <v>4</v>
      </c>
      <c r="BX140" s="72" t="s">
        <v>3191</v>
      </c>
      <c r="BY140" s="72">
        <v>0.247852734892335</v>
      </c>
      <c r="BZ140" s="72">
        <v>0.50184048620308097</v>
      </c>
      <c r="CA140" s="92">
        <v>2.1597601880684443E-2</v>
      </c>
      <c r="CB140" s="92">
        <v>6.4792793701720905E-2</v>
      </c>
      <c r="CC140" s="72" t="s">
        <v>597</v>
      </c>
      <c r="CG140" t="s">
        <v>3095</v>
      </c>
    </row>
    <row r="141" spans="1:85" s="72" customFormat="1" ht="14.5">
      <c r="A141" s="72" t="s">
        <v>579</v>
      </c>
      <c r="B141" s="72" t="str">
        <f t="shared" si="0"/>
        <v>addtl4-2022</v>
      </c>
      <c r="C141" s="72">
        <v>2022</v>
      </c>
      <c r="D141" s="73" t="s">
        <v>580</v>
      </c>
      <c r="E141" s="74">
        <v>45033</v>
      </c>
      <c r="F141" s="72" t="s">
        <v>90</v>
      </c>
      <c r="G141" s="72" t="s">
        <v>495</v>
      </c>
      <c r="I141" s="73" t="s">
        <v>563</v>
      </c>
      <c r="J141" s="72" t="s">
        <v>581</v>
      </c>
      <c r="K141" s="72" t="s">
        <v>94</v>
      </c>
      <c r="L141" s="72" t="s">
        <v>94</v>
      </c>
      <c r="M141" s="72" t="s">
        <v>95</v>
      </c>
      <c r="N141" s="72" t="s">
        <v>582</v>
      </c>
      <c r="O141" s="72" t="s">
        <v>97</v>
      </c>
      <c r="P141" s="72" t="s">
        <v>97</v>
      </c>
      <c r="S141" s="72" t="s">
        <v>114</v>
      </c>
      <c r="T141" s="117" t="s">
        <v>114</v>
      </c>
      <c r="U141" s="72" t="s">
        <v>98</v>
      </c>
      <c r="V141" s="72" t="s">
        <v>99</v>
      </c>
      <c r="W141" s="72">
        <v>1</v>
      </c>
      <c r="X141" s="72" t="s">
        <v>583</v>
      </c>
      <c r="Y141" s="72" t="s">
        <v>584</v>
      </c>
      <c r="Z141" s="72" t="s">
        <v>568</v>
      </c>
      <c r="AA141" s="72" t="s">
        <v>299</v>
      </c>
      <c r="AB141" s="72" t="s">
        <v>585</v>
      </c>
      <c r="AC141" s="72" t="s">
        <v>105</v>
      </c>
      <c r="AG141" s="72">
        <v>2</v>
      </c>
      <c r="AH141" s="72" t="s">
        <v>90</v>
      </c>
      <c r="AI141" s="72" t="s">
        <v>586</v>
      </c>
      <c r="AJ141" s="72" t="s">
        <v>110</v>
      </c>
      <c r="AQ141" s="72" t="s">
        <v>155</v>
      </c>
      <c r="AR141" s="72" t="s">
        <v>119</v>
      </c>
      <c r="AS141" s="72" t="s">
        <v>114</v>
      </c>
      <c r="AT141" s="72" t="s">
        <v>120</v>
      </c>
      <c r="AU141" s="72" t="s">
        <v>116</v>
      </c>
      <c r="AV141" s="72" t="s">
        <v>587</v>
      </c>
      <c r="AW141" s="72">
        <v>2</v>
      </c>
      <c r="AX141" s="72" t="s">
        <v>588</v>
      </c>
      <c r="AY141" s="72" t="s">
        <v>119</v>
      </c>
      <c r="AZ141" s="72" t="s">
        <v>120</v>
      </c>
      <c r="BA141" s="72" t="s">
        <v>116</v>
      </c>
      <c r="BB141" s="72" t="s">
        <v>589</v>
      </c>
      <c r="BC141" s="72">
        <v>2</v>
      </c>
      <c r="BJ141" s="123">
        <v>0</v>
      </c>
      <c r="BK141" s="72" t="s">
        <v>598</v>
      </c>
      <c r="BL141" t="s">
        <v>355</v>
      </c>
      <c r="BM141" s="72" t="s">
        <v>592</v>
      </c>
      <c r="BN141" s="72" t="s">
        <v>599</v>
      </c>
      <c r="BO141" s="72">
        <v>0.160736185120012</v>
      </c>
      <c r="BP141" s="72" t="s">
        <v>600</v>
      </c>
      <c r="BQ141" s="72" t="s">
        <v>594</v>
      </c>
      <c r="BR141" s="72">
        <v>4</v>
      </c>
      <c r="BS141" s="72">
        <v>0.214723889624654</v>
      </c>
      <c r="BT141" s="72">
        <v>0.26871164093540101</v>
      </c>
      <c r="BU141" s="72">
        <v>0.30674843380926498</v>
      </c>
      <c r="BV141" s="72" t="s">
        <v>594</v>
      </c>
      <c r="BW141" s="72">
        <v>4</v>
      </c>
      <c r="BX141" s="72" t="s">
        <v>3191</v>
      </c>
      <c r="BY141" s="72">
        <v>0.26871164093540101</v>
      </c>
      <c r="BZ141" s="72">
        <v>0.30674843380926498</v>
      </c>
      <c r="CA141" s="92">
        <v>3.6935018747253322E-2</v>
      </c>
      <c r="CB141" s="92">
        <v>9.7032634882306037E-3</v>
      </c>
      <c r="CC141" s="72" t="s">
        <v>597</v>
      </c>
      <c r="CG141" t="s">
        <v>3095</v>
      </c>
    </row>
    <row r="142" spans="1:85" s="72" customFormat="1" ht="14.5">
      <c r="A142" s="72" t="s">
        <v>579</v>
      </c>
      <c r="B142" s="72" t="str">
        <f t="shared" si="0"/>
        <v>addtl4-2022</v>
      </c>
      <c r="C142" s="72">
        <v>2022</v>
      </c>
      <c r="D142" s="73" t="s">
        <v>580</v>
      </c>
      <c r="E142" s="74">
        <v>45033</v>
      </c>
      <c r="F142" s="72" t="s">
        <v>90</v>
      </c>
      <c r="G142" s="72" t="s">
        <v>495</v>
      </c>
      <c r="I142" s="73" t="s">
        <v>563</v>
      </c>
      <c r="J142" s="72" t="s">
        <v>581</v>
      </c>
      <c r="K142" s="72" t="s">
        <v>94</v>
      </c>
      <c r="L142" s="72" t="s">
        <v>94</v>
      </c>
      <c r="M142" s="72" t="s">
        <v>95</v>
      </c>
      <c r="N142" s="72" t="s">
        <v>582</v>
      </c>
      <c r="O142" s="72" t="s">
        <v>97</v>
      </c>
      <c r="P142" s="72" t="s">
        <v>97</v>
      </c>
      <c r="S142" s="72" t="s">
        <v>114</v>
      </c>
      <c r="T142" s="117" t="s">
        <v>114</v>
      </c>
      <c r="U142" s="72" t="s">
        <v>98</v>
      </c>
      <c r="V142" s="72" t="s">
        <v>99</v>
      </c>
      <c r="W142" s="72">
        <v>1</v>
      </c>
      <c r="X142" s="72" t="s">
        <v>583</v>
      </c>
      <c r="Y142" s="72" t="s">
        <v>584</v>
      </c>
      <c r="Z142" s="72" t="s">
        <v>568</v>
      </c>
      <c r="AA142" s="72" t="s">
        <v>299</v>
      </c>
      <c r="AB142" s="72" t="s">
        <v>585</v>
      </c>
      <c r="AC142" s="72" t="s">
        <v>105</v>
      </c>
      <c r="AG142" s="72">
        <v>2</v>
      </c>
      <c r="AH142" s="72" t="s">
        <v>90</v>
      </c>
      <c r="AI142" s="72" t="s">
        <v>586</v>
      </c>
      <c r="AJ142" s="72" t="s">
        <v>110</v>
      </c>
      <c r="AQ142" s="72" t="s">
        <v>155</v>
      </c>
      <c r="AR142" s="72" t="s">
        <v>119</v>
      </c>
      <c r="AS142" s="72" t="s">
        <v>114</v>
      </c>
      <c r="AT142" s="72" t="s">
        <v>120</v>
      </c>
      <c r="AU142" s="72" t="s">
        <v>116</v>
      </c>
      <c r="AV142" s="72" t="s">
        <v>587</v>
      </c>
      <c r="AW142" s="72">
        <v>2</v>
      </c>
      <c r="AX142" s="72" t="s">
        <v>588</v>
      </c>
      <c r="AY142" s="72" t="s">
        <v>119</v>
      </c>
      <c r="AZ142" s="72" t="s">
        <v>120</v>
      </c>
      <c r="BA142" s="72" t="s">
        <v>116</v>
      </c>
      <c r="BB142" s="72" t="s">
        <v>589</v>
      </c>
      <c r="BC142" s="72">
        <v>2</v>
      </c>
      <c r="BJ142" s="123">
        <v>5</v>
      </c>
      <c r="BK142" s="72" t="s">
        <v>601</v>
      </c>
      <c r="BL142" t="s">
        <v>355</v>
      </c>
      <c r="BM142" s="72" t="s">
        <v>592</v>
      </c>
      <c r="BN142" s="72">
        <v>0.114110378621593</v>
      </c>
      <c r="BO142" s="72">
        <v>0.26993861613542097</v>
      </c>
      <c r="BP142" s="72">
        <v>0.36196316032003201</v>
      </c>
      <c r="BQ142" s="72" t="s">
        <v>594</v>
      </c>
      <c r="BR142" s="72">
        <v>4</v>
      </c>
      <c r="BS142" s="72">
        <v>6.8711640935401302E-2</v>
      </c>
      <c r="BT142" s="72">
        <v>0.15828209430166101</v>
      </c>
      <c r="BU142" s="72" t="s">
        <v>602</v>
      </c>
      <c r="BV142" s="72" t="s">
        <v>594</v>
      </c>
      <c r="BW142" s="72">
        <v>4</v>
      </c>
      <c r="BX142" s="72" t="s">
        <v>3191</v>
      </c>
      <c r="BY142" s="72">
        <v>0.15828209430166101</v>
      </c>
      <c r="BZ142" s="72">
        <v>0.44539878449229497</v>
      </c>
      <c r="CA142" s="92">
        <v>2.3475649026686488E-2</v>
      </c>
      <c r="CB142" s="92">
        <v>7.3244053620059688E-2</v>
      </c>
      <c r="CC142" s="72" t="s">
        <v>597</v>
      </c>
      <c r="CG142" t="s">
        <v>3095</v>
      </c>
    </row>
    <row r="143" spans="1:85" s="72" customFormat="1" ht="14.5">
      <c r="A143" s="72" t="s">
        <v>579</v>
      </c>
      <c r="B143" s="72" t="str">
        <f t="shared" si="0"/>
        <v>addtl4-2022</v>
      </c>
      <c r="C143" s="72">
        <v>2022</v>
      </c>
      <c r="D143" s="73" t="s">
        <v>580</v>
      </c>
      <c r="E143" s="74">
        <v>45033</v>
      </c>
      <c r="F143" s="72" t="s">
        <v>90</v>
      </c>
      <c r="G143" s="72" t="s">
        <v>495</v>
      </c>
      <c r="I143" s="73" t="s">
        <v>563</v>
      </c>
      <c r="J143" s="72" t="s">
        <v>581</v>
      </c>
      <c r="K143" s="72" t="s">
        <v>94</v>
      </c>
      <c r="L143" s="72" t="s">
        <v>94</v>
      </c>
      <c r="M143" s="72" t="s">
        <v>95</v>
      </c>
      <c r="N143" s="72" t="s">
        <v>582</v>
      </c>
      <c r="O143" s="72" t="s">
        <v>97</v>
      </c>
      <c r="P143" s="72" t="s">
        <v>97</v>
      </c>
      <c r="S143" s="72" t="s">
        <v>114</v>
      </c>
      <c r="T143" s="117" t="s">
        <v>114</v>
      </c>
      <c r="U143" s="72" t="s">
        <v>98</v>
      </c>
      <c r="V143" s="72" t="s">
        <v>99</v>
      </c>
      <c r="W143" s="72">
        <v>1</v>
      </c>
      <c r="X143" s="72" t="s">
        <v>583</v>
      </c>
      <c r="Y143" s="72" t="s">
        <v>584</v>
      </c>
      <c r="Z143" s="72" t="s">
        <v>568</v>
      </c>
      <c r="AA143" s="72" t="s">
        <v>299</v>
      </c>
      <c r="AB143" s="72" t="s">
        <v>585</v>
      </c>
      <c r="AC143" s="72" t="s">
        <v>105</v>
      </c>
      <c r="AG143" s="72">
        <v>2</v>
      </c>
      <c r="AH143" s="72" t="s">
        <v>90</v>
      </c>
      <c r="AI143" s="72" t="s">
        <v>586</v>
      </c>
      <c r="AJ143" s="72" t="s">
        <v>110</v>
      </c>
      <c r="AQ143" s="72" t="s">
        <v>155</v>
      </c>
      <c r="AR143" s="72" t="s">
        <v>119</v>
      </c>
      <c r="AS143" s="72" t="s">
        <v>114</v>
      </c>
      <c r="AT143" s="72" t="s">
        <v>120</v>
      </c>
      <c r="AU143" s="72" t="s">
        <v>116</v>
      </c>
      <c r="AV143" s="72" t="s">
        <v>587</v>
      </c>
      <c r="AW143" s="72">
        <v>2</v>
      </c>
      <c r="AX143" s="72" t="s">
        <v>588</v>
      </c>
      <c r="AY143" s="72" t="s">
        <v>119</v>
      </c>
      <c r="AZ143" s="72" t="s">
        <v>120</v>
      </c>
      <c r="BA143" s="72" t="s">
        <v>116</v>
      </c>
      <c r="BB143" s="72" t="s">
        <v>589</v>
      </c>
      <c r="BC143" s="72">
        <v>2</v>
      </c>
      <c r="BJ143" s="72">
        <v>5</v>
      </c>
      <c r="BK143" s="72" t="s">
        <v>603</v>
      </c>
      <c r="BL143" t="s">
        <v>355</v>
      </c>
      <c r="BM143" s="72" t="s">
        <v>592</v>
      </c>
      <c r="BN143" s="72" t="s">
        <v>604</v>
      </c>
      <c r="BO143" s="72" t="s">
        <v>605</v>
      </c>
      <c r="BP143" s="72">
        <v>0.520245395040004</v>
      </c>
      <c r="BQ143" s="72" t="s">
        <v>594</v>
      </c>
      <c r="BR143" s="72">
        <v>4</v>
      </c>
      <c r="BS143" s="72" t="s">
        <v>604</v>
      </c>
      <c r="BT143" s="72">
        <v>0.16932515193846301</v>
      </c>
      <c r="BU143" s="72">
        <v>0.30674843380926498</v>
      </c>
      <c r="BV143" s="72" t="s">
        <v>594</v>
      </c>
      <c r="BW143" s="72">
        <v>4</v>
      </c>
      <c r="BX143" s="72" t="s">
        <v>3191</v>
      </c>
      <c r="BY143" s="72">
        <v>0.16932515193846301</v>
      </c>
      <c r="BZ143" s="72">
        <v>0.30674843380926498</v>
      </c>
      <c r="CA143" s="92">
        <v>7.6061100458397701E-2</v>
      </c>
      <c r="CB143" s="92">
        <v>3.5056959660918867E-2</v>
      </c>
      <c r="CC143" s="72" t="s">
        <v>597</v>
      </c>
      <c r="CG143" t="s">
        <v>3095</v>
      </c>
    </row>
    <row r="144" spans="1:85" s="72" customFormat="1" ht="14.5">
      <c r="A144" s="72" t="s">
        <v>606</v>
      </c>
      <c r="B144" s="72" t="str">
        <f t="shared" si="0"/>
        <v>addtl5-2021</v>
      </c>
      <c r="C144" s="72">
        <v>2021</v>
      </c>
      <c r="D144" s="73" t="s">
        <v>607</v>
      </c>
      <c r="E144" s="74">
        <v>45033</v>
      </c>
      <c r="F144" s="72" t="s">
        <v>90</v>
      </c>
      <c r="G144" s="72" t="s">
        <v>495</v>
      </c>
      <c r="I144" s="73" t="s">
        <v>563</v>
      </c>
      <c r="J144" s="72" t="s">
        <v>608</v>
      </c>
      <c r="K144" s="72" t="s">
        <v>94</v>
      </c>
      <c r="L144" s="72" t="s">
        <v>94</v>
      </c>
      <c r="M144" s="72" t="s">
        <v>95</v>
      </c>
      <c r="N144" s="72" t="s">
        <v>609</v>
      </c>
      <c r="O144" s="72" t="s">
        <v>97</v>
      </c>
      <c r="P144" s="72" t="s">
        <v>97</v>
      </c>
      <c r="S144" s="72" t="s">
        <v>114</v>
      </c>
      <c r="T144" s="117" t="s">
        <v>114</v>
      </c>
      <c r="U144" s="72" t="s">
        <v>98</v>
      </c>
      <c r="V144" s="72" t="s">
        <v>99</v>
      </c>
      <c r="W144" s="72">
        <v>1</v>
      </c>
      <c r="X144" s="72" t="s">
        <v>610</v>
      </c>
      <c r="Y144" s="72" t="s">
        <v>611</v>
      </c>
      <c r="Z144" s="72" t="s">
        <v>568</v>
      </c>
      <c r="AA144" s="72" t="s">
        <v>569</v>
      </c>
      <c r="AB144" s="72" t="s">
        <v>612</v>
      </c>
      <c r="AC144" s="72" t="s">
        <v>105</v>
      </c>
      <c r="AG144" s="72">
        <v>3</v>
      </c>
      <c r="AH144" s="72" t="s">
        <v>90</v>
      </c>
      <c r="AI144" s="130" t="s">
        <v>613</v>
      </c>
      <c r="AJ144" s="72" t="s">
        <v>110</v>
      </c>
      <c r="AQ144" s="72" t="s">
        <v>155</v>
      </c>
      <c r="AR144" s="72" t="s">
        <v>119</v>
      </c>
      <c r="AS144" s="72" t="s">
        <v>114</v>
      </c>
      <c r="AT144" s="72" t="s">
        <v>120</v>
      </c>
      <c r="AU144" s="72" t="s">
        <v>116</v>
      </c>
      <c r="AV144" s="72" t="s">
        <v>587</v>
      </c>
      <c r="AW144" s="72">
        <v>2</v>
      </c>
      <c r="AX144" s="72" t="s">
        <v>588</v>
      </c>
      <c r="AY144" s="72" t="s">
        <v>119</v>
      </c>
      <c r="AZ144" s="72" t="s">
        <v>120</v>
      </c>
      <c r="BA144" s="72" t="s">
        <v>116</v>
      </c>
      <c r="BB144" s="72" t="s">
        <v>589</v>
      </c>
      <c r="BC144" s="72">
        <v>2</v>
      </c>
      <c r="BD144" s="72" t="s">
        <v>614</v>
      </c>
      <c r="BE144" s="72" t="s">
        <v>123</v>
      </c>
      <c r="BF144" s="72" t="s">
        <v>615</v>
      </c>
      <c r="BG144" s="72" t="s">
        <v>116</v>
      </c>
      <c r="BH144" s="72" t="s">
        <v>616</v>
      </c>
      <c r="BI144" s="72">
        <v>3</v>
      </c>
      <c r="BJ144" s="123">
        <v>0</v>
      </c>
      <c r="BK144" s="72" t="s">
        <v>617</v>
      </c>
      <c r="BL144" t="s">
        <v>355</v>
      </c>
      <c r="BM144" s="72" t="s">
        <v>592</v>
      </c>
      <c r="BN144" s="72">
        <v>1.1014021911698001E-2</v>
      </c>
      <c r="BO144" s="72">
        <v>3.65120246196085E-2</v>
      </c>
      <c r="BP144" s="72">
        <v>5.9123970654493103E-2</v>
      </c>
      <c r="BQ144" s="72" t="s">
        <v>594</v>
      </c>
      <c r="BR144" s="72">
        <v>4</v>
      </c>
      <c r="BS144" s="72">
        <v>1.1343008800938201E-3</v>
      </c>
      <c r="BT144" s="72">
        <v>2.1477661540946099E-2</v>
      </c>
      <c r="BU144" s="72">
        <v>4.2800951160605102E-2</v>
      </c>
      <c r="BV144" s="72" t="s">
        <v>594</v>
      </c>
      <c r="BW144" s="72">
        <v>4</v>
      </c>
      <c r="BX144" s="72" t="s">
        <v>3191</v>
      </c>
      <c r="BY144" s="72">
        <v>2.1477661540946099E-2</v>
      </c>
      <c r="BZ144" s="72">
        <v>4.2800951160605102E-2</v>
      </c>
      <c r="CA144" s="92">
        <v>5.7683535803277047E-3</v>
      </c>
      <c r="CB144" s="92">
        <v>5.4396146988926032E-3</v>
      </c>
      <c r="CC144" s="72" t="s">
        <v>618</v>
      </c>
      <c r="CG144" t="s">
        <v>3095</v>
      </c>
    </row>
    <row r="145" spans="1:85" s="72" customFormat="1" ht="14.5">
      <c r="A145" s="72" t="s">
        <v>606</v>
      </c>
      <c r="B145" s="72" t="str">
        <f t="shared" si="0"/>
        <v>addtl5-2021</v>
      </c>
      <c r="C145" s="72">
        <v>2021</v>
      </c>
      <c r="D145" s="73" t="s">
        <v>607</v>
      </c>
      <c r="E145" s="74">
        <v>45033</v>
      </c>
      <c r="F145" s="72" t="s">
        <v>90</v>
      </c>
      <c r="G145" s="72" t="s">
        <v>495</v>
      </c>
      <c r="I145" s="73" t="s">
        <v>563</v>
      </c>
      <c r="J145" s="72" t="s">
        <v>608</v>
      </c>
      <c r="K145" s="72" t="s">
        <v>94</v>
      </c>
      <c r="L145" s="72" t="s">
        <v>94</v>
      </c>
      <c r="M145" s="72" t="s">
        <v>95</v>
      </c>
      <c r="N145" s="72" t="s">
        <v>609</v>
      </c>
      <c r="O145" s="72" t="s">
        <v>97</v>
      </c>
      <c r="P145" s="72" t="s">
        <v>97</v>
      </c>
      <c r="S145" s="72" t="s">
        <v>114</v>
      </c>
      <c r="T145" s="117" t="s">
        <v>114</v>
      </c>
      <c r="U145" s="72" t="s">
        <v>98</v>
      </c>
      <c r="V145" s="72" t="s">
        <v>99</v>
      </c>
      <c r="W145" s="72">
        <v>1</v>
      </c>
      <c r="X145" s="72" t="s">
        <v>610</v>
      </c>
      <c r="Y145" s="72" t="s">
        <v>611</v>
      </c>
      <c r="Z145" s="72" t="s">
        <v>568</v>
      </c>
      <c r="AA145" s="72" t="s">
        <v>569</v>
      </c>
      <c r="AB145" s="72" t="s">
        <v>612</v>
      </c>
      <c r="AC145" s="72" t="s">
        <v>105</v>
      </c>
      <c r="AG145" s="72">
        <v>3</v>
      </c>
      <c r="AH145" s="72" t="s">
        <v>90</v>
      </c>
      <c r="AI145" s="130" t="s">
        <v>613</v>
      </c>
      <c r="AJ145" s="72" t="s">
        <v>110</v>
      </c>
      <c r="AQ145" s="72" t="s">
        <v>155</v>
      </c>
      <c r="AR145" s="72" t="s">
        <v>119</v>
      </c>
      <c r="AS145" s="72" t="s">
        <v>114</v>
      </c>
      <c r="AT145" s="72" t="s">
        <v>120</v>
      </c>
      <c r="AU145" s="72" t="s">
        <v>116</v>
      </c>
      <c r="AV145" s="72" t="s">
        <v>587</v>
      </c>
      <c r="AW145" s="72">
        <v>2</v>
      </c>
      <c r="AX145" s="72" t="s">
        <v>588</v>
      </c>
      <c r="AY145" s="72" t="s">
        <v>119</v>
      </c>
      <c r="AZ145" s="72" t="s">
        <v>120</v>
      </c>
      <c r="BA145" s="72" t="s">
        <v>116</v>
      </c>
      <c r="BB145" s="72" t="s">
        <v>589</v>
      </c>
      <c r="BC145" s="72">
        <v>2</v>
      </c>
      <c r="BD145" s="72" t="s">
        <v>614</v>
      </c>
      <c r="BE145" s="72" t="s">
        <v>123</v>
      </c>
      <c r="BF145" s="72" t="s">
        <v>615</v>
      </c>
      <c r="BG145" s="72" t="s">
        <v>116</v>
      </c>
      <c r="BH145" s="72" t="s">
        <v>616</v>
      </c>
      <c r="BI145" s="72">
        <v>3</v>
      </c>
      <c r="BJ145" s="123">
        <v>0</v>
      </c>
      <c r="BK145" s="72" t="s">
        <v>619</v>
      </c>
      <c r="BL145" t="s">
        <v>355</v>
      </c>
      <c r="BM145" s="72" t="s">
        <v>592</v>
      </c>
      <c r="BN145" s="72">
        <v>1.1014021911698001E-2</v>
      </c>
      <c r="BO145" s="72">
        <v>2.36254276950408E-2</v>
      </c>
      <c r="BP145" s="72">
        <v>4.0653185006510502E-2</v>
      </c>
      <c r="BQ145" s="72" t="s">
        <v>594</v>
      </c>
      <c r="BR145" s="72">
        <v>4</v>
      </c>
      <c r="BS145" s="72">
        <v>1.1343008800938201E-3</v>
      </c>
      <c r="BT145" s="72">
        <v>2.1477661540946099E-2</v>
      </c>
      <c r="BU145" s="72">
        <v>4.2800951160605102E-2</v>
      </c>
      <c r="BV145" s="72" t="s">
        <v>594</v>
      </c>
      <c r="BW145" s="72">
        <v>4</v>
      </c>
      <c r="BX145" s="72" t="s">
        <v>3191</v>
      </c>
      <c r="BY145" s="72">
        <v>2.1477661540946099E-2</v>
      </c>
      <c r="BZ145" s="72">
        <v>4.2800951160605102E-2</v>
      </c>
      <c r="CA145" s="92">
        <v>4.3438156406810464E-3</v>
      </c>
      <c r="CB145" s="92">
        <v>5.4396146988926032E-3</v>
      </c>
      <c r="CC145" s="72" t="s">
        <v>618</v>
      </c>
      <c r="CG145" t="s">
        <v>3095</v>
      </c>
    </row>
    <row r="146" spans="1:85" s="72" customFormat="1" ht="14.5">
      <c r="A146" s="72" t="s">
        <v>606</v>
      </c>
      <c r="B146" s="72" t="str">
        <f t="shared" si="0"/>
        <v>addtl5-2021</v>
      </c>
      <c r="C146" s="72">
        <v>2021</v>
      </c>
      <c r="D146" s="73" t="s">
        <v>607</v>
      </c>
      <c r="E146" s="74">
        <v>45033</v>
      </c>
      <c r="F146" s="72" t="s">
        <v>90</v>
      </c>
      <c r="G146" s="72" t="s">
        <v>495</v>
      </c>
      <c r="I146" s="73" t="s">
        <v>563</v>
      </c>
      <c r="J146" s="72" t="s">
        <v>608</v>
      </c>
      <c r="K146" s="72" t="s">
        <v>94</v>
      </c>
      <c r="L146" s="72" t="s">
        <v>94</v>
      </c>
      <c r="M146" s="72" t="s">
        <v>95</v>
      </c>
      <c r="N146" s="72" t="s">
        <v>609</v>
      </c>
      <c r="O146" s="72" t="s">
        <v>97</v>
      </c>
      <c r="P146" s="72" t="s">
        <v>97</v>
      </c>
      <c r="S146" s="72" t="s">
        <v>114</v>
      </c>
      <c r="T146" s="117" t="s">
        <v>114</v>
      </c>
      <c r="U146" s="72" t="s">
        <v>98</v>
      </c>
      <c r="V146" s="72" t="s">
        <v>99</v>
      </c>
      <c r="W146" s="72">
        <v>1</v>
      </c>
      <c r="X146" s="72" t="s">
        <v>610</v>
      </c>
      <c r="Y146" s="72" t="s">
        <v>611</v>
      </c>
      <c r="Z146" s="72" t="s">
        <v>568</v>
      </c>
      <c r="AA146" s="72" t="s">
        <v>569</v>
      </c>
      <c r="AB146" s="72" t="s">
        <v>612</v>
      </c>
      <c r="AC146" s="72" t="s">
        <v>105</v>
      </c>
      <c r="AG146" s="72">
        <v>3</v>
      </c>
      <c r="AH146" s="72" t="s">
        <v>90</v>
      </c>
      <c r="AI146" s="130" t="s">
        <v>613</v>
      </c>
      <c r="AJ146" s="72" t="s">
        <v>110</v>
      </c>
      <c r="AQ146" s="72" t="s">
        <v>155</v>
      </c>
      <c r="AR146" s="72" t="s">
        <v>119</v>
      </c>
      <c r="AS146" s="72" t="s">
        <v>114</v>
      </c>
      <c r="AT146" s="72" t="s">
        <v>120</v>
      </c>
      <c r="AU146" s="72" t="s">
        <v>116</v>
      </c>
      <c r="AV146" s="72" t="s">
        <v>587</v>
      </c>
      <c r="AW146" s="72">
        <v>2</v>
      </c>
      <c r="AX146" s="72" t="s">
        <v>588</v>
      </c>
      <c r="AY146" s="72" t="s">
        <v>119</v>
      </c>
      <c r="AZ146" s="72" t="s">
        <v>120</v>
      </c>
      <c r="BA146" s="72" t="s">
        <v>116</v>
      </c>
      <c r="BB146" s="72" t="s">
        <v>589</v>
      </c>
      <c r="BC146" s="72">
        <v>2</v>
      </c>
      <c r="BD146" s="72" t="s">
        <v>614</v>
      </c>
      <c r="BE146" s="72" t="s">
        <v>123</v>
      </c>
      <c r="BF146" s="72" t="s">
        <v>615</v>
      </c>
      <c r="BG146" s="72" t="s">
        <v>116</v>
      </c>
      <c r="BH146" s="72" t="s">
        <v>616</v>
      </c>
      <c r="BI146" s="72">
        <v>3</v>
      </c>
      <c r="BJ146" s="123">
        <v>0</v>
      </c>
      <c r="BK146" s="72" t="s">
        <v>620</v>
      </c>
      <c r="BL146" t="s">
        <v>355</v>
      </c>
      <c r="BM146" s="72" t="s">
        <v>592</v>
      </c>
      <c r="BN146" s="72">
        <v>4.5707234494141201E-3</v>
      </c>
      <c r="BO146" s="72">
        <v>1.20274871856988E-2</v>
      </c>
      <c r="BP146" s="72">
        <v>1.6168647572600801E-2</v>
      </c>
      <c r="BQ146" s="72" t="s">
        <v>594</v>
      </c>
      <c r="BR146" s="72">
        <v>4</v>
      </c>
      <c r="BS146" s="72">
        <v>1.1343008800938201E-3</v>
      </c>
      <c r="BT146" s="72">
        <v>2.1477661540946099E-2</v>
      </c>
      <c r="BU146" s="72">
        <v>4.2800951160605102E-2</v>
      </c>
      <c r="BV146" s="72" t="s">
        <v>594</v>
      </c>
      <c r="BW146" s="72">
        <v>4</v>
      </c>
      <c r="BX146" s="72" t="s">
        <v>3191</v>
      </c>
      <c r="BY146" s="72">
        <v>2.1477661540946099E-2</v>
      </c>
      <c r="BZ146" s="72">
        <v>4.2800951160605102E-2</v>
      </c>
      <c r="CA146" s="92">
        <v>1.056418466046429E-3</v>
      </c>
      <c r="CB146" s="92">
        <v>5.4396146988926032E-3</v>
      </c>
      <c r="CC146" s="72" t="s">
        <v>618</v>
      </c>
      <c r="CG146" t="s">
        <v>3095</v>
      </c>
    </row>
    <row r="147" spans="1:85" s="72" customFormat="1" ht="14.5">
      <c r="A147" s="72" t="s">
        <v>606</v>
      </c>
      <c r="B147" s="72" t="str">
        <f t="shared" si="0"/>
        <v>addtl5-2021</v>
      </c>
      <c r="C147" s="72">
        <v>2021</v>
      </c>
      <c r="D147" s="73" t="s">
        <v>607</v>
      </c>
      <c r="E147" s="74">
        <v>45033</v>
      </c>
      <c r="F147" s="72" t="s">
        <v>90</v>
      </c>
      <c r="G147" s="72" t="s">
        <v>495</v>
      </c>
      <c r="I147" s="73" t="s">
        <v>563</v>
      </c>
      <c r="J147" s="72" t="s">
        <v>608</v>
      </c>
      <c r="K147" s="72" t="s">
        <v>94</v>
      </c>
      <c r="L147" s="72" t="s">
        <v>94</v>
      </c>
      <c r="M147" s="72" t="s">
        <v>95</v>
      </c>
      <c r="N147" s="72" t="s">
        <v>609</v>
      </c>
      <c r="O147" s="72" t="s">
        <v>97</v>
      </c>
      <c r="P147" s="72" t="s">
        <v>97</v>
      </c>
      <c r="S147" s="72" t="s">
        <v>114</v>
      </c>
      <c r="T147" s="117" t="s">
        <v>114</v>
      </c>
      <c r="U147" s="72" t="s">
        <v>98</v>
      </c>
      <c r="V147" s="72" t="s">
        <v>99</v>
      </c>
      <c r="W147" s="72">
        <v>1</v>
      </c>
      <c r="X147" s="72" t="s">
        <v>610</v>
      </c>
      <c r="Y147" s="72" t="s">
        <v>611</v>
      </c>
      <c r="Z147" s="72" t="s">
        <v>568</v>
      </c>
      <c r="AA147" s="72" t="s">
        <v>569</v>
      </c>
      <c r="AB147" s="72" t="s">
        <v>612</v>
      </c>
      <c r="AC147" s="72" t="s">
        <v>105</v>
      </c>
      <c r="AG147" s="72">
        <v>3</v>
      </c>
      <c r="AH147" s="72" t="s">
        <v>90</v>
      </c>
      <c r="AI147" s="130" t="s">
        <v>613</v>
      </c>
      <c r="AJ147" s="72" t="s">
        <v>110</v>
      </c>
      <c r="AQ147" s="72" t="s">
        <v>155</v>
      </c>
      <c r="AR147" s="72" t="s">
        <v>119</v>
      </c>
      <c r="AS147" s="72" t="s">
        <v>114</v>
      </c>
      <c r="AT147" s="72" t="s">
        <v>120</v>
      </c>
      <c r="AU147" s="72" t="s">
        <v>116</v>
      </c>
      <c r="AV147" s="72" t="s">
        <v>587</v>
      </c>
      <c r="AW147" s="72">
        <v>2</v>
      </c>
      <c r="AX147" s="72" t="s">
        <v>588</v>
      </c>
      <c r="AY147" s="72" t="s">
        <v>119</v>
      </c>
      <c r="AZ147" s="72" t="s">
        <v>120</v>
      </c>
      <c r="BA147" s="72" t="s">
        <v>116</v>
      </c>
      <c r="BB147" s="72" t="s">
        <v>589</v>
      </c>
      <c r="BC147" s="72">
        <v>2</v>
      </c>
      <c r="BD147" s="72" t="s">
        <v>614</v>
      </c>
      <c r="BE147" s="72" t="s">
        <v>123</v>
      </c>
      <c r="BF147" s="72" t="s">
        <v>615</v>
      </c>
      <c r="BG147" s="72" t="s">
        <v>116</v>
      </c>
      <c r="BH147" s="72" t="s">
        <v>616</v>
      </c>
      <c r="BI147" s="72">
        <v>3</v>
      </c>
      <c r="BJ147" s="123">
        <v>0</v>
      </c>
      <c r="BK147" s="72" t="s">
        <v>621</v>
      </c>
      <c r="BL147" t="s">
        <v>355</v>
      </c>
      <c r="BM147" s="72" t="s">
        <v>592</v>
      </c>
      <c r="BN147" s="72">
        <v>1.57390681239333E-2</v>
      </c>
      <c r="BO147" s="72">
        <v>3.2491683452644103E-2</v>
      </c>
      <c r="BP147" s="72">
        <v>9.6065558336613802E-2</v>
      </c>
      <c r="BQ147" s="72" t="s">
        <v>594</v>
      </c>
      <c r="BR147" s="72">
        <v>4</v>
      </c>
      <c r="BS147" s="72">
        <v>2.7517475506956199E-4</v>
      </c>
      <c r="BT147" s="72">
        <v>1.18731152644115E-2</v>
      </c>
      <c r="BU147" s="72">
        <v>1.7457320373981799E-2</v>
      </c>
      <c r="BV147" s="72" t="s">
        <v>594</v>
      </c>
      <c r="BW147" s="72">
        <v>4</v>
      </c>
      <c r="BX147" s="72" t="s">
        <v>3191</v>
      </c>
      <c r="BY147" s="72">
        <v>1.18731152644115E-2</v>
      </c>
      <c r="BZ147" s="72">
        <v>1.7457320373981799E-2</v>
      </c>
      <c r="CA147" s="92">
        <v>1.6217825225502476E-2</v>
      </c>
      <c r="CB147" s="92">
        <v>1.4245421197883416E-3</v>
      </c>
      <c r="CC147" s="72" t="s">
        <v>618</v>
      </c>
      <c r="CG147" t="s">
        <v>3095</v>
      </c>
    </row>
    <row r="148" spans="1:85" s="72" customFormat="1" ht="14.5">
      <c r="A148" s="72" t="s">
        <v>606</v>
      </c>
      <c r="B148" s="72" t="str">
        <f t="shared" si="0"/>
        <v>addtl5-2021</v>
      </c>
      <c r="C148" s="72">
        <v>2021</v>
      </c>
      <c r="D148" s="73" t="s">
        <v>607</v>
      </c>
      <c r="E148" s="74">
        <v>45033</v>
      </c>
      <c r="F148" s="72" t="s">
        <v>90</v>
      </c>
      <c r="G148" s="72" t="s">
        <v>495</v>
      </c>
      <c r="I148" s="73" t="s">
        <v>563</v>
      </c>
      <c r="J148" s="72" t="s">
        <v>608</v>
      </c>
      <c r="K148" s="72" t="s">
        <v>94</v>
      </c>
      <c r="L148" s="72" t="s">
        <v>94</v>
      </c>
      <c r="M148" s="72" t="s">
        <v>95</v>
      </c>
      <c r="N148" s="72" t="s">
        <v>609</v>
      </c>
      <c r="O148" s="72" t="s">
        <v>97</v>
      </c>
      <c r="P148" s="72" t="s">
        <v>97</v>
      </c>
      <c r="S148" s="72" t="s">
        <v>114</v>
      </c>
      <c r="T148" s="117" t="s">
        <v>114</v>
      </c>
      <c r="U148" s="72" t="s">
        <v>98</v>
      </c>
      <c r="V148" s="72" t="s">
        <v>99</v>
      </c>
      <c r="W148" s="72">
        <v>1</v>
      </c>
      <c r="X148" s="72" t="s">
        <v>610</v>
      </c>
      <c r="Y148" s="72" t="s">
        <v>611</v>
      </c>
      <c r="Z148" s="72" t="s">
        <v>568</v>
      </c>
      <c r="AA148" s="72" t="s">
        <v>569</v>
      </c>
      <c r="AB148" s="72" t="s">
        <v>612</v>
      </c>
      <c r="AC148" s="72" t="s">
        <v>105</v>
      </c>
      <c r="AG148" s="72">
        <v>3</v>
      </c>
      <c r="AH148" s="72" t="s">
        <v>90</v>
      </c>
      <c r="AI148" s="130" t="s">
        <v>613</v>
      </c>
      <c r="AJ148" s="72" t="s">
        <v>110</v>
      </c>
      <c r="AQ148" s="72" t="s">
        <v>155</v>
      </c>
      <c r="AR148" s="72" t="s">
        <v>119</v>
      </c>
      <c r="AS148" s="72" t="s">
        <v>114</v>
      </c>
      <c r="AT148" s="72" t="s">
        <v>120</v>
      </c>
      <c r="AU148" s="72" t="s">
        <v>116</v>
      </c>
      <c r="AV148" s="72" t="s">
        <v>587</v>
      </c>
      <c r="AW148" s="72">
        <v>2</v>
      </c>
      <c r="AX148" s="72" t="s">
        <v>588</v>
      </c>
      <c r="AY148" s="72" t="s">
        <v>119</v>
      </c>
      <c r="AZ148" s="72" t="s">
        <v>120</v>
      </c>
      <c r="BA148" s="72" t="s">
        <v>116</v>
      </c>
      <c r="BB148" s="72" t="s">
        <v>589</v>
      </c>
      <c r="BC148" s="72">
        <v>2</v>
      </c>
      <c r="BD148" s="72" t="s">
        <v>614</v>
      </c>
      <c r="BE148" s="72" t="s">
        <v>123</v>
      </c>
      <c r="BF148" s="72" t="s">
        <v>615</v>
      </c>
      <c r="BG148" s="72" t="s">
        <v>116</v>
      </c>
      <c r="BH148" s="72" t="s">
        <v>616</v>
      </c>
      <c r="BI148" s="72">
        <v>3</v>
      </c>
      <c r="BJ148" s="123">
        <v>0</v>
      </c>
      <c r="BK148" s="72" t="s">
        <v>622</v>
      </c>
      <c r="BL148" t="s">
        <v>355</v>
      </c>
      <c r="BM148" s="72" t="s">
        <v>592</v>
      </c>
      <c r="BN148" s="72">
        <v>2.4229572953195699E-3</v>
      </c>
      <c r="BO148" s="72">
        <v>3.2491683452644103E-2</v>
      </c>
      <c r="BP148" s="72">
        <v>1.7457320373981799E-2</v>
      </c>
      <c r="BQ148" s="72" t="s">
        <v>594</v>
      </c>
      <c r="BR148" s="72">
        <v>4</v>
      </c>
      <c r="BS148" s="72">
        <v>2.7517475506956199E-4</v>
      </c>
      <c r="BT148" s="72">
        <v>1.18731152644115E-2</v>
      </c>
      <c r="BU148" s="72">
        <v>1.7457320373981799E-2</v>
      </c>
      <c r="BV148" s="72" t="s">
        <v>594</v>
      </c>
      <c r="BW148" s="72">
        <v>4</v>
      </c>
      <c r="BX148" s="72" t="s">
        <v>3191</v>
      </c>
      <c r="BY148" s="72">
        <v>1.18731152644115E-2</v>
      </c>
      <c r="BZ148" s="72">
        <v>1.7457320373981799E-2</v>
      </c>
      <c r="CA148" s="92">
        <v>-3.8352967037403839E-3</v>
      </c>
      <c r="CB148" s="92">
        <v>1.4245421197883416E-3</v>
      </c>
      <c r="CC148" s="72" t="s">
        <v>618</v>
      </c>
      <c r="CG148" t="s">
        <v>3095</v>
      </c>
    </row>
    <row r="149" spans="1:85" s="72" customFormat="1" ht="14.5">
      <c r="A149" s="72" t="s">
        <v>606</v>
      </c>
      <c r="B149" s="72" t="str">
        <f t="shared" si="0"/>
        <v>addtl5-2021</v>
      </c>
      <c r="C149" s="72">
        <v>2021</v>
      </c>
      <c r="D149" s="73" t="s">
        <v>607</v>
      </c>
      <c r="E149" s="74">
        <v>45033</v>
      </c>
      <c r="F149" s="72" t="s">
        <v>90</v>
      </c>
      <c r="G149" s="72" t="s">
        <v>495</v>
      </c>
      <c r="I149" s="73" t="s">
        <v>563</v>
      </c>
      <c r="J149" s="72" t="s">
        <v>608</v>
      </c>
      <c r="K149" s="72" t="s">
        <v>94</v>
      </c>
      <c r="L149" s="72" t="s">
        <v>94</v>
      </c>
      <c r="M149" s="72" t="s">
        <v>95</v>
      </c>
      <c r="N149" s="72" t="s">
        <v>609</v>
      </c>
      <c r="O149" s="72" t="s">
        <v>97</v>
      </c>
      <c r="P149" s="72" t="s">
        <v>97</v>
      </c>
      <c r="S149" s="72" t="s">
        <v>114</v>
      </c>
      <c r="T149" s="117" t="s">
        <v>114</v>
      </c>
      <c r="U149" s="72" t="s">
        <v>98</v>
      </c>
      <c r="V149" s="72" t="s">
        <v>99</v>
      </c>
      <c r="W149" s="72">
        <v>1</v>
      </c>
      <c r="X149" s="72" t="s">
        <v>610</v>
      </c>
      <c r="Y149" s="72" t="s">
        <v>611</v>
      </c>
      <c r="Z149" s="72" t="s">
        <v>568</v>
      </c>
      <c r="AA149" s="72" t="s">
        <v>569</v>
      </c>
      <c r="AB149" s="72" t="s">
        <v>612</v>
      </c>
      <c r="AC149" s="72" t="s">
        <v>105</v>
      </c>
      <c r="AG149" s="72">
        <v>3</v>
      </c>
      <c r="AH149" s="72" t="s">
        <v>90</v>
      </c>
      <c r="AI149" s="130" t="s">
        <v>613</v>
      </c>
      <c r="AJ149" s="72" t="s">
        <v>110</v>
      </c>
      <c r="AQ149" s="72" t="s">
        <v>155</v>
      </c>
      <c r="AR149" s="72" t="s">
        <v>119</v>
      </c>
      <c r="AS149" s="72" t="s">
        <v>114</v>
      </c>
      <c r="AT149" s="72" t="s">
        <v>120</v>
      </c>
      <c r="AU149" s="72" t="s">
        <v>116</v>
      </c>
      <c r="AV149" s="72" t="s">
        <v>587</v>
      </c>
      <c r="AW149" s="72">
        <v>2</v>
      </c>
      <c r="AX149" s="72" t="s">
        <v>588</v>
      </c>
      <c r="AY149" s="72" t="s">
        <v>119</v>
      </c>
      <c r="AZ149" s="72" t="s">
        <v>120</v>
      </c>
      <c r="BA149" s="72" t="s">
        <v>116</v>
      </c>
      <c r="BB149" s="72" t="s">
        <v>589</v>
      </c>
      <c r="BC149" s="72">
        <v>2</v>
      </c>
      <c r="BD149" s="72" t="s">
        <v>614</v>
      </c>
      <c r="BE149" s="72" t="s">
        <v>123</v>
      </c>
      <c r="BF149" s="72" t="s">
        <v>615</v>
      </c>
      <c r="BG149" s="72" t="s">
        <v>116</v>
      </c>
      <c r="BH149" s="72" t="s">
        <v>616</v>
      </c>
      <c r="BI149" s="72">
        <v>3</v>
      </c>
      <c r="BJ149" s="123">
        <v>0</v>
      </c>
      <c r="BK149" s="72" t="s">
        <v>623</v>
      </c>
      <c r="BL149" t="s">
        <v>355</v>
      </c>
      <c r="BM149" s="72" t="s">
        <v>592</v>
      </c>
      <c r="BN149" s="72">
        <v>7.5775829562223403E-3</v>
      </c>
      <c r="BO149" s="72">
        <v>1.18731152644115E-2</v>
      </c>
      <c r="BP149" s="72">
        <v>1.7457320373981799E-2</v>
      </c>
      <c r="BQ149" s="72" t="s">
        <v>594</v>
      </c>
      <c r="BR149" s="72">
        <v>4</v>
      </c>
      <c r="BS149" s="72">
        <v>2.7517475506956199E-4</v>
      </c>
      <c r="BT149" s="72">
        <v>1.18731152644115E-2</v>
      </c>
      <c r="BU149" s="72">
        <v>1.7457320373981799E-2</v>
      </c>
      <c r="BV149" s="72" t="s">
        <v>594</v>
      </c>
      <c r="BW149" s="72">
        <v>4</v>
      </c>
      <c r="BX149" s="72" t="s">
        <v>3191</v>
      </c>
      <c r="BY149" s="72">
        <v>1.18731152644115E-2</v>
      </c>
      <c r="BZ149" s="72">
        <v>1.7457320373981799E-2</v>
      </c>
      <c r="CA149" s="92">
        <v>1.4245421197883416E-3</v>
      </c>
      <c r="CB149" s="92">
        <v>1.4245421197883416E-3</v>
      </c>
      <c r="CC149" s="72" t="s">
        <v>618</v>
      </c>
      <c r="CG149" t="s">
        <v>3095</v>
      </c>
    </row>
    <row r="150" spans="1:85" s="72" customFormat="1" ht="14.5">
      <c r="A150" s="72" t="s">
        <v>606</v>
      </c>
      <c r="B150" s="72" t="str">
        <f t="shared" si="0"/>
        <v>addtl5-2021</v>
      </c>
      <c r="C150" s="72">
        <v>2021</v>
      </c>
      <c r="D150" s="73" t="s">
        <v>607</v>
      </c>
      <c r="E150" s="74">
        <v>45033</v>
      </c>
      <c r="F150" s="72" t="s">
        <v>90</v>
      </c>
      <c r="G150" s="72" t="s">
        <v>495</v>
      </c>
      <c r="I150" s="73" t="s">
        <v>563</v>
      </c>
      <c r="J150" s="72" t="s">
        <v>608</v>
      </c>
      <c r="K150" s="72" t="s">
        <v>94</v>
      </c>
      <c r="L150" s="72" t="s">
        <v>94</v>
      </c>
      <c r="M150" s="72" t="s">
        <v>95</v>
      </c>
      <c r="N150" s="72" t="s">
        <v>609</v>
      </c>
      <c r="O150" s="72" t="s">
        <v>97</v>
      </c>
      <c r="P150" s="72" t="s">
        <v>97</v>
      </c>
      <c r="S150" s="72" t="s">
        <v>114</v>
      </c>
      <c r="T150" s="117" t="s">
        <v>114</v>
      </c>
      <c r="U150" s="72" t="s">
        <v>98</v>
      </c>
      <c r="V150" s="72" t="s">
        <v>99</v>
      </c>
      <c r="W150" s="72">
        <v>1</v>
      </c>
      <c r="X150" s="72" t="s">
        <v>610</v>
      </c>
      <c r="Y150" s="72" t="s">
        <v>611</v>
      </c>
      <c r="Z150" s="72" t="s">
        <v>568</v>
      </c>
      <c r="AA150" s="72" t="s">
        <v>569</v>
      </c>
      <c r="AB150" s="72" t="s">
        <v>612</v>
      </c>
      <c r="AC150" s="72" t="s">
        <v>105</v>
      </c>
      <c r="AG150" s="72">
        <v>3</v>
      </c>
      <c r="AH150" s="72" t="s">
        <v>90</v>
      </c>
      <c r="AI150" s="130" t="s">
        <v>613</v>
      </c>
      <c r="AJ150" s="72" t="s">
        <v>110</v>
      </c>
      <c r="AQ150" s="72" t="s">
        <v>155</v>
      </c>
      <c r="AR150" s="72" t="s">
        <v>119</v>
      </c>
      <c r="AS150" s="72" t="s">
        <v>114</v>
      </c>
      <c r="AT150" s="72" t="s">
        <v>120</v>
      </c>
      <c r="AU150" s="72" t="s">
        <v>116</v>
      </c>
      <c r="AV150" s="72" t="s">
        <v>587</v>
      </c>
      <c r="AW150" s="72">
        <v>2</v>
      </c>
      <c r="AX150" s="72" t="s">
        <v>588</v>
      </c>
      <c r="AY150" s="72" t="s">
        <v>119</v>
      </c>
      <c r="AZ150" s="72" t="s">
        <v>120</v>
      </c>
      <c r="BA150" s="72" t="s">
        <v>116</v>
      </c>
      <c r="BB150" s="72" t="s">
        <v>589</v>
      </c>
      <c r="BC150" s="72">
        <v>2</v>
      </c>
      <c r="BD150" s="72" t="s">
        <v>614</v>
      </c>
      <c r="BE150" s="72" t="s">
        <v>123</v>
      </c>
      <c r="BF150" s="72" t="s">
        <v>615</v>
      </c>
      <c r="BG150" s="72" t="s">
        <v>116</v>
      </c>
      <c r="BH150" s="72" t="s">
        <v>616</v>
      </c>
      <c r="BI150" s="72">
        <v>3</v>
      </c>
      <c r="BJ150" s="72">
        <v>5</v>
      </c>
      <c r="BK150" s="72" t="s">
        <v>624</v>
      </c>
      <c r="BL150" t="s">
        <v>355</v>
      </c>
      <c r="BM150" s="72" t="s">
        <v>592</v>
      </c>
      <c r="BN150" s="72">
        <v>1.5638475564506199E-3</v>
      </c>
      <c r="BO150" s="72">
        <v>2.85247119936563E-3</v>
      </c>
      <c r="BP150" s="72">
        <v>6.7184896035087597E-3</v>
      </c>
      <c r="BQ150" s="72" t="s">
        <v>594</v>
      </c>
      <c r="BR150" s="72">
        <v>4</v>
      </c>
      <c r="BS150" s="72">
        <v>2.0034600432122501E-2</v>
      </c>
      <c r="BT150" s="72">
        <v>7.5775829562223403E-3</v>
      </c>
      <c r="BU150" s="72">
        <v>2.4229572953195699E-3</v>
      </c>
      <c r="BV150" s="72" t="s">
        <v>594</v>
      </c>
      <c r="BW150" s="72">
        <v>4</v>
      </c>
      <c r="BX150" s="72" t="s">
        <v>3191</v>
      </c>
      <c r="BY150" s="72">
        <v>7.5775829562223403E-3</v>
      </c>
      <c r="BZ150" s="72">
        <v>2.4229572953195699E-3</v>
      </c>
      <c r="CA150" s="92">
        <v>9.862291847303902E-4</v>
      </c>
      <c r="CB150" s="92">
        <v>-1.3149555257405026E-3</v>
      </c>
      <c r="CC150" s="72" t="s">
        <v>618</v>
      </c>
      <c r="CG150" t="s">
        <v>3095</v>
      </c>
    </row>
    <row r="151" spans="1:85" s="72" customFormat="1" ht="14.5">
      <c r="A151" s="72" t="s">
        <v>606</v>
      </c>
      <c r="B151" s="72" t="str">
        <f t="shared" si="0"/>
        <v>addtl5-2021</v>
      </c>
      <c r="C151" s="72">
        <v>2021</v>
      </c>
      <c r="D151" s="73" t="s">
        <v>607</v>
      </c>
      <c r="E151" s="74">
        <v>45033</v>
      </c>
      <c r="F151" s="72" t="s">
        <v>90</v>
      </c>
      <c r="G151" s="72" t="s">
        <v>495</v>
      </c>
      <c r="I151" s="73" t="s">
        <v>563</v>
      </c>
      <c r="J151" s="72" t="s">
        <v>608</v>
      </c>
      <c r="K151" s="72" t="s">
        <v>94</v>
      </c>
      <c r="L151" s="72" t="s">
        <v>94</v>
      </c>
      <c r="M151" s="72" t="s">
        <v>95</v>
      </c>
      <c r="N151" s="72" t="s">
        <v>609</v>
      </c>
      <c r="O151" s="72" t="s">
        <v>97</v>
      </c>
      <c r="P151" s="72" t="s">
        <v>97</v>
      </c>
      <c r="S151" s="72" t="s">
        <v>114</v>
      </c>
      <c r="T151" s="117" t="s">
        <v>114</v>
      </c>
      <c r="U151" s="72" t="s">
        <v>98</v>
      </c>
      <c r="V151" s="72" t="s">
        <v>99</v>
      </c>
      <c r="W151" s="72">
        <v>1</v>
      </c>
      <c r="X151" s="72" t="s">
        <v>610</v>
      </c>
      <c r="Y151" s="72" t="s">
        <v>611</v>
      </c>
      <c r="Z151" s="72" t="s">
        <v>568</v>
      </c>
      <c r="AA151" s="72" t="s">
        <v>569</v>
      </c>
      <c r="AB151" s="72" t="s">
        <v>612</v>
      </c>
      <c r="AC151" s="72" t="s">
        <v>105</v>
      </c>
      <c r="AG151" s="72">
        <v>3</v>
      </c>
      <c r="AH151" s="72" t="s">
        <v>90</v>
      </c>
      <c r="AI151" s="130" t="s">
        <v>613</v>
      </c>
      <c r="AJ151" s="72" t="s">
        <v>110</v>
      </c>
      <c r="AQ151" s="72" t="s">
        <v>155</v>
      </c>
      <c r="AR151" s="72" t="s">
        <v>119</v>
      </c>
      <c r="AS151" s="72" t="s">
        <v>114</v>
      </c>
      <c r="AT151" s="72" t="s">
        <v>120</v>
      </c>
      <c r="AU151" s="72" t="s">
        <v>116</v>
      </c>
      <c r="AV151" s="72" t="s">
        <v>587</v>
      </c>
      <c r="AW151" s="72">
        <v>2</v>
      </c>
      <c r="AX151" s="72" t="s">
        <v>588</v>
      </c>
      <c r="AY151" s="72" t="s">
        <v>119</v>
      </c>
      <c r="AZ151" s="72" t="s">
        <v>120</v>
      </c>
      <c r="BA151" s="72" t="s">
        <v>116</v>
      </c>
      <c r="BB151" s="72" t="s">
        <v>589</v>
      </c>
      <c r="BC151" s="72">
        <v>2</v>
      </c>
      <c r="BD151" s="72" t="s">
        <v>614</v>
      </c>
      <c r="BE151" s="72" t="s">
        <v>123</v>
      </c>
      <c r="BF151" s="72" t="s">
        <v>615</v>
      </c>
      <c r="BG151" s="72" t="s">
        <v>116</v>
      </c>
      <c r="BH151" s="72" t="s">
        <v>616</v>
      </c>
      <c r="BI151" s="72">
        <v>3</v>
      </c>
      <c r="BJ151" s="72">
        <v>5</v>
      </c>
      <c r="BK151" s="72" t="s">
        <v>625</v>
      </c>
      <c r="BL151" t="s">
        <v>355</v>
      </c>
      <c r="BM151" s="72" t="s">
        <v>592</v>
      </c>
      <c r="BN151" s="72">
        <v>3.2820506480331201E-3</v>
      </c>
      <c r="BO151" s="72">
        <v>6.7184896035087597E-3</v>
      </c>
      <c r="BP151" s="72">
        <v>3.2062120390132003E-2</v>
      </c>
      <c r="BQ151" s="72" t="s">
        <v>594</v>
      </c>
      <c r="BR151" s="72">
        <v>4</v>
      </c>
      <c r="BS151" s="72">
        <v>2.0034600432122501E-2</v>
      </c>
      <c r="BT151" s="72">
        <v>7.5775829562223403E-3</v>
      </c>
      <c r="BU151" s="72">
        <v>2.4229572953195699E-3</v>
      </c>
      <c r="BV151" s="72" t="s">
        <v>594</v>
      </c>
      <c r="BW151" s="72">
        <v>4</v>
      </c>
      <c r="BX151" s="72" t="s">
        <v>3191</v>
      </c>
      <c r="BY151" s="72">
        <v>7.5775829562223403E-3</v>
      </c>
      <c r="BZ151" s="72">
        <v>2.4229572953195699E-3</v>
      </c>
      <c r="CA151" s="92">
        <v>6.4652119353630728E-3</v>
      </c>
      <c r="CB151" s="92">
        <v>-1.3149555257405026E-3</v>
      </c>
      <c r="CC151" s="72" t="s">
        <v>618</v>
      </c>
      <c r="CG151" t="s">
        <v>3095</v>
      </c>
    </row>
    <row r="152" spans="1:85" s="72" customFormat="1" ht="14.5">
      <c r="A152" s="72" t="s">
        <v>606</v>
      </c>
      <c r="B152" s="72" t="str">
        <f t="shared" si="0"/>
        <v>addtl5-2021</v>
      </c>
      <c r="C152" s="72">
        <v>2021</v>
      </c>
      <c r="D152" s="73" t="s">
        <v>607</v>
      </c>
      <c r="E152" s="74">
        <v>45033</v>
      </c>
      <c r="F152" s="72" t="s">
        <v>90</v>
      </c>
      <c r="G152" s="72" t="s">
        <v>495</v>
      </c>
      <c r="I152" s="73" t="s">
        <v>563</v>
      </c>
      <c r="J152" s="72" t="s">
        <v>608</v>
      </c>
      <c r="K152" s="72" t="s">
        <v>94</v>
      </c>
      <c r="L152" s="72" t="s">
        <v>94</v>
      </c>
      <c r="M152" s="72" t="s">
        <v>95</v>
      </c>
      <c r="N152" s="72" t="s">
        <v>609</v>
      </c>
      <c r="O152" s="72" t="s">
        <v>97</v>
      </c>
      <c r="P152" s="72" t="s">
        <v>97</v>
      </c>
      <c r="S152" s="72" t="s">
        <v>114</v>
      </c>
      <c r="T152" s="117" t="s">
        <v>114</v>
      </c>
      <c r="U152" s="72" t="s">
        <v>98</v>
      </c>
      <c r="V152" s="72" t="s">
        <v>99</v>
      </c>
      <c r="W152" s="72">
        <v>1</v>
      </c>
      <c r="X152" s="72" t="s">
        <v>610</v>
      </c>
      <c r="Y152" s="72" t="s">
        <v>611</v>
      </c>
      <c r="Z152" s="72" t="s">
        <v>568</v>
      </c>
      <c r="AA152" s="72" t="s">
        <v>569</v>
      </c>
      <c r="AB152" s="72" t="s">
        <v>612</v>
      </c>
      <c r="AC152" s="72" t="s">
        <v>105</v>
      </c>
      <c r="AG152" s="72">
        <v>3</v>
      </c>
      <c r="AH152" s="72" t="s">
        <v>90</v>
      </c>
      <c r="AI152" s="130" t="s">
        <v>613</v>
      </c>
      <c r="AJ152" s="72" t="s">
        <v>110</v>
      </c>
      <c r="AQ152" s="72" t="s">
        <v>155</v>
      </c>
      <c r="AR152" s="72" t="s">
        <v>119</v>
      </c>
      <c r="AS152" s="72" t="s">
        <v>114</v>
      </c>
      <c r="AT152" s="72" t="s">
        <v>120</v>
      </c>
      <c r="AU152" s="72" t="s">
        <v>116</v>
      </c>
      <c r="AV152" s="72" t="s">
        <v>587</v>
      </c>
      <c r="AW152" s="72">
        <v>2</v>
      </c>
      <c r="AX152" s="72" t="s">
        <v>588</v>
      </c>
      <c r="AY152" s="72" t="s">
        <v>119</v>
      </c>
      <c r="AZ152" s="72" t="s">
        <v>120</v>
      </c>
      <c r="BA152" s="72" t="s">
        <v>116</v>
      </c>
      <c r="BB152" s="72" t="s">
        <v>589</v>
      </c>
      <c r="BC152" s="72">
        <v>2</v>
      </c>
      <c r="BD152" s="72" t="s">
        <v>614</v>
      </c>
      <c r="BE152" s="72" t="s">
        <v>123</v>
      </c>
      <c r="BF152" s="72" t="s">
        <v>615</v>
      </c>
      <c r="BG152" s="72" t="s">
        <v>116</v>
      </c>
      <c r="BH152" s="72" t="s">
        <v>616</v>
      </c>
      <c r="BI152" s="72">
        <v>3</v>
      </c>
      <c r="BJ152" s="72">
        <v>5</v>
      </c>
      <c r="BK152" s="72" t="s">
        <v>626</v>
      </c>
      <c r="BL152" t="s">
        <v>355</v>
      </c>
      <c r="BM152" s="72" t="s">
        <v>592</v>
      </c>
      <c r="BN152" s="72">
        <v>4.1411603869020404E-3</v>
      </c>
      <c r="BO152" s="72">
        <v>7.5775829562223403E-3</v>
      </c>
      <c r="BP152" s="72">
        <v>1.18731152644115E-2</v>
      </c>
      <c r="BQ152" s="72" t="s">
        <v>594</v>
      </c>
      <c r="BR152" s="72">
        <v>4</v>
      </c>
      <c r="BS152" s="72">
        <v>2.0034600432122501E-2</v>
      </c>
      <c r="BT152" s="72">
        <v>7.5775829562223403E-3</v>
      </c>
      <c r="BU152" s="72">
        <v>2.4229572953195699E-3</v>
      </c>
      <c r="BV152" s="72" t="s">
        <v>594</v>
      </c>
      <c r="BW152" s="72">
        <v>4</v>
      </c>
      <c r="BX152" s="72" t="s">
        <v>3191</v>
      </c>
      <c r="BY152" s="72">
        <v>7.5775829562223403E-3</v>
      </c>
      <c r="BZ152" s="72">
        <v>2.4229572953195699E-3</v>
      </c>
      <c r="CA152" s="92">
        <v>1.0957990582115202E-3</v>
      </c>
      <c r="CB152" s="92">
        <v>-1.3149555257405026E-3</v>
      </c>
      <c r="CC152" s="72" t="s">
        <v>618</v>
      </c>
      <c r="CG152" t="s">
        <v>3095</v>
      </c>
    </row>
    <row r="153" spans="1:85" s="72" customFormat="1" ht="14.5">
      <c r="A153" s="72" t="s">
        <v>606</v>
      </c>
      <c r="B153" s="72" t="str">
        <f t="shared" si="0"/>
        <v>addtl5-2021</v>
      </c>
      <c r="C153" s="72">
        <v>2021</v>
      </c>
      <c r="D153" s="73" t="s">
        <v>607</v>
      </c>
      <c r="E153" s="74">
        <v>45033</v>
      </c>
      <c r="F153" s="72" t="s">
        <v>90</v>
      </c>
      <c r="G153" s="72" t="s">
        <v>495</v>
      </c>
      <c r="I153" s="73" t="s">
        <v>563</v>
      </c>
      <c r="J153" s="72" t="s">
        <v>608</v>
      </c>
      <c r="K153" s="72" t="s">
        <v>94</v>
      </c>
      <c r="L153" s="72" t="s">
        <v>94</v>
      </c>
      <c r="M153" s="72" t="s">
        <v>95</v>
      </c>
      <c r="N153" s="72" t="s">
        <v>609</v>
      </c>
      <c r="O153" s="72" t="s">
        <v>97</v>
      </c>
      <c r="P153" s="72" t="s">
        <v>97</v>
      </c>
      <c r="S153" s="72" t="s">
        <v>114</v>
      </c>
      <c r="T153" s="117" t="s">
        <v>114</v>
      </c>
      <c r="U153" s="72" t="s">
        <v>98</v>
      </c>
      <c r="V153" s="72" t="s">
        <v>99</v>
      </c>
      <c r="W153" s="72">
        <v>1</v>
      </c>
      <c r="X153" s="72" t="s">
        <v>610</v>
      </c>
      <c r="Y153" s="72" t="s">
        <v>611</v>
      </c>
      <c r="Z153" s="72" t="s">
        <v>568</v>
      </c>
      <c r="AA153" s="72" t="s">
        <v>569</v>
      </c>
      <c r="AB153" s="72" t="s">
        <v>612</v>
      </c>
      <c r="AC153" s="72" t="s">
        <v>105</v>
      </c>
      <c r="AG153" s="72">
        <v>3</v>
      </c>
      <c r="AH153" s="72" t="s">
        <v>90</v>
      </c>
      <c r="AI153" s="130" t="s">
        <v>613</v>
      </c>
      <c r="AJ153" s="72" t="s">
        <v>110</v>
      </c>
      <c r="AQ153" s="72" t="s">
        <v>155</v>
      </c>
      <c r="AR153" s="72" t="s">
        <v>119</v>
      </c>
      <c r="AS153" s="72" t="s">
        <v>114</v>
      </c>
      <c r="AT153" s="72" t="s">
        <v>120</v>
      </c>
      <c r="AU153" s="72" t="s">
        <v>116</v>
      </c>
      <c r="AV153" s="72" t="s">
        <v>587</v>
      </c>
      <c r="AW153" s="72">
        <v>2</v>
      </c>
      <c r="AX153" s="72" t="s">
        <v>588</v>
      </c>
      <c r="AY153" s="72" t="s">
        <v>119</v>
      </c>
      <c r="AZ153" s="72" t="s">
        <v>120</v>
      </c>
      <c r="BA153" s="72" t="s">
        <v>116</v>
      </c>
      <c r="BB153" s="72" t="s">
        <v>589</v>
      </c>
      <c r="BC153" s="72">
        <v>2</v>
      </c>
      <c r="BD153" s="72" t="s">
        <v>614</v>
      </c>
      <c r="BE153" s="72" t="s">
        <v>123</v>
      </c>
      <c r="BF153" s="72" t="s">
        <v>615</v>
      </c>
      <c r="BG153" s="72" t="s">
        <v>116</v>
      </c>
      <c r="BH153" s="72" t="s">
        <v>616</v>
      </c>
      <c r="BI153" s="72">
        <v>3</v>
      </c>
      <c r="BJ153" s="72">
        <v>5</v>
      </c>
      <c r="BK153" s="72" t="s">
        <v>627</v>
      </c>
      <c r="BL153" t="s">
        <v>355</v>
      </c>
      <c r="BM153" s="72" t="s">
        <v>592</v>
      </c>
      <c r="BN153" s="72">
        <v>7.0472143142633395E-4</v>
      </c>
      <c r="BO153" s="72">
        <v>7.5775829562223403E-3</v>
      </c>
      <c r="BP153" s="72">
        <v>1.3161788065792599E-2</v>
      </c>
      <c r="BQ153" s="72" t="s">
        <v>594</v>
      </c>
      <c r="BR153" s="72">
        <v>4</v>
      </c>
      <c r="BS153" s="72">
        <v>-1.54371921287209E-4</v>
      </c>
      <c r="BT153" s="72">
        <v>1.9933942328074299E-3</v>
      </c>
      <c r="BU153" s="72">
        <v>7.1480035075548801E-3</v>
      </c>
      <c r="BV153" s="72" t="s">
        <v>594</v>
      </c>
      <c r="BW153" s="72">
        <v>4</v>
      </c>
      <c r="BX153" s="72" t="s">
        <v>3191</v>
      </c>
      <c r="BY153" s="72">
        <v>1.9933942328074299E-3</v>
      </c>
      <c r="BZ153" s="72">
        <v>7.1480035075548801E-3</v>
      </c>
      <c r="CA153" s="92">
        <v>1.4245421197883314E-3</v>
      </c>
      <c r="CB153" s="92">
        <v>1.3149513455988392E-3</v>
      </c>
      <c r="CC153" s="72" t="s">
        <v>618</v>
      </c>
      <c r="CG153" t="s">
        <v>3095</v>
      </c>
    </row>
    <row r="154" spans="1:85" s="72" customFormat="1" ht="14.5">
      <c r="A154" s="72" t="s">
        <v>606</v>
      </c>
      <c r="B154" s="72" t="str">
        <f t="shared" si="0"/>
        <v>addtl5-2021</v>
      </c>
      <c r="C154" s="72">
        <v>2021</v>
      </c>
      <c r="D154" s="73" t="s">
        <v>607</v>
      </c>
      <c r="E154" s="74">
        <v>45033</v>
      </c>
      <c r="F154" s="72" t="s">
        <v>90</v>
      </c>
      <c r="G154" s="72" t="s">
        <v>495</v>
      </c>
      <c r="I154" s="73" t="s">
        <v>563</v>
      </c>
      <c r="J154" s="72" t="s">
        <v>608</v>
      </c>
      <c r="K154" s="72" t="s">
        <v>94</v>
      </c>
      <c r="L154" s="72" t="s">
        <v>94</v>
      </c>
      <c r="M154" s="72" t="s">
        <v>95</v>
      </c>
      <c r="N154" s="72" t="s">
        <v>609</v>
      </c>
      <c r="O154" s="72" t="s">
        <v>97</v>
      </c>
      <c r="P154" s="72" t="s">
        <v>97</v>
      </c>
      <c r="S154" s="72" t="s">
        <v>114</v>
      </c>
      <c r="T154" s="117" t="s">
        <v>114</v>
      </c>
      <c r="U154" s="72" t="s">
        <v>98</v>
      </c>
      <c r="V154" s="72" t="s">
        <v>99</v>
      </c>
      <c r="W154" s="72">
        <v>1</v>
      </c>
      <c r="X154" s="72" t="s">
        <v>610</v>
      </c>
      <c r="Y154" s="72" t="s">
        <v>611</v>
      </c>
      <c r="Z154" s="72" t="s">
        <v>568</v>
      </c>
      <c r="AA154" s="72" t="s">
        <v>569</v>
      </c>
      <c r="AB154" s="72" t="s">
        <v>612</v>
      </c>
      <c r="AC154" s="72" t="s">
        <v>105</v>
      </c>
      <c r="AG154" s="72">
        <v>3</v>
      </c>
      <c r="AH154" s="72" t="s">
        <v>90</v>
      </c>
      <c r="AI154" s="130" t="s">
        <v>613</v>
      </c>
      <c r="AJ154" s="72" t="s">
        <v>110</v>
      </c>
      <c r="AQ154" s="72" t="s">
        <v>155</v>
      </c>
      <c r="AR154" s="72" t="s">
        <v>119</v>
      </c>
      <c r="AS154" s="72" t="s">
        <v>114</v>
      </c>
      <c r="AT154" s="72" t="s">
        <v>120</v>
      </c>
      <c r="AU154" s="72" t="s">
        <v>116</v>
      </c>
      <c r="AV154" s="72" t="s">
        <v>587</v>
      </c>
      <c r="AW154" s="72">
        <v>2</v>
      </c>
      <c r="AX154" s="72" t="s">
        <v>588</v>
      </c>
      <c r="AY154" s="72" t="s">
        <v>119</v>
      </c>
      <c r="AZ154" s="72" t="s">
        <v>120</v>
      </c>
      <c r="BA154" s="72" t="s">
        <v>116</v>
      </c>
      <c r="BB154" s="72" t="s">
        <v>589</v>
      </c>
      <c r="BC154" s="72">
        <v>2</v>
      </c>
      <c r="BD154" s="72" t="s">
        <v>614</v>
      </c>
      <c r="BE154" s="72" t="s">
        <v>123</v>
      </c>
      <c r="BF154" s="72" t="s">
        <v>615</v>
      </c>
      <c r="BG154" s="72" t="s">
        <v>116</v>
      </c>
      <c r="BH154" s="72" t="s">
        <v>616</v>
      </c>
      <c r="BI154" s="72">
        <v>3</v>
      </c>
      <c r="BJ154" s="72">
        <v>5</v>
      </c>
      <c r="BK154" s="72" t="s">
        <v>628</v>
      </c>
      <c r="BL154" t="s">
        <v>355</v>
      </c>
      <c r="BM154" s="72" t="s">
        <v>592</v>
      </c>
      <c r="BN154" s="72">
        <v>5.0002373534602396E-3</v>
      </c>
      <c r="BO154" s="72">
        <v>8.8662557576033706E-3</v>
      </c>
      <c r="BP154" s="72">
        <v>2.1323289619658899E-2</v>
      </c>
      <c r="BQ154" s="72" t="s">
        <v>594</v>
      </c>
      <c r="BR154" s="72">
        <v>4</v>
      </c>
      <c r="BS154" s="72">
        <v>-1.54371921287209E-4</v>
      </c>
      <c r="BT154" s="72">
        <v>1.9933942328074299E-3</v>
      </c>
      <c r="BU154" s="72">
        <v>7.1480035075548801E-3</v>
      </c>
      <c r="BV154" s="72" t="s">
        <v>594</v>
      </c>
      <c r="BW154" s="72">
        <v>4</v>
      </c>
      <c r="BX154" s="72" t="s">
        <v>3191</v>
      </c>
      <c r="BY154" s="72">
        <v>1.9933942328074299E-3</v>
      </c>
      <c r="BZ154" s="72">
        <v>7.1480035075548801E-3</v>
      </c>
      <c r="CA154" s="92">
        <v>3.1778147607284513E-3</v>
      </c>
      <c r="CB154" s="92">
        <v>1.3149513455988392E-3</v>
      </c>
      <c r="CC154" s="72" t="s">
        <v>618</v>
      </c>
      <c r="CG154" t="s">
        <v>3095</v>
      </c>
    </row>
    <row r="155" spans="1:85" s="72" customFormat="1" ht="14.5">
      <c r="A155" s="72" t="s">
        <v>606</v>
      </c>
      <c r="B155" s="72" t="str">
        <f t="shared" si="0"/>
        <v>addtl5-2021</v>
      </c>
      <c r="C155" s="72">
        <v>2021</v>
      </c>
      <c r="D155" s="73" t="s">
        <v>607</v>
      </c>
      <c r="E155" s="74">
        <v>45033</v>
      </c>
      <c r="F155" s="72" t="s">
        <v>90</v>
      </c>
      <c r="G155" s="72" t="s">
        <v>495</v>
      </c>
      <c r="I155" s="73" t="s">
        <v>563</v>
      </c>
      <c r="J155" s="72" t="s">
        <v>608</v>
      </c>
      <c r="K155" s="72" t="s">
        <v>94</v>
      </c>
      <c r="L155" s="72" t="s">
        <v>94</v>
      </c>
      <c r="M155" s="72" t="s">
        <v>95</v>
      </c>
      <c r="N155" s="72" t="s">
        <v>609</v>
      </c>
      <c r="O155" s="72" t="s">
        <v>97</v>
      </c>
      <c r="P155" s="72" t="s">
        <v>97</v>
      </c>
      <c r="S155" s="72" t="s">
        <v>114</v>
      </c>
      <c r="T155" s="117" t="s">
        <v>114</v>
      </c>
      <c r="U155" s="72" t="s">
        <v>98</v>
      </c>
      <c r="V155" s="72" t="s">
        <v>99</v>
      </c>
      <c r="W155" s="72">
        <v>1</v>
      </c>
      <c r="X155" s="72" t="s">
        <v>610</v>
      </c>
      <c r="Y155" s="72" t="s">
        <v>611</v>
      </c>
      <c r="Z155" s="72" t="s">
        <v>568</v>
      </c>
      <c r="AA155" s="72" t="s">
        <v>569</v>
      </c>
      <c r="AB155" s="72" t="s">
        <v>612</v>
      </c>
      <c r="AC155" s="72" t="s">
        <v>105</v>
      </c>
      <c r="AG155" s="72">
        <v>3</v>
      </c>
      <c r="AH155" s="72" t="s">
        <v>90</v>
      </c>
      <c r="AI155" s="130" t="s">
        <v>613</v>
      </c>
      <c r="AJ155" s="72" t="s">
        <v>110</v>
      </c>
      <c r="AQ155" s="72" t="s">
        <v>155</v>
      </c>
      <c r="AR155" s="72" t="s">
        <v>119</v>
      </c>
      <c r="AS155" s="72" t="s">
        <v>114</v>
      </c>
      <c r="AT155" s="72" t="s">
        <v>120</v>
      </c>
      <c r="AU155" s="72" t="s">
        <v>116</v>
      </c>
      <c r="AV155" s="72" t="s">
        <v>587</v>
      </c>
      <c r="AW155" s="72">
        <v>2</v>
      </c>
      <c r="AX155" s="72" t="s">
        <v>588</v>
      </c>
      <c r="AY155" s="72" t="s">
        <v>119</v>
      </c>
      <c r="AZ155" s="72" t="s">
        <v>120</v>
      </c>
      <c r="BA155" s="72" t="s">
        <v>116</v>
      </c>
      <c r="BB155" s="72" t="s">
        <v>589</v>
      </c>
      <c r="BC155" s="72">
        <v>2</v>
      </c>
      <c r="BD155" s="72" t="s">
        <v>614</v>
      </c>
      <c r="BE155" s="72" t="s">
        <v>123</v>
      </c>
      <c r="BF155" s="72" t="s">
        <v>615</v>
      </c>
      <c r="BG155" s="72" t="s">
        <v>116</v>
      </c>
      <c r="BH155" s="72" t="s">
        <v>616</v>
      </c>
      <c r="BI155" s="72">
        <v>3</v>
      </c>
      <c r="BJ155" s="72">
        <v>5</v>
      </c>
      <c r="BK155" s="72" t="s">
        <v>629</v>
      </c>
      <c r="BL155" t="s">
        <v>355</v>
      </c>
      <c r="BM155" s="72" t="s">
        <v>592</v>
      </c>
      <c r="BN155" s="72">
        <v>-1.54371921287209E-4</v>
      </c>
      <c r="BO155" s="72">
        <v>1.5638475564506199E-3</v>
      </c>
      <c r="BP155" s="72">
        <v>6.7184896035087597E-3</v>
      </c>
      <c r="BQ155" s="72" t="s">
        <v>594</v>
      </c>
      <c r="BR155" s="72">
        <v>4</v>
      </c>
      <c r="BS155" s="72">
        <v>-1.54371921287209E-4</v>
      </c>
      <c r="BT155" s="72">
        <v>1.9933942328074299E-3</v>
      </c>
      <c r="BU155" s="72">
        <v>7.1480035075548801E-3</v>
      </c>
      <c r="BV155" s="72" t="s">
        <v>594</v>
      </c>
      <c r="BW155" s="72">
        <v>4</v>
      </c>
      <c r="BX155" s="72" t="s">
        <v>3191</v>
      </c>
      <c r="BY155" s="72">
        <v>1.9933942328074299E-3</v>
      </c>
      <c r="BZ155" s="72">
        <v>7.1480035075548801E-3</v>
      </c>
      <c r="CA155" s="92">
        <v>1.3149597058821785E-3</v>
      </c>
      <c r="CB155" s="92">
        <v>1.3149513455988392E-3</v>
      </c>
      <c r="CC155" s="72" t="s">
        <v>618</v>
      </c>
      <c r="CG155" t="s">
        <v>3095</v>
      </c>
    </row>
    <row r="156" spans="1:85" s="72" customFormat="1" ht="14.5">
      <c r="A156" s="72" t="s">
        <v>639</v>
      </c>
      <c r="B156" s="72" t="str">
        <f t="shared" si="0"/>
        <v>addtl8-2019</v>
      </c>
      <c r="C156" s="72">
        <v>2019</v>
      </c>
      <c r="D156" s="73" t="s">
        <v>640</v>
      </c>
      <c r="E156" s="74">
        <v>45044</v>
      </c>
      <c r="F156" s="72" t="s">
        <v>90</v>
      </c>
      <c r="G156" s="72" t="s">
        <v>495</v>
      </c>
      <c r="I156" s="73" t="s">
        <v>641</v>
      </c>
      <c r="J156" s="72" t="s">
        <v>642</v>
      </c>
      <c r="K156" s="72" t="s">
        <v>94</v>
      </c>
      <c r="L156" s="72" t="s">
        <v>94</v>
      </c>
      <c r="M156" s="72" t="s">
        <v>95</v>
      </c>
      <c r="N156" s="94" t="s">
        <v>643</v>
      </c>
      <c r="O156" s="81" t="s">
        <v>97</v>
      </c>
      <c r="P156" s="72" t="s">
        <v>97</v>
      </c>
      <c r="S156" s="72" t="s">
        <v>90</v>
      </c>
      <c r="T156" s="117" t="s">
        <v>114</v>
      </c>
      <c r="U156" s="72" t="s">
        <v>191</v>
      </c>
      <c r="V156" s="72" t="s">
        <v>99</v>
      </c>
      <c r="W156" s="72">
        <v>1</v>
      </c>
      <c r="X156" s="72" t="s">
        <v>635</v>
      </c>
      <c r="Y156" s="72" t="s">
        <v>211</v>
      </c>
      <c r="Z156" s="72" t="s">
        <v>568</v>
      </c>
      <c r="AA156" s="72" t="s">
        <v>3107</v>
      </c>
      <c r="AB156" s="72" t="s">
        <v>644</v>
      </c>
      <c r="AC156" s="72" t="s">
        <v>105</v>
      </c>
      <c r="AG156" s="72">
        <v>2</v>
      </c>
      <c r="AH156" s="72" t="s">
        <v>90</v>
      </c>
      <c r="AI156" s="72" t="s">
        <v>645</v>
      </c>
      <c r="AJ156" s="72" t="s">
        <v>637</v>
      </c>
      <c r="AQ156" s="72" t="s">
        <v>155</v>
      </c>
      <c r="AR156" s="72" t="s">
        <v>119</v>
      </c>
      <c r="AS156" s="72" t="s">
        <v>114</v>
      </c>
      <c r="AT156" s="72" t="s">
        <v>120</v>
      </c>
      <c r="AU156" s="72" t="s">
        <v>116</v>
      </c>
      <c r="AV156" t="s">
        <v>646</v>
      </c>
      <c r="AW156" s="72">
        <v>7</v>
      </c>
      <c r="AX156" s="72" t="s">
        <v>647</v>
      </c>
      <c r="AY156" s="72" t="s">
        <v>123</v>
      </c>
      <c r="BA156" s="72" t="s">
        <v>116</v>
      </c>
      <c r="BB156" s="72" t="s">
        <v>648</v>
      </c>
      <c r="BC156" s="72">
        <v>3</v>
      </c>
      <c r="BJ156" s="72">
        <v>0</v>
      </c>
      <c r="BK156" s="72" t="s">
        <v>649</v>
      </c>
      <c r="BL156" t="s">
        <v>511</v>
      </c>
      <c r="BM156" s="72" t="s">
        <v>650</v>
      </c>
      <c r="BN156" s="82">
        <v>0.103783</v>
      </c>
      <c r="BO156" s="72">
        <v>0.13650306712572</v>
      </c>
      <c r="BP156" s="82">
        <v>0.15695300000000001</v>
      </c>
      <c r="BQ156" s="72" t="s">
        <v>594</v>
      </c>
      <c r="BR156" s="72">
        <v>1</v>
      </c>
      <c r="BS156" s="72">
        <v>3.7832316999999997E-2</v>
      </c>
      <c r="BT156" s="72">
        <v>5.6748437183327401E-2</v>
      </c>
      <c r="BU156" s="72">
        <v>8.9979519999999993E-2</v>
      </c>
      <c r="BV156" s="72" t="s">
        <v>594</v>
      </c>
      <c r="BW156" s="72">
        <v>1</v>
      </c>
      <c r="BX156" s="72" t="s">
        <v>537</v>
      </c>
      <c r="BY156" s="72">
        <v>5.6748437183327401E-2</v>
      </c>
      <c r="BZ156" s="72">
        <v>8.9979519999999993E-2</v>
      </c>
      <c r="CA156" s="92">
        <v>1.0433639221571436E-2</v>
      </c>
      <c r="CB156" s="92">
        <v>1.695463409013908E-2</v>
      </c>
      <c r="CC156" s="72" t="s">
        <v>163</v>
      </c>
      <c r="CG156" t="s">
        <v>3095</v>
      </c>
    </row>
    <row r="157" spans="1:85" s="72" customFormat="1" ht="14.5">
      <c r="A157" s="72" t="s">
        <v>639</v>
      </c>
      <c r="B157" s="72" t="str">
        <f t="shared" si="0"/>
        <v>addtl8-2019</v>
      </c>
      <c r="C157" s="72">
        <v>2019</v>
      </c>
      <c r="D157" s="73" t="s">
        <v>640</v>
      </c>
      <c r="E157" s="74">
        <v>45044</v>
      </c>
      <c r="F157" s="72" t="s">
        <v>90</v>
      </c>
      <c r="G157" s="72" t="s">
        <v>495</v>
      </c>
      <c r="I157" s="73" t="s">
        <v>641</v>
      </c>
      <c r="J157" s="72" t="s">
        <v>642</v>
      </c>
      <c r="K157" s="72" t="s">
        <v>94</v>
      </c>
      <c r="L157" s="72" t="s">
        <v>94</v>
      </c>
      <c r="M157" s="72" t="s">
        <v>95</v>
      </c>
      <c r="N157" s="94" t="s">
        <v>643</v>
      </c>
      <c r="O157" s="81" t="s">
        <v>97</v>
      </c>
      <c r="P157" s="72" t="s">
        <v>97</v>
      </c>
      <c r="S157" s="72" t="s">
        <v>90</v>
      </c>
      <c r="T157" s="117" t="s">
        <v>114</v>
      </c>
      <c r="U157" s="72" t="s">
        <v>191</v>
      </c>
      <c r="V157" s="72" t="s">
        <v>99</v>
      </c>
      <c r="W157" s="72">
        <v>1</v>
      </c>
      <c r="X157" s="72" t="s">
        <v>635</v>
      </c>
      <c r="Y157" s="72" t="s">
        <v>211</v>
      </c>
      <c r="Z157" s="72" t="s">
        <v>568</v>
      </c>
      <c r="AA157" s="72" t="s">
        <v>3107</v>
      </c>
      <c r="AB157" s="72" t="s">
        <v>644</v>
      </c>
      <c r="AC157" s="72" t="s">
        <v>105</v>
      </c>
      <c r="AG157" s="72">
        <v>2</v>
      </c>
      <c r="AH157" s="72" t="s">
        <v>90</v>
      </c>
      <c r="AI157" s="72" t="s">
        <v>645</v>
      </c>
      <c r="AJ157" s="72" t="s">
        <v>637</v>
      </c>
      <c r="AQ157" s="72" t="s">
        <v>155</v>
      </c>
      <c r="AR157" s="72" t="s">
        <v>119</v>
      </c>
      <c r="AS157" s="72" t="s">
        <v>114</v>
      </c>
      <c r="AT157" s="72" t="s">
        <v>120</v>
      </c>
      <c r="AU157" s="72" t="s">
        <v>116</v>
      </c>
      <c r="AV157" t="s">
        <v>646</v>
      </c>
      <c r="AW157" s="72">
        <v>7</v>
      </c>
      <c r="AX157" s="72" t="s">
        <v>647</v>
      </c>
      <c r="AY157" s="72" t="s">
        <v>123</v>
      </c>
      <c r="BA157" s="72" t="s">
        <v>116</v>
      </c>
      <c r="BB157" s="72" t="s">
        <v>648</v>
      </c>
      <c r="BC157" s="72">
        <v>3</v>
      </c>
      <c r="BJ157" s="72">
        <v>0</v>
      </c>
      <c r="BK157" s="72" t="s">
        <v>651</v>
      </c>
      <c r="BL157" t="s">
        <v>511</v>
      </c>
      <c r="BM157" s="72" t="s">
        <v>650</v>
      </c>
      <c r="BN157" s="82">
        <v>5.1636000000000001E-2</v>
      </c>
      <c r="BO157" s="72">
        <v>7.4130896534959995E-2</v>
      </c>
      <c r="BP157" s="82">
        <v>0.100716</v>
      </c>
      <c r="BQ157" s="72" t="s">
        <v>594</v>
      </c>
      <c r="BR157" s="72">
        <v>1</v>
      </c>
      <c r="BS157" s="72">
        <v>3.7832316999999997E-2</v>
      </c>
      <c r="BT157" s="72">
        <v>5.6748437183327401E-2</v>
      </c>
      <c r="BU157" s="72">
        <v>8.9979519999999993E-2</v>
      </c>
      <c r="BV157" s="72" t="s">
        <v>594</v>
      </c>
      <c r="BW157" s="72">
        <v>1</v>
      </c>
      <c r="BX157" s="72" t="s">
        <v>537</v>
      </c>
      <c r="BY157" s="72">
        <v>5.6748437183327401E-2</v>
      </c>
      <c r="BZ157" s="72">
        <v>8.9979519999999993E-2</v>
      </c>
      <c r="CA157" s="92">
        <v>1.3563828298489799E-2</v>
      </c>
      <c r="CB157" s="92">
        <v>1.695463409013908E-2</v>
      </c>
      <c r="CC157" s="72" t="s">
        <v>163</v>
      </c>
      <c r="CG157" t="s">
        <v>3095</v>
      </c>
    </row>
    <row r="158" spans="1:85" s="72" customFormat="1" ht="14.5">
      <c r="A158" s="72" t="s">
        <v>639</v>
      </c>
      <c r="B158" s="72" t="str">
        <f t="shared" si="0"/>
        <v>addtl8-2019</v>
      </c>
      <c r="C158" s="72">
        <v>2019</v>
      </c>
      <c r="D158" s="73" t="s">
        <v>640</v>
      </c>
      <c r="E158" s="74">
        <v>45044</v>
      </c>
      <c r="F158" s="72" t="s">
        <v>90</v>
      </c>
      <c r="G158" s="72" t="s">
        <v>495</v>
      </c>
      <c r="I158" s="73" t="s">
        <v>641</v>
      </c>
      <c r="J158" s="72" t="s">
        <v>642</v>
      </c>
      <c r="K158" s="72" t="s">
        <v>94</v>
      </c>
      <c r="L158" s="72" t="s">
        <v>94</v>
      </c>
      <c r="M158" s="72" t="s">
        <v>95</v>
      </c>
      <c r="N158" s="94" t="s">
        <v>643</v>
      </c>
      <c r="O158" s="81" t="s">
        <v>97</v>
      </c>
      <c r="P158" s="72" t="s">
        <v>97</v>
      </c>
      <c r="S158" s="72" t="s">
        <v>90</v>
      </c>
      <c r="T158" s="117" t="s">
        <v>114</v>
      </c>
      <c r="U158" s="72" t="s">
        <v>191</v>
      </c>
      <c r="V158" s="72" t="s">
        <v>99</v>
      </c>
      <c r="W158" s="72">
        <v>1</v>
      </c>
      <c r="X158" s="72" t="s">
        <v>635</v>
      </c>
      <c r="Y158" s="72" t="s">
        <v>211</v>
      </c>
      <c r="Z158" s="72" t="s">
        <v>568</v>
      </c>
      <c r="AA158" s="72" t="s">
        <v>3107</v>
      </c>
      <c r="AB158" s="72" t="s">
        <v>644</v>
      </c>
      <c r="AC158" s="72" t="s">
        <v>105</v>
      </c>
      <c r="AG158" s="72">
        <v>2</v>
      </c>
      <c r="AH158" s="72" t="s">
        <v>90</v>
      </c>
      <c r="AI158" s="72" t="s">
        <v>645</v>
      </c>
      <c r="AJ158" s="72" t="s">
        <v>637</v>
      </c>
      <c r="AQ158" s="72" t="s">
        <v>155</v>
      </c>
      <c r="AR158" s="72" t="s">
        <v>119</v>
      </c>
      <c r="AS158" s="72" t="s">
        <v>114</v>
      </c>
      <c r="AT158" s="72" t="s">
        <v>120</v>
      </c>
      <c r="AU158" s="72" t="s">
        <v>116</v>
      </c>
      <c r="AV158" t="s">
        <v>646</v>
      </c>
      <c r="AW158" s="72">
        <v>7</v>
      </c>
      <c r="AX158" s="72" t="s">
        <v>647</v>
      </c>
      <c r="AY158" s="72" t="s">
        <v>123</v>
      </c>
      <c r="BA158" s="72" t="s">
        <v>116</v>
      </c>
      <c r="BB158" s="72" t="s">
        <v>648</v>
      </c>
      <c r="BC158" s="72">
        <v>3</v>
      </c>
      <c r="BJ158" s="72">
        <v>0</v>
      </c>
      <c r="BK158" s="72" t="s">
        <v>652</v>
      </c>
      <c r="BL158" t="s">
        <v>511</v>
      </c>
      <c r="BM158" s="72" t="s">
        <v>650</v>
      </c>
      <c r="BN158" s="82">
        <v>0.11503099999999999</v>
      </c>
      <c r="BO158" s="72">
        <v>0.14519427729899401</v>
      </c>
      <c r="BP158" s="82">
        <v>0.16462199999999999</v>
      </c>
      <c r="BQ158" s="72" t="s">
        <v>594</v>
      </c>
      <c r="BR158" s="72">
        <v>1</v>
      </c>
      <c r="BS158" s="72">
        <v>3.7832316999999997E-2</v>
      </c>
      <c r="BT158" s="72">
        <v>5.6748437183327401E-2</v>
      </c>
      <c r="BU158" s="72">
        <v>8.9979519999999993E-2</v>
      </c>
      <c r="BV158" s="72" t="s">
        <v>594</v>
      </c>
      <c r="BW158" s="72">
        <v>1</v>
      </c>
      <c r="BX158" s="72" t="s">
        <v>537</v>
      </c>
      <c r="BY158" s="72">
        <v>5.6748437183327401E-2</v>
      </c>
      <c r="BZ158" s="72">
        <v>8.9979519999999993E-2</v>
      </c>
      <c r="CA158" s="92">
        <v>9.912103418880604E-3</v>
      </c>
      <c r="CB158" s="92">
        <v>1.695463409013908E-2</v>
      </c>
      <c r="CC158" s="72" t="s">
        <v>163</v>
      </c>
      <c r="CG158" t="s">
        <v>3095</v>
      </c>
    </row>
    <row r="159" spans="1:85" s="72" customFormat="1" ht="14.5">
      <c r="A159" s="72" t="s">
        <v>639</v>
      </c>
      <c r="B159" s="72" t="str">
        <f t="shared" si="0"/>
        <v>addtl8-2019</v>
      </c>
      <c r="C159" s="72">
        <v>2019</v>
      </c>
      <c r="D159" s="73" t="s">
        <v>640</v>
      </c>
      <c r="E159" s="74">
        <v>45044</v>
      </c>
      <c r="F159" s="72" t="s">
        <v>90</v>
      </c>
      <c r="G159" s="72" t="s">
        <v>495</v>
      </c>
      <c r="I159" s="73" t="s">
        <v>641</v>
      </c>
      <c r="J159" s="72" t="s">
        <v>642</v>
      </c>
      <c r="K159" s="72" t="s">
        <v>94</v>
      </c>
      <c r="L159" s="72" t="s">
        <v>94</v>
      </c>
      <c r="M159" s="72" t="s">
        <v>95</v>
      </c>
      <c r="N159" s="94" t="s">
        <v>643</v>
      </c>
      <c r="O159" s="81" t="s">
        <v>97</v>
      </c>
      <c r="P159" s="72" t="s">
        <v>97</v>
      </c>
      <c r="S159" s="72" t="s">
        <v>90</v>
      </c>
      <c r="T159" s="117" t="s">
        <v>114</v>
      </c>
      <c r="U159" s="72" t="s">
        <v>191</v>
      </c>
      <c r="V159" s="72" t="s">
        <v>99</v>
      </c>
      <c r="W159" s="72">
        <v>1</v>
      </c>
      <c r="X159" s="72" t="s">
        <v>635</v>
      </c>
      <c r="Y159" s="72" t="s">
        <v>211</v>
      </c>
      <c r="Z159" s="72" t="s">
        <v>568</v>
      </c>
      <c r="AA159" s="72" t="s">
        <v>3107</v>
      </c>
      <c r="AB159" s="72" t="s">
        <v>644</v>
      </c>
      <c r="AC159" s="72" t="s">
        <v>105</v>
      </c>
      <c r="AG159" s="72">
        <v>2</v>
      </c>
      <c r="AH159" s="72" t="s">
        <v>90</v>
      </c>
      <c r="AI159" s="72" t="s">
        <v>645</v>
      </c>
      <c r="AJ159" s="72" t="s">
        <v>637</v>
      </c>
      <c r="AQ159" s="72" t="s">
        <v>155</v>
      </c>
      <c r="AR159" s="72" t="s">
        <v>119</v>
      </c>
      <c r="AS159" s="72" t="s">
        <v>114</v>
      </c>
      <c r="AT159" s="72" t="s">
        <v>120</v>
      </c>
      <c r="AU159" s="72" t="s">
        <v>116</v>
      </c>
      <c r="AV159" t="s">
        <v>646</v>
      </c>
      <c r="AW159" s="72">
        <v>7</v>
      </c>
      <c r="AX159" s="72" t="s">
        <v>647</v>
      </c>
      <c r="AY159" s="72" t="s">
        <v>123</v>
      </c>
      <c r="BA159" s="72" t="s">
        <v>116</v>
      </c>
      <c r="BB159" s="72" t="s">
        <v>648</v>
      </c>
      <c r="BC159" s="72">
        <v>3</v>
      </c>
      <c r="BJ159" s="72">
        <v>6</v>
      </c>
      <c r="BK159" s="72" t="s">
        <v>653</v>
      </c>
      <c r="BL159" t="s">
        <v>511</v>
      </c>
      <c r="BM159" s="72" t="s">
        <v>650</v>
      </c>
      <c r="BN159" s="82">
        <v>0.15490799999999999</v>
      </c>
      <c r="BO159" s="72">
        <v>0.15848672212357401</v>
      </c>
      <c r="BP159" s="82">
        <v>0.19222900000000001</v>
      </c>
      <c r="BQ159" s="72" t="s">
        <v>594</v>
      </c>
      <c r="BR159" s="72">
        <v>1</v>
      </c>
      <c r="BS159" s="72">
        <v>0.119120666</v>
      </c>
      <c r="BT159" s="72">
        <v>0.14570553642832901</v>
      </c>
      <c r="BU159" s="72">
        <v>0.15950920099999999</v>
      </c>
      <c r="BV159" s="72" t="s">
        <v>594</v>
      </c>
      <c r="BW159" s="72">
        <v>1</v>
      </c>
      <c r="BX159" s="72" t="s">
        <v>537</v>
      </c>
      <c r="BY159" s="72">
        <v>0.14570553642832901</v>
      </c>
      <c r="BZ159" s="72">
        <v>0.15950920099999999</v>
      </c>
      <c r="CA159" s="92">
        <v>1.7215447896135716E-2</v>
      </c>
      <c r="CB159" s="92">
        <v>7.0426860059545826E-3</v>
      </c>
      <c r="CC159" s="72" t="s">
        <v>163</v>
      </c>
      <c r="CG159" t="s">
        <v>3095</v>
      </c>
    </row>
    <row r="160" spans="1:85" s="72" customFormat="1" ht="14.5">
      <c r="A160" s="72" t="s">
        <v>639</v>
      </c>
      <c r="B160" s="72" t="str">
        <f t="shared" si="0"/>
        <v>addtl8-2019</v>
      </c>
      <c r="C160" s="72">
        <v>2019</v>
      </c>
      <c r="D160" s="73" t="s">
        <v>640</v>
      </c>
      <c r="E160" s="74">
        <v>45044</v>
      </c>
      <c r="F160" s="72" t="s">
        <v>90</v>
      </c>
      <c r="G160" s="72" t="s">
        <v>495</v>
      </c>
      <c r="I160" s="73" t="s">
        <v>641</v>
      </c>
      <c r="J160" s="72" t="s">
        <v>642</v>
      </c>
      <c r="K160" s="72" t="s">
        <v>94</v>
      </c>
      <c r="L160" s="72" t="s">
        <v>94</v>
      </c>
      <c r="M160" s="72" t="s">
        <v>95</v>
      </c>
      <c r="N160" s="94" t="s">
        <v>643</v>
      </c>
      <c r="O160" s="81" t="s">
        <v>97</v>
      </c>
      <c r="P160" s="72" t="s">
        <v>97</v>
      </c>
      <c r="S160" s="72" t="s">
        <v>90</v>
      </c>
      <c r="T160" s="117" t="s">
        <v>114</v>
      </c>
      <c r="U160" s="72" t="s">
        <v>191</v>
      </c>
      <c r="V160" s="72" t="s">
        <v>99</v>
      </c>
      <c r="W160" s="72">
        <v>1</v>
      </c>
      <c r="X160" s="72" t="s">
        <v>635</v>
      </c>
      <c r="Y160" s="72" t="s">
        <v>211</v>
      </c>
      <c r="Z160" s="72" t="s">
        <v>568</v>
      </c>
      <c r="AA160" s="72" t="s">
        <v>3107</v>
      </c>
      <c r="AB160" s="72" t="s">
        <v>644</v>
      </c>
      <c r="AC160" s="72" t="s">
        <v>105</v>
      </c>
      <c r="AG160" s="72">
        <v>2</v>
      </c>
      <c r="AH160" s="72" t="s">
        <v>90</v>
      </c>
      <c r="AI160" s="72" t="s">
        <v>645</v>
      </c>
      <c r="AJ160" s="72" t="s">
        <v>637</v>
      </c>
      <c r="AQ160" s="72" t="s">
        <v>155</v>
      </c>
      <c r="AR160" s="72" t="s">
        <v>119</v>
      </c>
      <c r="AS160" s="72" t="s">
        <v>114</v>
      </c>
      <c r="AT160" s="72" t="s">
        <v>120</v>
      </c>
      <c r="AU160" s="72" t="s">
        <v>116</v>
      </c>
      <c r="AV160" t="s">
        <v>646</v>
      </c>
      <c r="AW160" s="72">
        <v>7</v>
      </c>
      <c r="AX160" s="72" t="s">
        <v>647</v>
      </c>
      <c r="AY160" s="72" t="s">
        <v>123</v>
      </c>
      <c r="BA160" s="72" t="s">
        <v>116</v>
      </c>
      <c r="BB160" s="72" t="s">
        <v>648</v>
      </c>
      <c r="BC160" s="72">
        <v>3</v>
      </c>
      <c r="BJ160" s="72">
        <v>6</v>
      </c>
      <c r="BK160" s="72" t="s">
        <v>654</v>
      </c>
      <c r="BL160" t="s">
        <v>511</v>
      </c>
      <c r="BM160" s="72" t="s">
        <v>650</v>
      </c>
      <c r="BN160" s="82">
        <v>0.110941</v>
      </c>
      <c r="BO160" s="72">
        <v>0.137014326255054</v>
      </c>
      <c r="BP160" s="82">
        <v>0.14775099999999999</v>
      </c>
      <c r="BQ160" s="72" t="s">
        <v>594</v>
      </c>
      <c r="BR160" s="72">
        <v>1</v>
      </c>
      <c r="BS160" s="72">
        <v>0.119120666</v>
      </c>
      <c r="BT160" s="72">
        <v>0.14570553642832901</v>
      </c>
      <c r="BU160" s="72">
        <v>0.15950920099999999</v>
      </c>
      <c r="BV160" s="72" t="s">
        <v>594</v>
      </c>
      <c r="BW160" s="72">
        <v>1</v>
      </c>
      <c r="BX160" s="72" t="s">
        <v>537</v>
      </c>
      <c r="BY160" s="72">
        <v>0.14570553642832901</v>
      </c>
      <c r="BZ160" s="72">
        <v>0.15950920099999999</v>
      </c>
      <c r="CA160" s="92">
        <v>5.4778947678295895E-3</v>
      </c>
      <c r="CB160" s="92">
        <v>7.0426860059545826E-3</v>
      </c>
      <c r="CC160" s="72" t="s">
        <v>163</v>
      </c>
      <c r="CG160" t="s">
        <v>3095</v>
      </c>
    </row>
    <row r="161" spans="1:85" s="72" customFormat="1" ht="14.5">
      <c r="A161" s="72" t="s">
        <v>639</v>
      </c>
      <c r="B161" s="72" t="str">
        <f t="shared" si="0"/>
        <v>addtl8-2019</v>
      </c>
      <c r="C161" s="72">
        <v>2019</v>
      </c>
      <c r="D161" s="73" t="s">
        <v>640</v>
      </c>
      <c r="E161" s="74">
        <v>45044</v>
      </c>
      <c r="F161" s="72" t="s">
        <v>90</v>
      </c>
      <c r="G161" s="72" t="s">
        <v>495</v>
      </c>
      <c r="I161" s="73" t="s">
        <v>641</v>
      </c>
      <c r="J161" s="72" t="s">
        <v>642</v>
      </c>
      <c r="K161" s="72" t="s">
        <v>94</v>
      </c>
      <c r="L161" s="72" t="s">
        <v>94</v>
      </c>
      <c r="M161" s="72" t="s">
        <v>95</v>
      </c>
      <c r="N161" s="94" t="s">
        <v>643</v>
      </c>
      <c r="O161" s="81" t="s">
        <v>97</v>
      </c>
      <c r="P161" s="72" t="s">
        <v>97</v>
      </c>
      <c r="S161" s="72" t="s">
        <v>90</v>
      </c>
      <c r="T161" s="117" t="s">
        <v>114</v>
      </c>
      <c r="U161" s="72" t="s">
        <v>191</v>
      </c>
      <c r="V161" s="72" t="s">
        <v>99</v>
      </c>
      <c r="W161" s="72">
        <v>1</v>
      </c>
      <c r="X161" s="72" t="s">
        <v>635</v>
      </c>
      <c r="Y161" s="72" t="s">
        <v>211</v>
      </c>
      <c r="Z161" s="72" t="s">
        <v>568</v>
      </c>
      <c r="AA161" s="72" t="s">
        <v>3107</v>
      </c>
      <c r="AB161" s="72" t="s">
        <v>644</v>
      </c>
      <c r="AC161" s="72" t="s">
        <v>105</v>
      </c>
      <c r="AG161" s="72">
        <v>2</v>
      </c>
      <c r="AH161" s="72" t="s">
        <v>90</v>
      </c>
      <c r="AI161" s="72" t="s">
        <v>645</v>
      </c>
      <c r="AJ161" s="72" t="s">
        <v>637</v>
      </c>
      <c r="AQ161" s="72" t="s">
        <v>155</v>
      </c>
      <c r="AR161" s="72" t="s">
        <v>119</v>
      </c>
      <c r="AS161" s="72" t="s">
        <v>114</v>
      </c>
      <c r="AT161" s="72" t="s">
        <v>120</v>
      </c>
      <c r="AU161" s="72" t="s">
        <v>116</v>
      </c>
      <c r="AV161" t="s">
        <v>646</v>
      </c>
      <c r="AW161" s="72">
        <v>7</v>
      </c>
      <c r="AX161" s="72" t="s">
        <v>647</v>
      </c>
      <c r="AY161" s="72" t="s">
        <v>123</v>
      </c>
      <c r="BA161" s="72" t="s">
        <v>116</v>
      </c>
      <c r="BB161" s="72" t="s">
        <v>648</v>
      </c>
      <c r="BC161" s="72">
        <v>3</v>
      </c>
      <c r="BJ161" s="72">
        <v>6</v>
      </c>
      <c r="BK161" s="72" t="s">
        <v>655</v>
      </c>
      <c r="BL161" t="s">
        <v>511</v>
      </c>
      <c r="BM161" s="72" t="s">
        <v>650</v>
      </c>
      <c r="BN161" s="82">
        <v>0.15490799999999999</v>
      </c>
      <c r="BO161" s="72">
        <v>0.169222910306562</v>
      </c>
      <c r="BP161" s="82">
        <v>0.19273999999999999</v>
      </c>
      <c r="BQ161" s="72" t="s">
        <v>594</v>
      </c>
      <c r="BR161" s="72">
        <v>1</v>
      </c>
      <c r="BS161" s="72">
        <v>0.119120666</v>
      </c>
      <c r="BT161" s="72">
        <v>0.14570553642832901</v>
      </c>
      <c r="BU161" s="72">
        <v>0.15950920099999999</v>
      </c>
      <c r="BV161" s="72" t="s">
        <v>594</v>
      </c>
      <c r="BW161" s="72">
        <v>1</v>
      </c>
      <c r="BX161" s="72" t="s">
        <v>537</v>
      </c>
      <c r="BY161" s="72">
        <v>0.14570553642832901</v>
      </c>
      <c r="BZ161" s="72">
        <v>0.15950920099999999</v>
      </c>
      <c r="CA161" s="92">
        <v>1.1998515149713262E-2</v>
      </c>
      <c r="CB161" s="92">
        <v>7.0426860059545826E-3</v>
      </c>
      <c r="CC161" s="72" t="s">
        <v>163</v>
      </c>
      <c r="CG161" t="s">
        <v>3095</v>
      </c>
    </row>
    <row r="162" spans="1:85" s="72" customFormat="1" ht="14.5">
      <c r="A162" s="72" t="s">
        <v>639</v>
      </c>
      <c r="B162" s="72" t="str">
        <f t="shared" si="0"/>
        <v>addtl8-2019</v>
      </c>
      <c r="C162" s="72">
        <v>2019</v>
      </c>
      <c r="D162" s="73" t="s">
        <v>640</v>
      </c>
      <c r="E162" s="74">
        <v>45044</v>
      </c>
      <c r="F162" s="72" t="s">
        <v>90</v>
      </c>
      <c r="G162" s="72" t="s">
        <v>495</v>
      </c>
      <c r="I162" s="73" t="s">
        <v>641</v>
      </c>
      <c r="J162" s="72" t="s">
        <v>642</v>
      </c>
      <c r="K162" s="72" t="s">
        <v>94</v>
      </c>
      <c r="L162" s="72" t="s">
        <v>94</v>
      </c>
      <c r="M162" s="72" t="s">
        <v>95</v>
      </c>
      <c r="N162" s="94" t="s">
        <v>643</v>
      </c>
      <c r="O162" s="81" t="s">
        <v>97</v>
      </c>
      <c r="P162" s="72" t="s">
        <v>97</v>
      </c>
      <c r="S162" s="72" t="s">
        <v>90</v>
      </c>
      <c r="T162" s="117" t="s">
        <v>114</v>
      </c>
      <c r="U162" s="72" t="s">
        <v>191</v>
      </c>
      <c r="V162" s="72" t="s">
        <v>99</v>
      </c>
      <c r="W162" s="72">
        <v>1</v>
      </c>
      <c r="X162" s="72" t="s">
        <v>635</v>
      </c>
      <c r="Y162" s="72" t="s">
        <v>211</v>
      </c>
      <c r="Z162" s="72" t="s">
        <v>568</v>
      </c>
      <c r="AA162" s="72" t="s">
        <v>3107</v>
      </c>
      <c r="AB162" s="72" t="s">
        <v>644</v>
      </c>
      <c r="AC162" s="72" t="s">
        <v>105</v>
      </c>
      <c r="AG162" s="72">
        <v>2</v>
      </c>
      <c r="AH162" s="72" t="s">
        <v>90</v>
      </c>
      <c r="AI162" s="72" t="s">
        <v>645</v>
      </c>
      <c r="AJ162" s="72" t="s">
        <v>637</v>
      </c>
      <c r="AQ162" s="72" t="s">
        <v>155</v>
      </c>
      <c r="AR162" s="72" t="s">
        <v>119</v>
      </c>
      <c r="AS162" s="72" t="s">
        <v>114</v>
      </c>
      <c r="AT162" s="72" t="s">
        <v>120</v>
      </c>
      <c r="AU162" s="72" t="s">
        <v>116</v>
      </c>
      <c r="AV162" t="s">
        <v>646</v>
      </c>
      <c r="AW162" s="72">
        <v>7</v>
      </c>
      <c r="AX162" s="72" t="s">
        <v>647</v>
      </c>
      <c r="AY162" s="72" t="s">
        <v>123</v>
      </c>
      <c r="BA162" s="72" t="s">
        <v>116</v>
      </c>
      <c r="BB162" s="72" t="s">
        <v>648</v>
      </c>
      <c r="BC162" s="72">
        <v>3</v>
      </c>
      <c r="BJ162" s="72">
        <v>12</v>
      </c>
      <c r="BK162" s="72" t="s">
        <v>656</v>
      </c>
      <c r="BL162" t="s">
        <v>511</v>
      </c>
      <c r="BM162" s="72" t="s">
        <v>650</v>
      </c>
      <c r="BN162" s="82">
        <v>0.15490799999999999</v>
      </c>
      <c r="BO162" s="72">
        <v>0.17433538458466</v>
      </c>
      <c r="BP162" s="82">
        <v>0.191718</v>
      </c>
      <c r="BQ162" s="72" t="s">
        <v>594</v>
      </c>
      <c r="BR162" s="72">
        <v>1</v>
      </c>
      <c r="BS162" s="72">
        <v>0.13701432599999999</v>
      </c>
      <c r="BT162" s="83">
        <v>0.169222910306562</v>
      </c>
      <c r="BU162" s="72">
        <v>0.176380382</v>
      </c>
      <c r="BV162" s="72" t="s">
        <v>594</v>
      </c>
      <c r="BW162" s="72">
        <v>1</v>
      </c>
      <c r="BX162" s="72" t="s">
        <v>537</v>
      </c>
      <c r="BY162" s="83">
        <v>0.169222910306562</v>
      </c>
      <c r="BZ162" s="72">
        <v>0.176380382</v>
      </c>
      <c r="CA162" s="92">
        <v>8.8686813343571442E-3</v>
      </c>
      <c r="CB162" s="92">
        <v>3.6517712721622448E-3</v>
      </c>
      <c r="CC162" s="72" t="s">
        <v>163</v>
      </c>
      <c r="CG162" t="s">
        <v>3095</v>
      </c>
    </row>
    <row r="163" spans="1:85" s="72" customFormat="1" ht="14.5">
      <c r="A163" s="72" t="s">
        <v>639</v>
      </c>
      <c r="B163" s="72" t="str">
        <f t="shared" si="0"/>
        <v>addtl8-2019</v>
      </c>
      <c r="C163" s="72">
        <v>2019</v>
      </c>
      <c r="D163" s="73" t="s">
        <v>640</v>
      </c>
      <c r="E163" s="74">
        <v>45044</v>
      </c>
      <c r="F163" s="72" t="s">
        <v>90</v>
      </c>
      <c r="G163" s="72" t="s">
        <v>495</v>
      </c>
      <c r="I163" s="73" t="s">
        <v>641</v>
      </c>
      <c r="J163" s="72" t="s">
        <v>642</v>
      </c>
      <c r="K163" s="72" t="s">
        <v>94</v>
      </c>
      <c r="L163" s="72" t="s">
        <v>94</v>
      </c>
      <c r="M163" s="72" t="s">
        <v>95</v>
      </c>
      <c r="N163" s="94" t="s">
        <v>643</v>
      </c>
      <c r="O163" s="81" t="s">
        <v>97</v>
      </c>
      <c r="P163" s="72" t="s">
        <v>97</v>
      </c>
      <c r="S163" s="72" t="s">
        <v>90</v>
      </c>
      <c r="T163" s="117" t="s">
        <v>114</v>
      </c>
      <c r="U163" s="72" t="s">
        <v>191</v>
      </c>
      <c r="V163" s="72" t="s">
        <v>99</v>
      </c>
      <c r="W163" s="72">
        <v>1</v>
      </c>
      <c r="X163" s="72" t="s">
        <v>635</v>
      </c>
      <c r="Y163" s="72" t="s">
        <v>211</v>
      </c>
      <c r="Z163" s="72" t="s">
        <v>568</v>
      </c>
      <c r="AA163" s="72" t="s">
        <v>3107</v>
      </c>
      <c r="AB163" s="72" t="s">
        <v>644</v>
      </c>
      <c r="AC163" s="72" t="s">
        <v>105</v>
      </c>
      <c r="AG163" s="72">
        <v>2</v>
      </c>
      <c r="AH163" s="72" t="s">
        <v>90</v>
      </c>
      <c r="AI163" s="72" t="s">
        <v>645</v>
      </c>
      <c r="AJ163" s="72" t="s">
        <v>637</v>
      </c>
      <c r="AQ163" s="72" t="s">
        <v>155</v>
      </c>
      <c r="AR163" s="72" t="s">
        <v>119</v>
      </c>
      <c r="AS163" s="72" t="s">
        <v>114</v>
      </c>
      <c r="AT163" s="72" t="s">
        <v>120</v>
      </c>
      <c r="AU163" s="72" t="s">
        <v>116</v>
      </c>
      <c r="AV163" t="s">
        <v>646</v>
      </c>
      <c r="AW163" s="72">
        <v>7</v>
      </c>
      <c r="AX163" s="72" t="s">
        <v>647</v>
      </c>
      <c r="AY163" s="72" t="s">
        <v>123</v>
      </c>
      <c r="BA163" s="72" t="s">
        <v>116</v>
      </c>
      <c r="BB163" s="72" t="s">
        <v>648</v>
      </c>
      <c r="BC163" s="72">
        <v>3</v>
      </c>
      <c r="BJ163" s="72">
        <v>12</v>
      </c>
      <c r="BK163" s="72" t="s">
        <v>657</v>
      </c>
      <c r="BL163" t="s">
        <v>511</v>
      </c>
      <c r="BM163" s="72" t="s">
        <v>650</v>
      </c>
      <c r="BN163" s="82">
        <v>0.128834</v>
      </c>
      <c r="BO163" s="72">
        <v>0.143660538916073</v>
      </c>
      <c r="BP163" s="82">
        <v>0.161554</v>
      </c>
      <c r="BQ163" s="72" t="s">
        <v>594</v>
      </c>
      <c r="BR163" s="72">
        <v>1</v>
      </c>
      <c r="BS163" s="72">
        <v>0.13701432599999999</v>
      </c>
      <c r="BT163" s="83">
        <v>0.169222910306562</v>
      </c>
      <c r="BU163" s="72">
        <v>0.176380382</v>
      </c>
      <c r="BV163" s="72" t="s">
        <v>594</v>
      </c>
      <c r="BW163" s="72">
        <v>1</v>
      </c>
      <c r="BX163" s="72" t="s">
        <v>537</v>
      </c>
      <c r="BY163" s="83">
        <v>0.169222910306562</v>
      </c>
      <c r="BZ163" s="72">
        <v>0.176380382</v>
      </c>
      <c r="CA163" s="92">
        <v>9.1293168795545943E-3</v>
      </c>
      <c r="CB163" s="92">
        <v>3.6517712721622448E-3</v>
      </c>
      <c r="CC163" s="72" t="s">
        <v>163</v>
      </c>
      <c r="CG163" t="s">
        <v>3095</v>
      </c>
    </row>
    <row r="164" spans="1:85" s="72" customFormat="1" ht="14.5">
      <c r="A164" s="72" t="s">
        <v>639</v>
      </c>
      <c r="B164" s="72" t="str">
        <f t="shared" si="0"/>
        <v>addtl8-2019</v>
      </c>
      <c r="C164" s="72">
        <v>2019</v>
      </c>
      <c r="D164" s="73" t="s">
        <v>640</v>
      </c>
      <c r="E164" s="74">
        <v>45044</v>
      </c>
      <c r="F164" s="72" t="s">
        <v>90</v>
      </c>
      <c r="G164" s="72" t="s">
        <v>495</v>
      </c>
      <c r="I164" s="73" t="s">
        <v>641</v>
      </c>
      <c r="J164" s="72" t="s">
        <v>642</v>
      </c>
      <c r="K164" s="72" t="s">
        <v>94</v>
      </c>
      <c r="L164" s="72" t="s">
        <v>94</v>
      </c>
      <c r="M164" s="72" t="s">
        <v>95</v>
      </c>
      <c r="N164" s="94" t="s">
        <v>643</v>
      </c>
      <c r="O164" s="81" t="s">
        <v>97</v>
      </c>
      <c r="P164" s="72" t="s">
        <v>97</v>
      </c>
      <c r="S164" s="72" t="s">
        <v>90</v>
      </c>
      <c r="T164" s="117" t="s">
        <v>114</v>
      </c>
      <c r="U164" s="72" t="s">
        <v>191</v>
      </c>
      <c r="V164" s="72" t="s">
        <v>99</v>
      </c>
      <c r="W164" s="72">
        <v>1</v>
      </c>
      <c r="X164" s="72" t="s">
        <v>635</v>
      </c>
      <c r="Y164" s="72" t="s">
        <v>211</v>
      </c>
      <c r="Z164" s="72" t="s">
        <v>568</v>
      </c>
      <c r="AA164" s="72" t="s">
        <v>3107</v>
      </c>
      <c r="AB164" s="72" t="s">
        <v>644</v>
      </c>
      <c r="AC164" s="72" t="s">
        <v>105</v>
      </c>
      <c r="AG164" s="72">
        <v>2</v>
      </c>
      <c r="AH164" s="72" t="s">
        <v>90</v>
      </c>
      <c r="AI164" s="72" t="s">
        <v>645</v>
      </c>
      <c r="AJ164" s="72" t="s">
        <v>637</v>
      </c>
      <c r="AQ164" s="72" t="s">
        <v>155</v>
      </c>
      <c r="AR164" s="72" t="s">
        <v>119</v>
      </c>
      <c r="AS164" s="72" t="s">
        <v>114</v>
      </c>
      <c r="AT164" s="72" t="s">
        <v>120</v>
      </c>
      <c r="AU164" s="72" t="s">
        <v>116</v>
      </c>
      <c r="AV164" t="s">
        <v>646</v>
      </c>
      <c r="AW164" s="72">
        <v>7</v>
      </c>
      <c r="AX164" s="72" t="s">
        <v>647</v>
      </c>
      <c r="AY164" s="72" t="s">
        <v>123</v>
      </c>
      <c r="BA164" s="72" t="s">
        <v>116</v>
      </c>
      <c r="BB164" s="72" t="s">
        <v>648</v>
      </c>
      <c r="BC164" s="72">
        <v>3</v>
      </c>
      <c r="BJ164" s="72">
        <v>12</v>
      </c>
      <c r="BK164" s="72" t="s">
        <v>658</v>
      </c>
      <c r="BL164" t="s">
        <v>511</v>
      </c>
      <c r="BM164" s="72" t="s">
        <v>650</v>
      </c>
      <c r="BN164" s="82">
        <v>0.15695300000000001</v>
      </c>
      <c r="BO164" s="72">
        <v>0.17126790781881801</v>
      </c>
      <c r="BP164" s="82">
        <v>0.188139</v>
      </c>
      <c r="BQ164" s="72" t="s">
        <v>594</v>
      </c>
      <c r="BR164" s="72">
        <v>1</v>
      </c>
      <c r="BS164" s="72">
        <v>0.13701432599999999</v>
      </c>
      <c r="BT164" s="83">
        <v>0.169222910306562</v>
      </c>
      <c r="BU164" s="72">
        <v>0.176380382</v>
      </c>
      <c r="BV164" s="72" t="s">
        <v>594</v>
      </c>
      <c r="BW164" s="72">
        <v>1</v>
      </c>
      <c r="BX164" s="72" t="s">
        <v>537</v>
      </c>
      <c r="BY164" s="83">
        <v>0.169222910306562</v>
      </c>
      <c r="BZ164" s="72">
        <v>0.176380382</v>
      </c>
      <c r="CA164" s="92">
        <v>8.6077000924397913E-3</v>
      </c>
      <c r="CB164" s="92">
        <v>3.6517712721622448E-3</v>
      </c>
      <c r="CC164" s="72" t="s">
        <v>163</v>
      </c>
      <c r="CG164" t="s">
        <v>3095</v>
      </c>
    </row>
    <row r="165" spans="1:85" s="72" customFormat="1" ht="14.5">
      <c r="A165" s="72" t="s">
        <v>639</v>
      </c>
      <c r="B165" s="72" t="str">
        <f t="shared" ref="B165:B184" si="1">A165&amp;"-"&amp;C165</f>
        <v>addtl8-2019</v>
      </c>
      <c r="C165" s="72">
        <v>2019</v>
      </c>
      <c r="D165" s="73" t="s">
        <v>640</v>
      </c>
      <c r="E165" s="74">
        <v>45044</v>
      </c>
      <c r="F165" s="72" t="s">
        <v>90</v>
      </c>
      <c r="G165" s="72" t="s">
        <v>495</v>
      </c>
      <c r="I165" s="73" t="s">
        <v>641</v>
      </c>
      <c r="J165" s="72" t="s">
        <v>642</v>
      </c>
      <c r="K165" s="72" t="s">
        <v>94</v>
      </c>
      <c r="L165" s="72" t="s">
        <v>94</v>
      </c>
      <c r="M165" s="72" t="s">
        <v>95</v>
      </c>
      <c r="N165" s="94" t="s">
        <v>643</v>
      </c>
      <c r="O165" s="81" t="s">
        <v>97</v>
      </c>
      <c r="P165" s="72" t="s">
        <v>97</v>
      </c>
      <c r="S165" s="72" t="s">
        <v>90</v>
      </c>
      <c r="T165" s="117" t="s">
        <v>114</v>
      </c>
      <c r="U165" s="72" t="s">
        <v>191</v>
      </c>
      <c r="V165" s="72" t="s">
        <v>99</v>
      </c>
      <c r="W165" s="72">
        <v>1</v>
      </c>
      <c r="X165" s="72" t="s">
        <v>635</v>
      </c>
      <c r="Y165" s="72" t="s">
        <v>211</v>
      </c>
      <c r="Z165" s="72" t="s">
        <v>568</v>
      </c>
      <c r="AA165" s="72" t="s">
        <v>3107</v>
      </c>
      <c r="AB165" s="72" t="s">
        <v>644</v>
      </c>
      <c r="AC165" s="72" t="s">
        <v>105</v>
      </c>
      <c r="AG165" s="72">
        <v>2</v>
      </c>
      <c r="AH165" s="72" t="s">
        <v>90</v>
      </c>
      <c r="AI165" s="72" t="s">
        <v>645</v>
      </c>
      <c r="AJ165" s="72" t="s">
        <v>637</v>
      </c>
      <c r="AQ165" s="72" t="s">
        <v>155</v>
      </c>
      <c r="AR165" s="72" t="s">
        <v>119</v>
      </c>
      <c r="AS165" s="72" t="s">
        <v>114</v>
      </c>
      <c r="AT165" s="72" t="s">
        <v>120</v>
      </c>
      <c r="AU165" s="72" t="s">
        <v>116</v>
      </c>
      <c r="AV165" t="s">
        <v>646</v>
      </c>
      <c r="AW165" s="72">
        <v>7</v>
      </c>
      <c r="AX165" s="72" t="s">
        <v>647</v>
      </c>
      <c r="AY165" s="72" t="s">
        <v>123</v>
      </c>
      <c r="BA165" s="72" t="s">
        <v>116</v>
      </c>
      <c r="BB165" s="72" t="s">
        <v>648</v>
      </c>
      <c r="BC165" s="72">
        <v>3</v>
      </c>
      <c r="BJ165" s="72">
        <v>16</v>
      </c>
      <c r="BK165" s="72" t="s">
        <v>659</v>
      </c>
      <c r="BL165" t="s">
        <v>511</v>
      </c>
      <c r="BM165" s="72" t="s">
        <v>650</v>
      </c>
      <c r="BN165" s="82">
        <v>0.16002</v>
      </c>
      <c r="BO165" s="72">
        <v>0.187627809906698</v>
      </c>
      <c r="BP165" s="82">
        <v>0.19273999999999999</v>
      </c>
      <c r="BQ165" s="72" t="s">
        <v>594</v>
      </c>
      <c r="BR165" s="72">
        <v>1</v>
      </c>
      <c r="BS165" s="72">
        <v>0.13957056300000001</v>
      </c>
      <c r="BT165" s="72">
        <v>0.150306751577092</v>
      </c>
      <c r="BU165" s="72">
        <v>0.172801646</v>
      </c>
      <c r="BV165" s="72" t="s">
        <v>594</v>
      </c>
      <c r="BW165" s="72">
        <v>1</v>
      </c>
      <c r="BX165" s="72" t="s">
        <v>537</v>
      </c>
      <c r="BY165" s="72">
        <v>0.150306751577092</v>
      </c>
      <c r="BZ165" s="72">
        <v>0.172801646</v>
      </c>
      <c r="CA165" s="92">
        <v>2.6082602516846907E-3</v>
      </c>
      <c r="CB165" s="92">
        <v>1.1476986950463267E-2</v>
      </c>
      <c r="CC165" s="72" t="s">
        <v>163</v>
      </c>
      <c r="CG165" t="s">
        <v>3095</v>
      </c>
    </row>
    <row r="166" spans="1:85" s="72" customFormat="1" ht="14.5">
      <c r="A166" s="72" t="s">
        <v>639</v>
      </c>
      <c r="B166" s="72" t="str">
        <f t="shared" si="1"/>
        <v>addtl8-2019</v>
      </c>
      <c r="C166" s="72">
        <v>2019</v>
      </c>
      <c r="D166" s="73" t="s">
        <v>640</v>
      </c>
      <c r="E166" s="74">
        <v>45044</v>
      </c>
      <c r="F166" s="72" t="s">
        <v>90</v>
      </c>
      <c r="G166" s="72" t="s">
        <v>495</v>
      </c>
      <c r="I166" s="73" t="s">
        <v>641</v>
      </c>
      <c r="J166" s="72" t="s">
        <v>642</v>
      </c>
      <c r="K166" s="72" t="s">
        <v>94</v>
      </c>
      <c r="L166" s="72" t="s">
        <v>94</v>
      </c>
      <c r="M166" s="72" t="s">
        <v>95</v>
      </c>
      <c r="N166" s="94" t="s">
        <v>643</v>
      </c>
      <c r="O166" s="81" t="s">
        <v>97</v>
      </c>
      <c r="P166" s="72" t="s">
        <v>97</v>
      </c>
      <c r="S166" s="72" t="s">
        <v>90</v>
      </c>
      <c r="T166" s="117" t="s">
        <v>114</v>
      </c>
      <c r="U166" s="72" t="s">
        <v>191</v>
      </c>
      <c r="V166" s="72" t="s">
        <v>99</v>
      </c>
      <c r="W166" s="72">
        <v>1</v>
      </c>
      <c r="X166" s="72" t="s">
        <v>635</v>
      </c>
      <c r="Y166" s="72" t="s">
        <v>211</v>
      </c>
      <c r="Z166" s="72" t="s">
        <v>568</v>
      </c>
      <c r="AA166" s="72" t="s">
        <v>3107</v>
      </c>
      <c r="AB166" s="72" t="s">
        <v>644</v>
      </c>
      <c r="AC166" s="72" t="s">
        <v>105</v>
      </c>
      <c r="AG166" s="72">
        <v>2</v>
      </c>
      <c r="AH166" s="72" t="s">
        <v>90</v>
      </c>
      <c r="AI166" s="72" t="s">
        <v>645</v>
      </c>
      <c r="AJ166" s="72" t="s">
        <v>637</v>
      </c>
      <c r="AQ166" s="72" t="s">
        <v>155</v>
      </c>
      <c r="AR166" s="72" t="s">
        <v>119</v>
      </c>
      <c r="AS166" s="72" t="s">
        <v>114</v>
      </c>
      <c r="AT166" s="72" t="s">
        <v>120</v>
      </c>
      <c r="AU166" s="72" t="s">
        <v>116</v>
      </c>
      <c r="AV166" t="s">
        <v>646</v>
      </c>
      <c r="AW166" s="72">
        <v>7</v>
      </c>
      <c r="AX166" s="72" t="s">
        <v>647</v>
      </c>
      <c r="AY166" s="72" t="s">
        <v>123</v>
      </c>
      <c r="BA166" s="72" t="s">
        <v>116</v>
      </c>
      <c r="BB166" s="72" t="s">
        <v>648</v>
      </c>
      <c r="BC166" s="72">
        <v>3</v>
      </c>
      <c r="BJ166" s="72">
        <v>16</v>
      </c>
      <c r="BK166" s="72" t="s">
        <v>660</v>
      </c>
      <c r="BL166" t="s">
        <v>511</v>
      </c>
      <c r="BM166" s="72" t="s">
        <v>650</v>
      </c>
      <c r="BN166" s="82">
        <v>0.152863</v>
      </c>
      <c r="BO166" s="72">
        <v>0.163087937272337</v>
      </c>
      <c r="BP166" s="82">
        <v>0.18149299999999999</v>
      </c>
      <c r="BQ166" s="72" t="s">
        <v>594</v>
      </c>
      <c r="BR166" s="72">
        <v>1</v>
      </c>
      <c r="BS166" s="72">
        <v>0.13957056300000001</v>
      </c>
      <c r="BT166" s="72">
        <v>0.150306751577092</v>
      </c>
      <c r="BU166" s="72">
        <v>0.172801646</v>
      </c>
      <c r="BV166" s="72" t="s">
        <v>594</v>
      </c>
      <c r="BW166" s="72">
        <v>1</v>
      </c>
      <c r="BX166" s="72" t="s">
        <v>537</v>
      </c>
      <c r="BY166" s="72">
        <v>0.150306751577092</v>
      </c>
      <c r="BZ166" s="72">
        <v>0.172801646</v>
      </c>
      <c r="CA166" s="92">
        <v>9.3903381263586664E-3</v>
      </c>
      <c r="CB166" s="92">
        <v>1.1476986950463267E-2</v>
      </c>
      <c r="CC166" s="72" t="s">
        <v>163</v>
      </c>
      <c r="CG166" t="s">
        <v>3095</v>
      </c>
    </row>
    <row r="167" spans="1:85" s="72" customFormat="1" ht="14.5">
      <c r="A167" s="72" t="s">
        <v>639</v>
      </c>
      <c r="B167" s="72" t="str">
        <f t="shared" si="1"/>
        <v>addtl8-2019</v>
      </c>
      <c r="C167" s="72">
        <v>2019</v>
      </c>
      <c r="D167" s="73" t="s">
        <v>640</v>
      </c>
      <c r="E167" s="74">
        <v>45044</v>
      </c>
      <c r="F167" s="72" t="s">
        <v>90</v>
      </c>
      <c r="G167" s="72" t="s">
        <v>495</v>
      </c>
      <c r="I167" s="73" t="s">
        <v>641</v>
      </c>
      <c r="J167" s="72" t="s">
        <v>642</v>
      </c>
      <c r="K167" s="72" t="s">
        <v>94</v>
      </c>
      <c r="L167" s="72" t="s">
        <v>94</v>
      </c>
      <c r="M167" s="72" t="s">
        <v>95</v>
      </c>
      <c r="N167" s="94" t="s">
        <v>643</v>
      </c>
      <c r="O167" s="81" t="s">
        <v>97</v>
      </c>
      <c r="P167" s="72" t="s">
        <v>97</v>
      </c>
      <c r="S167" s="72" t="s">
        <v>90</v>
      </c>
      <c r="T167" s="117" t="s">
        <v>114</v>
      </c>
      <c r="U167" s="72" t="s">
        <v>191</v>
      </c>
      <c r="V167" s="72" t="s">
        <v>99</v>
      </c>
      <c r="W167" s="72">
        <v>1</v>
      </c>
      <c r="X167" s="72" t="s">
        <v>635</v>
      </c>
      <c r="Y167" s="72" t="s">
        <v>211</v>
      </c>
      <c r="Z167" s="72" t="s">
        <v>568</v>
      </c>
      <c r="AA167" s="72" t="s">
        <v>3107</v>
      </c>
      <c r="AB167" s="72" t="s">
        <v>644</v>
      </c>
      <c r="AC167" s="72" t="s">
        <v>105</v>
      </c>
      <c r="AG167" s="72">
        <v>2</v>
      </c>
      <c r="AH167" s="72" t="s">
        <v>90</v>
      </c>
      <c r="AI167" s="72" t="s">
        <v>645</v>
      </c>
      <c r="AJ167" s="72" t="s">
        <v>637</v>
      </c>
      <c r="AQ167" s="72" t="s">
        <v>155</v>
      </c>
      <c r="AR167" s="72" t="s">
        <v>119</v>
      </c>
      <c r="AS167" s="72" t="s">
        <v>114</v>
      </c>
      <c r="AT167" s="72" t="s">
        <v>120</v>
      </c>
      <c r="AU167" s="72" t="s">
        <v>116</v>
      </c>
      <c r="AV167" t="s">
        <v>646</v>
      </c>
      <c r="AW167" s="72">
        <v>7</v>
      </c>
      <c r="AX167" s="72" t="s">
        <v>647</v>
      </c>
      <c r="AY167" s="72" t="s">
        <v>123</v>
      </c>
      <c r="BA167" s="72" t="s">
        <v>116</v>
      </c>
      <c r="BB167" s="72" t="s">
        <v>648</v>
      </c>
      <c r="BC167" s="72">
        <v>3</v>
      </c>
      <c r="BJ167" s="72">
        <v>16</v>
      </c>
      <c r="BK167" s="72" t="s">
        <v>661</v>
      </c>
      <c r="BL167" t="s">
        <v>511</v>
      </c>
      <c r="BM167" s="72" t="s">
        <v>650</v>
      </c>
      <c r="BN167" s="82">
        <v>0.167689</v>
      </c>
      <c r="BO167" s="72">
        <v>0.19171780493120899</v>
      </c>
      <c r="BP167" s="82">
        <v>0.19989799999999999</v>
      </c>
      <c r="BQ167" s="72" t="s">
        <v>594</v>
      </c>
      <c r="BR167" s="72">
        <v>1</v>
      </c>
      <c r="BS167" s="72">
        <v>0.13957056300000001</v>
      </c>
      <c r="BT167" s="72">
        <v>0.150306751577092</v>
      </c>
      <c r="BU167" s="72">
        <v>0.172801646</v>
      </c>
      <c r="BV167" s="72" t="s">
        <v>594</v>
      </c>
      <c r="BW167" s="72">
        <v>1</v>
      </c>
      <c r="BX167" s="72" t="s">
        <v>537</v>
      </c>
      <c r="BY167" s="72">
        <v>0.150306751577092</v>
      </c>
      <c r="BZ167" s="72">
        <v>0.172801646</v>
      </c>
      <c r="CA167" s="92">
        <v>4.1735689126484706E-3</v>
      </c>
      <c r="CB167" s="92">
        <v>1.1476986950463267E-2</v>
      </c>
      <c r="CC167" s="72" t="s">
        <v>163</v>
      </c>
      <c r="CG167" t="s">
        <v>3095</v>
      </c>
    </row>
    <row r="168" spans="1:85" s="72" customFormat="1" ht="14.5">
      <c r="A168" s="72" t="s">
        <v>639</v>
      </c>
      <c r="B168" s="72" t="str">
        <f t="shared" si="1"/>
        <v>addtl8-2019</v>
      </c>
      <c r="C168" s="72">
        <v>2019</v>
      </c>
      <c r="D168" s="73" t="s">
        <v>640</v>
      </c>
      <c r="E168" s="74">
        <v>45044</v>
      </c>
      <c r="F168" s="72" t="s">
        <v>90</v>
      </c>
      <c r="G168" s="72" t="s">
        <v>495</v>
      </c>
      <c r="I168" s="73" t="s">
        <v>641</v>
      </c>
      <c r="J168" s="72" t="s">
        <v>642</v>
      </c>
      <c r="K168" s="72" t="s">
        <v>94</v>
      </c>
      <c r="L168" s="72" t="s">
        <v>94</v>
      </c>
      <c r="M168" s="72" t="s">
        <v>95</v>
      </c>
      <c r="N168" s="94" t="s">
        <v>643</v>
      </c>
      <c r="O168" s="81" t="s">
        <v>97</v>
      </c>
      <c r="P168" s="72" t="s">
        <v>97</v>
      </c>
      <c r="S168" s="72" t="s">
        <v>90</v>
      </c>
      <c r="T168" s="117" t="s">
        <v>114</v>
      </c>
      <c r="U168" s="72" t="s">
        <v>191</v>
      </c>
      <c r="V168" s="72" t="s">
        <v>99</v>
      </c>
      <c r="W168" s="72">
        <v>1</v>
      </c>
      <c r="X168" s="72" t="s">
        <v>635</v>
      </c>
      <c r="Y168" s="72" t="s">
        <v>211</v>
      </c>
      <c r="Z168" s="72" t="s">
        <v>568</v>
      </c>
      <c r="AA168" s="72" t="s">
        <v>3107</v>
      </c>
      <c r="AB168" s="72" t="s">
        <v>644</v>
      </c>
      <c r="AC168" s="72" t="s">
        <v>105</v>
      </c>
      <c r="AG168" s="72">
        <v>2</v>
      </c>
      <c r="AH168" s="72" t="s">
        <v>90</v>
      </c>
      <c r="AI168" s="72" t="s">
        <v>645</v>
      </c>
      <c r="AJ168" s="72" t="s">
        <v>637</v>
      </c>
      <c r="AQ168" s="72" t="s">
        <v>155</v>
      </c>
      <c r="AR168" s="72" t="s">
        <v>119</v>
      </c>
      <c r="AS168" s="72" t="s">
        <v>114</v>
      </c>
      <c r="AT168" s="72" t="s">
        <v>120</v>
      </c>
      <c r="AU168" s="72" t="s">
        <v>116</v>
      </c>
      <c r="AV168" t="s">
        <v>646</v>
      </c>
      <c r="AW168" s="72">
        <v>7</v>
      </c>
      <c r="AX168" s="72" t="s">
        <v>647</v>
      </c>
      <c r="AY168" s="72" t="s">
        <v>123</v>
      </c>
      <c r="BA168" s="72" t="s">
        <v>116</v>
      </c>
      <c r="BB168" s="72" t="s">
        <v>648</v>
      </c>
      <c r="BC168" s="72">
        <v>3</v>
      </c>
      <c r="BJ168" s="72">
        <v>18</v>
      </c>
      <c r="BK168" s="72" t="s">
        <v>662</v>
      </c>
      <c r="BL168" t="s">
        <v>511</v>
      </c>
      <c r="BM168" s="72" t="s">
        <v>650</v>
      </c>
      <c r="BN168" s="82">
        <v>0.17331299999999999</v>
      </c>
      <c r="BO168" s="72">
        <v>0.19171780493120899</v>
      </c>
      <c r="BP168" s="82">
        <v>0.20449899999999999</v>
      </c>
      <c r="BQ168" s="72" t="s">
        <v>594</v>
      </c>
      <c r="BR168" s="72">
        <v>1</v>
      </c>
      <c r="BS168" s="72">
        <v>0.144171779</v>
      </c>
      <c r="BT168" s="72">
        <v>0.14570553642832901</v>
      </c>
      <c r="BU168" s="72">
        <v>0.15235174900000001</v>
      </c>
      <c r="BV168" s="72" t="s">
        <v>594</v>
      </c>
      <c r="BW168" s="72">
        <v>1</v>
      </c>
      <c r="BX168" s="72" t="s">
        <v>537</v>
      </c>
      <c r="BY168" s="72">
        <v>0.14570553642832901</v>
      </c>
      <c r="BZ168" s="72">
        <v>0.15235174900000001</v>
      </c>
      <c r="CA168" s="92">
        <v>6.5210178922403038E-3</v>
      </c>
      <c r="CB168" s="92">
        <v>3.3909247814647965E-3</v>
      </c>
      <c r="CC168" s="72" t="s">
        <v>163</v>
      </c>
      <c r="CG168" t="s">
        <v>3095</v>
      </c>
    </row>
    <row r="169" spans="1:85" s="72" customFormat="1" ht="14.5">
      <c r="A169" s="72" t="s">
        <v>639</v>
      </c>
      <c r="B169" s="72" t="str">
        <f t="shared" si="1"/>
        <v>addtl8-2019</v>
      </c>
      <c r="C169" s="72">
        <v>2019</v>
      </c>
      <c r="D169" s="73" t="s">
        <v>640</v>
      </c>
      <c r="E169" s="74">
        <v>45044</v>
      </c>
      <c r="F169" s="72" t="s">
        <v>90</v>
      </c>
      <c r="G169" s="72" t="s">
        <v>495</v>
      </c>
      <c r="I169" s="73" t="s">
        <v>641</v>
      </c>
      <c r="J169" s="72" t="s">
        <v>642</v>
      </c>
      <c r="K169" s="72" t="s">
        <v>94</v>
      </c>
      <c r="L169" s="72" t="s">
        <v>94</v>
      </c>
      <c r="M169" s="72" t="s">
        <v>95</v>
      </c>
      <c r="N169" s="94" t="s">
        <v>643</v>
      </c>
      <c r="O169" s="81" t="s">
        <v>97</v>
      </c>
      <c r="P169" s="72" t="s">
        <v>97</v>
      </c>
      <c r="S169" s="72" t="s">
        <v>90</v>
      </c>
      <c r="T169" s="117" t="s">
        <v>114</v>
      </c>
      <c r="U169" s="72" t="s">
        <v>191</v>
      </c>
      <c r="V169" s="72" t="s">
        <v>99</v>
      </c>
      <c r="W169" s="72">
        <v>1</v>
      </c>
      <c r="X169" s="72" t="s">
        <v>635</v>
      </c>
      <c r="Y169" s="72" t="s">
        <v>211</v>
      </c>
      <c r="Z169" s="72" t="s">
        <v>568</v>
      </c>
      <c r="AA169" s="72" t="s">
        <v>3107</v>
      </c>
      <c r="AB169" s="72" t="s">
        <v>644</v>
      </c>
      <c r="AC169" s="72" t="s">
        <v>105</v>
      </c>
      <c r="AG169" s="72">
        <v>2</v>
      </c>
      <c r="AH169" s="72" t="s">
        <v>90</v>
      </c>
      <c r="AI169" s="72" t="s">
        <v>645</v>
      </c>
      <c r="AJ169" s="72" t="s">
        <v>637</v>
      </c>
      <c r="AQ169" s="72" t="s">
        <v>155</v>
      </c>
      <c r="AR169" s="72" t="s">
        <v>119</v>
      </c>
      <c r="AS169" s="72" t="s">
        <v>114</v>
      </c>
      <c r="AT169" s="72" t="s">
        <v>120</v>
      </c>
      <c r="AU169" s="72" t="s">
        <v>116</v>
      </c>
      <c r="AV169" t="s">
        <v>646</v>
      </c>
      <c r="AW169" s="72">
        <v>7</v>
      </c>
      <c r="AX169" s="72" t="s">
        <v>647</v>
      </c>
      <c r="AY169" s="72" t="s">
        <v>123</v>
      </c>
      <c r="BA169" s="72" t="s">
        <v>116</v>
      </c>
      <c r="BB169" s="72" t="s">
        <v>648</v>
      </c>
      <c r="BC169" s="72">
        <v>3</v>
      </c>
      <c r="BJ169" s="72">
        <v>18</v>
      </c>
      <c r="BK169" s="72" t="s">
        <v>663</v>
      </c>
      <c r="BL169" t="s">
        <v>511</v>
      </c>
      <c r="BM169" s="72" t="s">
        <v>650</v>
      </c>
      <c r="BN169" s="82">
        <v>0.178425</v>
      </c>
      <c r="BO169" s="72">
        <v>0.180470357618886</v>
      </c>
      <c r="BP169" s="82">
        <v>0.20807800000000001</v>
      </c>
      <c r="BQ169" s="72" t="s">
        <v>594</v>
      </c>
      <c r="BR169" s="72">
        <v>1</v>
      </c>
      <c r="BS169" s="72">
        <v>0.144171779</v>
      </c>
      <c r="BT169" s="72">
        <v>0.14570553642832901</v>
      </c>
      <c r="BU169" s="72">
        <v>0.15235174900000001</v>
      </c>
      <c r="BV169" s="72" t="s">
        <v>594</v>
      </c>
      <c r="BW169" s="72">
        <v>1</v>
      </c>
      <c r="BX169" s="72" t="s">
        <v>537</v>
      </c>
      <c r="BY169" s="72">
        <v>0.14570553642832901</v>
      </c>
      <c r="BZ169" s="72">
        <v>0.15235174900000001</v>
      </c>
      <c r="CA169" s="92">
        <v>1.4085531827098988E-2</v>
      </c>
      <c r="CB169" s="92">
        <v>3.3909247814647965E-3</v>
      </c>
      <c r="CC169" s="72" t="s">
        <v>163</v>
      </c>
      <c r="CG169" t="s">
        <v>3095</v>
      </c>
    </row>
    <row r="170" spans="1:85" s="72" customFormat="1" ht="14.5">
      <c r="A170" s="72" t="s">
        <v>639</v>
      </c>
      <c r="B170" s="72" t="str">
        <f t="shared" si="1"/>
        <v>addtl8-2019</v>
      </c>
      <c r="C170" s="72">
        <v>2019</v>
      </c>
      <c r="D170" s="73" t="s">
        <v>640</v>
      </c>
      <c r="E170" s="74">
        <v>45044</v>
      </c>
      <c r="F170" s="72" t="s">
        <v>90</v>
      </c>
      <c r="G170" s="72" t="s">
        <v>495</v>
      </c>
      <c r="I170" s="73" t="s">
        <v>641</v>
      </c>
      <c r="J170" s="72" t="s">
        <v>642</v>
      </c>
      <c r="K170" s="72" t="s">
        <v>94</v>
      </c>
      <c r="L170" s="72" t="s">
        <v>94</v>
      </c>
      <c r="M170" s="72" t="s">
        <v>95</v>
      </c>
      <c r="N170" s="94" t="s">
        <v>643</v>
      </c>
      <c r="O170" s="81" t="s">
        <v>97</v>
      </c>
      <c r="P170" s="72" t="s">
        <v>97</v>
      </c>
      <c r="S170" s="72" t="s">
        <v>90</v>
      </c>
      <c r="T170" s="117" t="s">
        <v>114</v>
      </c>
      <c r="U170" s="72" t="s">
        <v>191</v>
      </c>
      <c r="V170" s="72" t="s">
        <v>99</v>
      </c>
      <c r="W170" s="72">
        <v>1</v>
      </c>
      <c r="X170" s="72" t="s">
        <v>635</v>
      </c>
      <c r="Y170" s="72" t="s">
        <v>211</v>
      </c>
      <c r="Z170" s="72" t="s">
        <v>568</v>
      </c>
      <c r="AA170" s="72" t="s">
        <v>3107</v>
      </c>
      <c r="AB170" s="72" t="s">
        <v>644</v>
      </c>
      <c r="AC170" s="72" t="s">
        <v>105</v>
      </c>
      <c r="AG170" s="72">
        <v>2</v>
      </c>
      <c r="AH170" s="72" t="s">
        <v>90</v>
      </c>
      <c r="AI170" s="72" t="s">
        <v>645</v>
      </c>
      <c r="AJ170" s="72" t="s">
        <v>637</v>
      </c>
      <c r="AQ170" s="72" t="s">
        <v>155</v>
      </c>
      <c r="AR170" s="72" t="s">
        <v>119</v>
      </c>
      <c r="AS170" s="72" t="s">
        <v>114</v>
      </c>
      <c r="AT170" s="72" t="s">
        <v>120</v>
      </c>
      <c r="AU170" s="72" t="s">
        <v>116</v>
      </c>
      <c r="AV170" t="s">
        <v>646</v>
      </c>
      <c r="AW170" s="72">
        <v>7</v>
      </c>
      <c r="AX170" s="72" t="s">
        <v>647</v>
      </c>
      <c r="AY170" s="72" t="s">
        <v>123</v>
      </c>
      <c r="BA170" s="72" t="s">
        <v>116</v>
      </c>
      <c r="BB170" s="72" t="s">
        <v>648</v>
      </c>
      <c r="BC170" s="72">
        <v>3</v>
      </c>
      <c r="BJ170" s="72">
        <v>18</v>
      </c>
      <c r="BK170" s="72" t="s">
        <v>664</v>
      </c>
      <c r="BL170" t="s">
        <v>511</v>
      </c>
      <c r="BM170" s="72" t="s">
        <v>650</v>
      </c>
      <c r="BN170" s="82">
        <v>0.188139</v>
      </c>
      <c r="BO170" s="72">
        <v>0.18456033314085599</v>
      </c>
      <c r="BP170" s="82">
        <v>0.218303</v>
      </c>
      <c r="BQ170" s="72" t="s">
        <v>594</v>
      </c>
      <c r="BR170" s="72">
        <v>1</v>
      </c>
      <c r="BS170" s="72">
        <v>0.144171779</v>
      </c>
      <c r="BT170" s="72">
        <v>0.14570553642832901</v>
      </c>
      <c r="BU170" s="72">
        <v>0.15235174900000001</v>
      </c>
      <c r="BV170" s="72" t="s">
        <v>594</v>
      </c>
      <c r="BW170" s="72">
        <v>1</v>
      </c>
      <c r="BX170" s="72" t="s">
        <v>537</v>
      </c>
      <c r="BY170" s="72">
        <v>0.14570553642832901</v>
      </c>
      <c r="BZ170" s="72">
        <v>0.15235174900000001</v>
      </c>
      <c r="CA170" s="92">
        <v>1.7215646356706128E-2</v>
      </c>
      <c r="CB170" s="92">
        <v>3.3909247814647965E-3</v>
      </c>
      <c r="CC170" s="72" t="s">
        <v>163</v>
      </c>
      <c r="CG170" t="s">
        <v>3095</v>
      </c>
    </row>
    <row r="171" spans="1:85" s="72" customFormat="1" ht="14.5">
      <c r="A171" s="72" t="s">
        <v>639</v>
      </c>
      <c r="B171" s="72" t="str">
        <f t="shared" si="1"/>
        <v>addtl8-2019</v>
      </c>
      <c r="C171" s="72">
        <v>2019</v>
      </c>
      <c r="D171" s="73" t="s">
        <v>640</v>
      </c>
      <c r="E171" s="74">
        <v>45044</v>
      </c>
      <c r="F171" s="72" t="s">
        <v>90</v>
      </c>
      <c r="G171" s="72" t="s">
        <v>495</v>
      </c>
      <c r="I171" s="73" t="s">
        <v>641</v>
      </c>
      <c r="J171" s="72" t="s">
        <v>642</v>
      </c>
      <c r="K171" s="72" t="s">
        <v>94</v>
      </c>
      <c r="L171" s="72" t="s">
        <v>94</v>
      </c>
      <c r="M171" s="72" t="s">
        <v>95</v>
      </c>
      <c r="N171" s="94" t="s">
        <v>643</v>
      </c>
      <c r="O171" s="81" t="s">
        <v>97</v>
      </c>
      <c r="P171" s="72" t="s">
        <v>97</v>
      </c>
      <c r="S171" s="72" t="s">
        <v>90</v>
      </c>
      <c r="T171" s="117" t="s">
        <v>114</v>
      </c>
      <c r="U171" s="72" t="s">
        <v>191</v>
      </c>
      <c r="V171" s="72" t="s">
        <v>99</v>
      </c>
      <c r="W171" s="72">
        <v>1</v>
      </c>
      <c r="X171" s="72" t="s">
        <v>635</v>
      </c>
      <c r="Y171" s="72" t="s">
        <v>211</v>
      </c>
      <c r="Z171" s="72" t="s">
        <v>568</v>
      </c>
      <c r="AA171" s="72" t="s">
        <v>3107</v>
      </c>
      <c r="AB171" s="72" t="s">
        <v>644</v>
      </c>
      <c r="AC171" s="72" t="s">
        <v>105</v>
      </c>
      <c r="AG171" s="72">
        <v>2</v>
      </c>
      <c r="AH171" s="72" t="s">
        <v>90</v>
      </c>
      <c r="AI171" s="72" t="s">
        <v>645</v>
      </c>
      <c r="AJ171" s="72" t="s">
        <v>637</v>
      </c>
      <c r="AQ171" s="72" t="s">
        <v>155</v>
      </c>
      <c r="AR171" s="72" t="s">
        <v>119</v>
      </c>
      <c r="AS171" s="72" t="s">
        <v>114</v>
      </c>
      <c r="AT171" s="72" t="s">
        <v>120</v>
      </c>
      <c r="AU171" s="72" t="s">
        <v>116</v>
      </c>
      <c r="AV171" t="s">
        <v>646</v>
      </c>
      <c r="AW171" s="72">
        <v>7</v>
      </c>
      <c r="AX171" s="72" t="s">
        <v>647</v>
      </c>
      <c r="AY171" s="72" t="s">
        <v>123</v>
      </c>
      <c r="BA171" s="72" t="s">
        <v>116</v>
      </c>
      <c r="BB171" s="72" t="s">
        <v>648</v>
      </c>
      <c r="BC171" s="72">
        <v>3</v>
      </c>
      <c r="BJ171" s="72">
        <v>20</v>
      </c>
      <c r="BK171" s="72" t="s">
        <v>665</v>
      </c>
      <c r="BL171" t="s">
        <v>511</v>
      </c>
      <c r="BM171" s="72" t="s">
        <v>650</v>
      </c>
      <c r="BN171" s="82">
        <v>0.17024500000000001</v>
      </c>
      <c r="BO171" s="72">
        <v>0.174846624211453</v>
      </c>
      <c r="BP171" s="82">
        <v>0.17433499999999999</v>
      </c>
      <c r="BQ171" s="72" t="s">
        <v>594</v>
      </c>
      <c r="BR171" s="72">
        <v>1</v>
      </c>
      <c r="BS171" s="72">
        <v>0.116564429</v>
      </c>
      <c r="BT171" s="72">
        <v>0.116053170013328</v>
      </c>
      <c r="BU171" s="72">
        <v>0.11707566899999999</v>
      </c>
      <c r="BV171" s="72" t="s">
        <v>594</v>
      </c>
      <c r="BW171" s="72">
        <v>1</v>
      </c>
      <c r="BX171" s="72" t="s">
        <v>537</v>
      </c>
      <c r="BY171" s="72">
        <v>0.116053170013328</v>
      </c>
      <c r="BZ171" s="72">
        <v>0.11707566899999999</v>
      </c>
      <c r="CA171" s="92">
        <v>-2.6103276094541331E-4</v>
      </c>
      <c r="CB171" s="92">
        <v>5.2168315646530143E-4</v>
      </c>
      <c r="CC171" s="72" t="s">
        <v>163</v>
      </c>
      <c r="CG171" t="s">
        <v>3095</v>
      </c>
    </row>
    <row r="172" spans="1:85" s="72" customFormat="1" ht="14.5">
      <c r="A172" s="72" t="s">
        <v>639</v>
      </c>
      <c r="B172" s="72" t="str">
        <f t="shared" si="1"/>
        <v>addtl8-2019</v>
      </c>
      <c r="C172" s="72">
        <v>2019</v>
      </c>
      <c r="D172" s="73" t="s">
        <v>640</v>
      </c>
      <c r="E172" s="74">
        <v>45044</v>
      </c>
      <c r="F172" s="72" t="s">
        <v>90</v>
      </c>
      <c r="G172" s="72" t="s">
        <v>495</v>
      </c>
      <c r="I172" s="73" t="s">
        <v>641</v>
      </c>
      <c r="J172" s="72" t="s">
        <v>642</v>
      </c>
      <c r="K172" s="72" t="s">
        <v>94</v>
      </c>
      <c r="L172" s="72" t="s">
        <v>94</v>
      </c>
      <c r="M172" s="72" t="s">
        <v>95</v>
      </c>
      <c r="N172" s="94" t="s">
        <v>643</v>
      </c>
      <c r="O172" s="81" t="s">
        <v>97</v>
      </c>
      <c r="P172" s="72" t="s">
        <v>97</v>
      </c>
      <c r="S172" s="72" t="s">
        <v>90</v>
      </c>
      <c r="T172" s="117" t="s">
        <v>114</v>
      </c>
      <c r="U172" s="72" t="s">
        <v>191</v>
      </c>
      <c r="V172" s="72" t="s">
        <v>99</v>
      </c>
      <c r="W172" s="72">
        <v>1</v>
      </c>
      <c r="X172" s="72" t="s">
        <v>635</v>
      </c>
      <c r="Y172" s="72" t="s">
        <v>211</v>
      </c>
      <c r="Z172" s="72" t="s">
        <v>568</v>
      </c>
      <c r="AA172" s="72" t="s">
        <v>3107</v>
      </c>
      <c r="AB172" s="72" t="s">
        <v>644</v>
      </c>
      <c r="AC172" s="72" t="s">
        <v>105</v>
      </c>
      <c r="AG172" s="72">
        <v>2</v>
      </c>
      <c r="AH172" s="72" t="s">
        <v>90</v>
      </c>
      <c r="AI172" s="72" t="s">
        <v>645</v>
      </c>
      <c r="AJ172" s="72" t="s">
        <v>637</v>
      </c>
      <c r="AQ172" s="72" t="s">
        <v>155</v>
      </c>
      <c r="AR172" s="72" t="s">
        <v>119</v>
      </c>
      <c r="AS172" s="72" t="s">
        <v>114</v>
      </c>
      <c r="AT172" s="72" t="s">
        <v>120</v>
      </c>
      <c r="AU172" s="72" t="s">
        <v>116</v>
      </c>
      <c r="AV172" t="s">
        <v>646</v>
      </c>
      <c r="AW172" s="72">
        <v>7</v>
      </c>
      <c r="AX172" s="72" t="s">
        <v>647</v>
      </c>
      <c r="AY172" s="72" t="s">
        <v>123</v>
      </c>
      <c r="BA172" s="72" t="s">
        <v>116</v>
      </c>
      <c r="BB172" s="72" t="s">
        <v>648</v>
      </c>
      <c r="BC172" s="72">
        <v>3</v>
      </c>
      <c r="BJ172" s="72">
        <v>20</v>
      </c>
      <c r="BK172" s="72" t="s">
        <v>666</v>
      </c>
      <c r="BL172" t="s">
        <v>511</v>
      </c>
      <c r="BM172" s="72" t="s">
        <v>650</v>
      </c>
      <c r="BN172" s="82">
        <v>0.17893700000000001</v>
      </c>
      <c r="BO172" s="72">
        <v>0.20245399311419801</v>
      </c>
      <c r="BP172" s="82">
        <v>0.202454</v>
      </c>
      <c r="BQ172" s="72" t="s">
        <v>594</v>
      </c>
      <c r="BR172" s="72">
        <v>1</v>
      </c>
      <c r="BS172" s="72">
        <v>0.116564429</v>
      </c>
      <c r="BT172" s="72">
        <v>0.116053170013328</v>
      </c>
      <c r="BU172" s="72">
        <v>0.11707566899999999</v>
      </c>
      <c r="BV172" s="72" t="s">
        <v>594</v>
      </c>
      <c r="BW172" s="72">
        <v>1</v>
      </c>
      <c r="BX172" s="72" t="s">
        <v>537</v>
      </c>
      <c r="BY172" s="72">
        <v>0.116053170013328</v>
      </c>
      <c r="BZ172" s="72">
        <v>0.11707566899999999</v>
      </c>
      <c r="CA172" s="92">
        <v>3.5131642776315204E-9</v>
      </c>
      <c r="CB172" s="92">
        <v>5.2168315646530143E-4</v>
      </c>
      <c r="CC172" s="72" t="s">
        <v>163</v>
      </c>
      <c r="CG172" t="s">
        <v>3095</v>
      </c>
    </row>
    <row r="173" spans="1:85" s="72" customFormat="1" ht="14.5">
      <c r="A173" s="72" t="s">
        <v>639</v>
      </c>
      <c r="B173" s="72" t="str">
        <f t="shared" si="1"/>
        <v>addtl8-2019</v>
      </c>
      <c r="C173" s="72">
        <v>2019</v>
      </c>
      <c r="D173" s="73" t="s">
        <v>640</v>
      </c>
      <c r="E173" s="74">
        <v>45044</v>
      </c>
      <c r="F173" s="72" t="s">
        <v>90</v>
      </c>
      <c r="G173" s="72" t="s">
        <v>495</v>
      </c>
      <c r="I173" s="73" t="s">
        <v>641</v>
      </c>
      <c r="J173" s="72" t="s">
        <v>642</v>
      </c>
      <c r="K173" s="72" t="s">
        <v>94</v>
      </c>
      <c r="L173" s="72" t="s">
        <v>94</v>
      </c>
      <c r="M173" s="72" t="s">
        <v>95</v>
      </c>
      <c r="N173" s="94" t="s">
        <v>643</v>
      </c>
      <c r="O173" s="81" t="s">
        <v>97</v>
      </c>
      <c r="P173" s="72" t="s">
        <v>97</v>
      </c>
      <c r="S173" s="72" t="s">
        <v>90</v>
      </c>
      <c r="T173" s="117" t="s">
        <v>114</v>
      </c>
      <c r="U173" s="72" t="s">
        <v>191</v>
      </c>
      <c r="V173" s="72" t="s">
        <v>99</v>
      </c>
      <c r="W173" s="72">
        <v>1</v>
      </c>
      <c r="X173" s="72" t="s">
        <v>635</v>
      </c>
      <c r="Y173" s="72" t="s">
        <v>211</v>
      </c>
      <c r="Z173" s="72" t="s">
        <v>568</v>
      </c>
      <c r="AA173" s="72" t="s">
        <v>3107</v>
      </c>
      <c r="AB173" s="72" t="s">
        <v>644</v>
      </c>
      <c r="AC173" s="72" t="s">
        <v>105</v>
      </c>
      <c r="AG173" s="72">
        <v>2</v>
      </c>
      <c r="AH173" s="72" t="s">
        <v>90</v>
      </c>
      <c r="AI173" s="72" t="s">
        <v>645</v>
      </c>
      <c r="AJ173" s="72" t="s">
        <v>637</v>
      </c>
      <c r="AQ173" s="72" t="s">
        <v>155</v>
      </c>
      <c r="AR173" s="72" t="s">
        <v>119</v>
      </c>
      <c r="AS173" s="72" t="s">
        <v>114</v>
      </c>
      <c r="AT173" s="72" t="s">
        <v>120</v>
      </c>
      <c r="AU173" s="72" t="s">
        <v>116</v>
      </c>
      <c r="AV173" t="s">
        <v>646</v>
      </c>
      <c r="AW173" s="72">
        <v>7</v>
      </c>
      <c r="AX173" s="72" t="s">
        <v>647</v>
      </c>
      <c r="AY173" s="72" t="s">
        <v>123</v>
      </c>
      <c r="BA173" s="72" t="s">
        <v>116</v>
      </c>
      <c r="BB173" s="72" t="s">
        <v>648</v>
      </c>
      <c r="BC173" s="72">
        <v>3</v>
      </c>
      <c r="BJ173" s="72">
        <v>20</v>
      </c>
      <c r="BK173" s="72" t="s">
        <v>667</v>
      </c>
      <c r="BL173" t="s">
        <v>511</v>
      </c>
      <c r="BM173" s="72" t="s">
        <v>650</v>
      </c>
      <c r="BN173" s="82">
        <v>0.18660499999999999</v>
      </c>
      <c r="BO173" s="72">
        <v>0.194785281697051</v>
      </c>
      <c r="BP173" s="82">
        <v>0.19580800000000001</v>
      </c>
      <c r="BQ173" s="72" t="s">
        <v>594</v>
      </c>
      <c r="BR173" s="72">
        <v>1</v>
      </c>
      <c r="BS173" s="72">
        <v>0.116564429</v>
      </c>
      <c r="BT173" s="72">
        <v>0.116053170013328</v>
      </c>
      <c r="BU173" s="72">
        <v>0.11707566899999999</v>
      </c>
      <c r="BV173" s="72" t="s">
        <v>594</v>
      </c>
      <c r="BW173" s="72">
        <v>1</v>
      </c>
      <c r="BX173" s="72" t="s">
        <v>537</v>
      </c>
      <c r="BY173" s="72">
        <v>0.116053170013328</v>
      </c>
      <c r="BZ173" s="72">
        <v>0.11707566899999999</v>
      </c>
      <c r="CA173" s="92">
        <v>5.217950525250026E-4</v>
      </c>
      <c r="CB173" s="92">
        <v>5.2168315646530143E-4</v>
      </c>
      <c r="CC173" s="72" t="s">
        <v>163</v>
      </c>
      <c r="CG173" t="s">
        <v>3095</v>
      </c>
    </row>
    <row r="174" spans="1:85" s="72" customFormat="1" ht="14.5">
      <c r="A174" s="72" t="s">
        <v>639</v>
      </c>
      <c r="B174" s="72" t="str">
        <f t="shared" si="1"/>
        <v>addtl8-2019</v>
      </c>
      <c r="C174" s="72">
        <v>2019</v>
      </c>
      <c r="D174" s="73" t="s">
        <v>640</v>
      </c>
      <c r="E174" s="74">
        <v>45044</v>
      </c>
      <c r="F174" s="72" t="s">
        <v>90</v>
      </c>
      <c r="G174" s="72" t="s">
        <v>495</v>
      </c>
      <c r="I174" s="73" t="s">
        <v>641</v>
      </c>
      <c r="J174" s="72" t="s">
        <v>642</v>
      </c>
      <c r="K174" s="72" t="s">
        <v>94</v>
      </c>
      <c r="L174" s="72" t="s">
        <v>94</v>
      </c>
      <c r="M174" s="72" t="s">
        <v>95</v>
      </c>
      <c r="N174" s="94" t="s">
        <v>643</v>
      </c>
      <c r="O174" s="81" t="s">
        <v>97</v>
      </c>
      <c r="P174" s="72" t="s">
        <v>97</v>
      </c>
      <c r="S174" s="72" t="s">
        <v>90</v>
      </c>
      <c r="T174" s="117" t="s">
        <v>114</v>
      </c>
      <c r="U174" s="72" t="s">
        <v>191</v>
      </c>
      <c r="V174" s="72" t="s">
        <v>99</v>
      </c>
      <c r="W174" s="72">
        <v>1</v>
      </c>
      <c r="X174" s="72" t="s">
        <v>635</v>
      </c>
      <c r="Y174" s="72" t="s">
        <v>211</v>
      </c>
      <c r="Z174" s="72" t="s">
        <v>568</v>
      </c>
      <c r="AA174" s="72" t="s">
        <v>3107</v>
      </c>
      <c r="AB174" s="72" t="s">
        <v>644</v>
      </c>
      <c r="AC174" s="72" t="s">
        <v>105</v>
      </c>
      <c r="AG174" s="72">
        <v>2</v>
      </c>
      <c r="AH174" s="72" t="s">
        <v>90</v>
      </c>
      <c r="AI174" s="72" t="s">
        <v>645</v>
      </c>
      <c r="AJ174" s="72" t="s">
        <v>637</v>
      </c>
      <c r="AQ174" s="72" t="s">
        <v>155</v>
      </c>
      <c r="AR174" s="72" t="s">
        <v>119</v>
      </c>
      <c r="AS174" s="72" t="s">
        <v>114</v>
      </c>
      <c r="AT174" s="72" t="s">
        <v>120</v>
      </c>
      <c r="AU174" s="72" t="s">
        <v>116</v>
      </c>
      <c r="AV174" t="s">
        <v>646</v>
      </c>
      <c r="AW174" s="72">
        <v>7</v>
      </c>
      <c r="AX174" s="72" t="s">
        <v>647</v>
      </c>
      <c r="AY174" s="72" t="s">
        <v>123</v>
      </c>
      <c r="BA174" s="72" t="s">
        <v>116</v>
      </c>
      <c r="BB174" s="72" t="s">
        <v>648</v>
      </c>
      <c r="BC174" s="72">
        <v>3</v>
      </c>
      <c r="BJ174" s="72">
        <v>22</v>
      </c>
      <c r="BK174" s="72" t="s">
        <v>668</v>
      </c>
      <c r="BL174" t="s">
        <v>511</v>
      </c>
      <c r="BM174" s="72" t="s">
        <v>650</v>
      </c>
      <c r="BN174" s="82">
        <v>5.9816000000000001E-2</v>
      </c>
      <c r="BO174" s="72">
        <v>5.98159529542528E-2</v>
      </c>
      <c r="BP174" s="82">
        <v>8.0266000000000004E-2</v>
      </c>
      <c r="BQ174" s="72" t="s">
        <v>594</v>
      </c>
      <c r="BR174" s="72">
        <v>1</v>
      </c>
      <c r="BS174" s="72">
        <v>3.6809837999999998E-2</v>
      </c>
      <c r="BT174" s="72">
        <v>3.7832317458940501E-2</v>
      </c>
      <c r="BU174" s="72">
        <v>3.7832316999999997E-2</v>
      </c>
      <c r="BV174" s="72" t="s">
        <v>594</v>
      </c>
      <c r="BW174" s="72">
        <v>1</v>
      </c>
      <c r="BX174" s="72" t="s">
        <v>537</v>
      </c>
      <c r="BY174" s="72">
        <v>3.7832317458940501E-2</v>
      </c>
      <c r="BZ174" s="72">
        <v>3.7832316999999997E-2</v>
      </c>
      <c r="CA174" s="92">
        <v>1.0433697472320001E-2</v>
      </c>
      <c r="CB174" s="92">
        <v>-2.3415331819179261E-10</v>
      </c>
      <c r="CC174" s="72" t="s">
        <v>163</v>
      </c>
      <c r="CG174" t="s">
        <v>3095</v>
      </c>
    </row>
    <row r="175" spans="1:85" s="72" customFormat="1" ht="14.5">
      <c r="A175" s="72" t="s">
        <v>639</v>
      </c>
      <c r="B175" s="72" t="str">
        <f t="shared" si="1"/>
        <v>addtl8-2019</v>
      </c>
      <c r="C175" s="72">
        <v>2019</v>
      </c>
      <c r="D175" s="73" t="s">
        <v>640</v>
      </c>
      <c r="E175" s="74">
        <v>45044</v>
      </c>
      <c r="F175" s="72" t="s">
        <v>90</v>
      </c>
      <c r="G175" s="72" t="s">
        <v>495</v>
      </c>
      <c r="I175" s="73" t="s">
        <v>641</v>
      </c>
      <c r="J175" s="72" t="s">
        <v>642</v>
      </c>
      <c r="K175" s="72" t="s">
        <v>94</v>
      </c>
      <c r="L175" s="72" t="s">
        <v>94</v>
      </c>
      <c r="M175" s="72" t="s">
        <v>95</v>
      </c>
      <c r="N175" s="94" t="s">
        <v>643</v>
      </c>
      <c r="O175" s="81" t="s">
        <v>97</v>
      </c>
      <c r="P175" s="72" t="s">
        <v>97</v>
      </c>
      <c r="S175" s="72" t="s">
        <v>90</v>
      </c>
      <c r="T175" s="117" t="s">
        <v>114</v>
      </c>
      <c r="U175" s="72" t="s">
        <v>191</v>
      </c>
      <c r="V175" s="72" t="s">
        <v>99</v>
      </c>
      <c r="W175" s="72">
        <v>1</v>
      </c>
      <c r="X175" s="72" t="s">
        <v>635</v>
      </c>
      <c r="Y175" s="72" t="s">
        <v>211</v>
      </c>
      <c r="Z175" s="72" t="s">
        <v>568</v>
      </c>
      <c r="AA175" s="72" t="s">
        <v>3107</v>
      </c>
      <c r="AB175" s="72" t="s">
        <v>644</v>
      </c>
      <c r="AC175" s="72" t="s">
        <v>105</v>
      </c>
      <c r="AG175" s="72">
        <v>2</v>
      </c>
      <c r="AH175" s="72" t="s">
        <v>90</v>
      </c>
      <c r="AI175" s="72" t="s">
        <v>645</v>
      </c>
      <c r="AJ175" s="72" t="s">
        <v>637</v>
      </c>
      <c r="AQ175" s="72" t="s">
        <v>155</v>
      </c>
      <c r="AR175" s="72" t="s">
        <v>119</v>
      </c>
      <c r="AS175" s="72" t="s">
        <v>114</v>
      </c>
      <c r="AT175" s="72" t="s">
        <v>120</v>
      </c>
      <c r="AU175" s="72" t="s">
        <v>116</v>
      </c>
      <c r="AV175" t="s">
        <v>646</v>
      </c>
      <c r="AW175" s="72">
        <v>7</v>
      </c>
      <c r="AX175" s="72" t="s">
        <v>647</v>
      </c>
      <c r="AY175" s="72" t="s">
        <v>123</v>
      </c>
      <c r="BA175" s="72" t="s">
        <v>116</v>
      </c>
      <c r="BB175" s="72" t="s">
        <v>648</v>
      </c>
      <c r="BC175" s="72">
        <v>3</v>
      </c>
      <c r="BJ175" s="72">
        <v>22</v>
      </c>
      <c r="BK175" s="72" t="s">
        <v>669</v>
      </c>
      <c r="BL175" t="s">
        <v>511</v>
      </c>
      <c r="BM175" s="72" t="s">
        <v>650</v>
      </c>
      <c r="BN175" s="82">
        <v>0.104294</v>
      </c>
      <c r="BO175" s="72">
        <v>0.10531698183034</v>
      </c>
      <c r="BP175" s="82">
        <v>0.114519</v>
      </c>
      <c r="BQ175" s="72" t="s">
        <v>594</v>
      </c>
      <c r="BR175" s="72">
        <v>1</v>
      </c>
      <c r="BS175" s="72">
        <v>3.6809837999999998E-2</v>
      </c>
      <c r="BT175" s="72">
        <v>3.7832317458940501E-2</v>
      </c>
      <c r="BU175" s="72">
        <v>3.7832316999999997E-2</v>
      </c>
      <c r="BV175" s="72" t="s">
        <v>594</v>
      </c>
      <c r="BW175" s="72">
        <v>1</v>
      </c>
      <c r="BX175" s="72" t="s">
        <v>537</v>
      </c>
      <c r="BY175" s="72">
        <v>3.7832317458940501E-2</v>
      </c>
      <c r="BZ175" s="72">
        <v>3.7832316999999997E-2</v>
      </c>
      <c r="CA175" s="92">
        <v>4.6949072294183679E-3</v>
      </c>
      <c r="CB175" s="92">
        <v>-2.3415331819179261E-10</v>
      </c>
      <c r="CC175" s="72" t="s">
        <v>163</v>
      </c>
      <c r="CG175" t="s">
        <v>3095</v>
      </c>
    </row>
    <row r="176" spans="1:85" s="72" customFormat="1" ht="14.5">
      <c r="A176" s="72" t="s">
        <v>639</v>
      </c>
      <c r="B176" s="72" t="str">
        <f t="shared" si="1"/>
        <v>addtl8-2019</v>
      </c>
      <c r="C176" s="72">
        <v>2019</v>
      </c>
      <c r="D176" s="73" t="s">
        <v>640</v>
      </c>
      <c r="E176" s="74">
        <v>45044</v>
      </c>
      <c r="F176" s="72" t="s">
        <v>90</v>
      </c>
      <c r="G176" s="72" t="s">
        <v>495</v>
      </c>
      <c r="I176" s="73" t="s">
        <v>641</v>
      </c>
      <c r="J176" s="72" t="s">
        <v>642</v>
      </c>
      <c r="K176" s="72" t="s">
        <v>94</v>
      </c>
      <c r="L176" s="72" t="s">
        <v>94</v>
      </c>
      <c r="M176" s="72" t="s">
        <v>95</v>
      </c>
      <c r="N176" s="94" t="s">
        <v>643</v>
      </c>
      <c r="O176" s="81" t="s">
        <v>97</v>
      </c>
      <c r="P176" s="72" t="s">
        <v>97</v>
      </c>
      <c r="S176" s="72" t="s">
        <v>90</v>
      </c>
      <c r="T176" s="117" t="s">
        <v>114</v>
      </c>
      <c r="U176" s="72" t="s">
        <v>191</v>
      </c>
      <c r="V176" s="72" t="s">
        <v>99</v>
      </c>
      <c r="W176" s="72">
        <v>1</v>
      </c>
      <c r="X176" s="72" t="s">
        <v>635</v>
      </c>
      <c r="Y176" s="72" t="s">
        <v>211</v>
      </c>
      <c r="Z176" s="72" t="s">
        <v>568</v>
      </c>
      <c r="AA176" s="72" t="s">
        <v>3107</v>
      </c>
      <c r="AB176" s="72" t="s">
        <v>644</v>
      </c>
      <c r="AC176" s="72" t="s">
        <v>105</v>
      </c>
      <c r="AG176" s="72">
        <v>2</v>
      </c>
      <c r="AH176" s="72" t="s">
        <v>90</v>
      </c>
      <c r="AI176" s="72" t="s">
        <v>645</v>
      </c>
      <c r="AJ176" s="72" t="s">
        <v>637</v>
      </c>
      <c r="AQ176" s="72" t="s">
        <v>155</v>
      </c>
      <c r="AR176" s="72" t="s">
        <v>119</v>
      </c>
      <c r="AS176" s="72" t="s">
        <v>114</v>
      </c>
      <c r="AT176" s="72" t="s">
        <v>120</v>
      </c>
      <c r="AU176" s="72" t="s">
        <v>116</v>
      </c>
      <c r="AV176" t="s">
        <v>646</v>
      </c>
      <c r="AW176" s="72">
        <v>7</v>
      </c>
      <c r="AX176" s="72" t="s">
        <v>647</v>
      </c>
      <c r="AY176" s="72" t="s">
        <v>123</v>
      </c>
      <c r="BA176" s="72" t="s">
        <v>116</v>
      </c>
      <c r="BB176" s="72" t="s">
        <v>648</v>
      </c>
      <c r="BC176" s="72">
        <v>3</v>
      </c>
      <c r="BJ176" s="72">
        <v>22</v>
      </c>
      <c r="BK176" s="72" t="s">
        <v>670</v>
      </c>
      <c r="BL176" t="s">
        <v>511</v>
      </c>
      <c r="BM176" s="72" t="s">
        <v>650</v>
      </c>
      <c r="BN176" s="82">
        <v>0.11503099999999999</v>
      </c>
      <c r="BO176" s="72">
        <v>0.115541930386535</v>
      </c>
      <c r="BP176" s="82">
        <v>0.11554200000000001</v>
      </c>
      <c r="BQ176" s="72" t="s">
        <v>594</v>
      </c>
      <c r="BR176" s="72">
        <v>1</v>
      </c>
      <c r="BS176" s="72">
        <v>3.6809837999999998E-2</v>
      </c>
      <c r="BT176" s="72">
        <v>3.7832317458940501E-2</v>
      </c>
      <c r="BU176" s="72">
        <v>3.7832316999999997E-2</v>
      </c>
      <c r="BV176" s="72" t="s">
        <v>594</v>
      </c>
      <c r="BW176" s="72">
        <v>1</v>
      </c>
      <c r="BX176" s="72" t="s">
        <v>537</v>
      </c>
      <c r="BY176" s="72">
        <v>3.7832317458940501E-2</v>
      </c>
      <c r="BZ176" s="72">
        <v>3.7832316999999997E-2</v>
      </c>
      <c r="CA176" s="92">
        <v>3.5517073982824055E-8</v>
      </c>
      <c r="CB176" s="92">
        <v>-2.3415331819179261E-10</v>
      </c>
      <c r="CC176" s="72" t="s">
        <v>163</v>
      </c>
      <c r="CG176" t="s">
        <v>3095</v>
      </c>
    </row>
    <row r="177" spans="1:85" s="72" customFormat="1" ht="14.5">
      <c r="A177" s="72" t="s">
        <v>671</v>
      </c>
      <c r="B177" s="72" t="str">
        <f t="shared" si="1"/>
        <v>addtl10-2018</v>
      </c>
      <c r="C177" s="72">
        <v>2018</v>
      </c>
      <c r="D177" s="73" t="s">
        <v>672</v>
      </c>
      <c r="E177" s="74">
        <v>45044</v>
      </c>
      <c r="F177" s="72" t="s">
        <v>90</v>
      </c>
      <c r="I177" s="73" t="s">
        <v>673</v>
      </c>
      <c r="J177" s="72" t="s">
        <v>674</v>
      </c>
      <c r="K177" s="72" t="s">
        <v>97</v>
      </c>
      <c r="L177" s="72" t="s">
        <v>97</v>
      </c>
      <c r="M177" s="72" t="s">
        <v>95</v>
      </c>
      <c r="N177" s="72" t="s">
        <v>675</v>
      </c>
      <c r="O177" s="72" t="s">
        <v>97</v>
      </c>
      <c r="P177" s="72" t="s">
        <v>97</v>
      </c>
      <c r="S177" s="72" t="s">
        <v>90</v>
      </c>
      <c r="T177" s="117" t="s">
        <v>114</v>
      </c>
      <c r="U177" s="72" t="s">
        <v>191</v>
      </c>
      <c r="X177" s="72" t="s">
        <v>3090</v>
      </c>
      <c r="Y177" s="72" t="s">
        <v>3089</v>
      </c>
      <c r="Z177" s="72" t="s">
        <v>3091</v>
      </c>
      <c r="AA177" s="72" t="s">
        <v>3108</v>
      </c>
      <c r="AB177" s="72" t="s">
        <v>676</v>
      </c>
      <c r="AC177" s="72" t="s">
        <v>105</v>
      </c>
      <c r="AG177" s="72">
        <v>2</v>
      </c>
      <c r="AH177" s="72" t="s">
        <v>90</v>
      </c>
      <c r="AI177" s="72" t="s">
        <v>677</v>
      </c>
      <c r="AJ177" s="72" t="s">
        <v>637</v>
      </c>
      <c r="AQ177" s="72" t="s">
        <v>155</v>
      </c>
      <c r="AR177" s="72" t="s">
        <v>119</v>
      </c>
      <c r="AS177" s="72" t="s">
        <v>114</v>
      </c>
      <c r="AT177" s="72" t="s">
        <v>120</v>
      </c>
      <c r="AU177" s="72" t="s">
        <v>116</v>
      </c>
      <c r="AV177" s="72" t="s">
        <v>678</v>
      </c>
      <c r="AW177" s="72">
        <v>2</v>
      </c>
      <c r="AX177" s="72" t="s">
        <v>535</v>
      </c>
      <c r="AY177" s="72" t="s">
        <v>536</v>
      </c>
      <c r="AZ177" s="72" t="s">
        <v>537</v>
      </c>
      <c r="BA177" s="72" t="s">
        <v>116</v>
      </c>
      <c r="BB177" s="72" t="s">
        <v>679</v>
      </c>
      <c r="BC177" s="72">
        <v>2</v>
      </c>
      <c r="BJ177" s="123">
        <v>0</v>
      </c>
      <c r="BK177" s="72" t="s">
        <v>680</v>
      </c>
      <c r="BL177" t="s">
        <v>355</v>
      </c>
      <c r="BM177" s="72" t="s">
        <v>3192</v>
      </c>
      <c r="BN177" s="72">
        <v>0.28712300000000002</v>
      </c>
      <c r="BO177" s="72">
        <v>0.29452099999999998</v>
      </c>
      <c r="BP177" s="72">
        <v>0.30191800000000002</v>
      </c>
      <c r="BQ177" s="72" t="s">
        <v>161</v>
      </c>
      <c r="BR177" s="72">
        <v>2</v>
      </c>
      <c r="BS177" s="72">
        <v>0.281781</v>
      </c>
      <c r="BT177" s="72">
        <v>0.28958899999999999</v>
      </c>
      <c r="BU177" s="72">
        <v>0.29698600000000003</v>
      </c>
      <c r="BV177" s="72" t="s">
        <v>161</v>
      </c>
      <c r="BW177" s="72">
        <v>2</v>
      </c>
      <c r="BX177" s="72" t="s">
        <v>682</v>
      </c>
      <c r="BY177" s="72">
        <v>65.397683786653801</v>
      </c>
      <c r="BZ177" s="72">
        <v>66.833977315071806</v>
      </c>
      <c r="CA177">
        <v>1.3899613080728983</v>
      </c>
      <c r="CB177">
        <v>1.4362935284180054</v>
      </c>
      <c r="CC177" s="72" t="s">
        <v>683</v>
      </c>
      <c r="CF177" s="72" t="s">
        <v>3193</v>
      </c>
      <c r="CG177" t="s">
        <v>3095</v>
      </c>
    </row>
    <row r="178" spans="1:85" s="72" customFormat="1" ht="14.5">
      <c r="A178" s="72" t="s">
        <v>671</v>
      </c>
      <c r="B178" s="72" t="str">
        <f t="shared" si="1"/>
        <v>addtl10-2018</v>
      </c>
      <c r="C178" s="72">
        <v>2018</v>
      </c>
      <c r="D178" s="73" t="s">
        <v>672</v>
      </c>
      <c r="E178" s="74">
        <v>45044</v>
      </c>
      <c r="F178" s="72" t="s">
        <v>90</v>
      </c>
      <c r="I178" s="73" t="s">
        <v>673</v>
      </c>
      <c r="J178" s="72" t="s">
        <v>674</v>
      </c>
      <c r="K178" s="72" t="s">
        <v>97</v>
      </c>
      <c r="L178" s="72" t="s">
        <v>97</v>
      </c>
      <c r="M178" s="72" t="s">
        <v>95</v>
      </c>
      <c r="N178" s="72" t="s">
        <v>675</v>
      </c>
      <c r="O178" s="72" t="s">
        <v>97</v>
      </c>
      <c r="P178" s="72" t="s">
        <v>97</v>
      </c>
      <c r="S178" s="72" t="s">
        <v>90</v>
      </c>
      <c r="T178" s="117" t="s">
        <v>114</v>
      </c>
      <c r="U178" s="72" t="s">
        <v>191</v>
      </c>
      <c r="X178" s="72" t="s">
        <v>3090</v>
      </c>
      <c r="Y178" s="72" t="s">
        <v>3089</v>
      </c>
      <c r="Z178" s="72" t="s">
        <v>3091</v>
      </c>
      <c r="AA178" s="72" t="s">
        <v>3108</v>
      </c>
      <c r="AB178" s="72" t="s">
        <v>676</v>
      </c>
      <c r="AC178" s="72" t="s">
        <v>105</v>
      </c>
      <c r="AG178" s="72">
        <v>2</v>
      </c>
      <c r="AH178" s="72" t="s">
        <v>90</v>
      </c>
      <c r="AI178" s="72" t="s">
        <v>677</v>
      </c>
      <c r="AJ178" s="72" t="s">
        <v>637</v>
      </c>
      <c r="AQ178" s="72" t="s">
        <v>155</v>
      </c>
      <c r="AR178" s="72" t="s">
        <v>119</v>
      </c>
      <c r="AS178" s="72" t="s">
        <v>114</v>
      </c>
      <c r="AT178" s="72" t="s">
        <v>120</v>
      </c>
      <c r="AU178" s="72" t="s">
        <v>116</v>
      </c>
      <c r="AV178" s="72" t="s">
        <v>678</v>
      </c>
      <c r="AW178" s="72">
        <v>2</v>
      </c>
      <c r="AX178" s="72" t="s">
        <v>535</v>
      </c>
      <c r="AY178" s="72" t="s">
        <v>536</v>
      </c>
      <c r="AZ178" s="72" t="s">
        <v>537</v>
      </c>
      <c r="BA178" s="72" t="s">
        <v>116</v>
      </c>
      <c r="BB178" s="72" t="s">
        <v>679</v>
      </c>
      <c r="BC178" s="72">
        <v>2</v>
      </c>
      <c r="BJ178" s="123">
        <v>0</v>
      </c>
      <c r="BK178" s="72" t="s">
        <v>684</v>
      </c>
      <c r="BL178" t="s">
        <v>355</v>
      </c>
      <c r="BM178" s="72" t="s">
        <v>3192</v>
      </c>
      <c r="BN178" s="72">
        <v>0.24130099999999999</v>
      </c>
      <c r="BO178" s="72">
        <v>0.24931500000000001</v>
      </c>
      <c r="BP178" s="72">
        <v>0.25732899999999997</v>
      </c>
      <c r="BQ178" s="72" t="s">
        <v>161</v>
      </c>
      <c r="BR178" s="72">
        <v>2</v>
      </c>
      <c r="BS178" s="72">
        <v>0.23616400000000001</v>
      </c>
      <c r="BT178" s="72">
        <v>0.24335599999999999</v>
      </c>
      <c r="BU178" s="72">
        <v>0.25157499999999999</v>
      </c>
      <c r="BV178" s="72" t="s">
        <v>161</v>
      </c>
      <c r="BW178" s="72">
        <v>2</v>
      </c>
      <c r="BX178" s="72" t="s">
        <v>682</v>
      </c>
      <c r="BY178" s="72">
        <v>67.992278405132595</v>
      </c>
      <c r="BZ178" s="72">
        <v>69.405405381521206</v>
      </c>
      <c r="CA178">
        <v>1.4594596385906016</v>
      </c>
      <c r="CB178">
        <v>1.413126976388611</v>
      </c>
      <c r="CC178" s="72" t="s">
        <v>683</v>
      </c>
      <c r="CF178" s="72" t="s">
        <v>3193</v>
      </c>
      <c r="CG178" t="s">
        <v>3095</v>
      </c>
    </row>
    <row r="179" spans="1:85" s="72" customFormat="1" ht="14.5">
      <c r="A179" s="72" t="s">
        <v>671</v>
      </c>
      <c r="B179" s="72" t="str">
        <f t="shared" si="1"/>
        <v>addtl10-2018</v>
      </c>
      <c r="C179" s="72">
        <v>2018</v>
      </c>
      <c r="D179" s="73" t="s">
        <v>672</v>
      </c>
      <c r="E179" s="74">
        <v>45044</v>
      </c>
      <c r="F179" s="72" t="s">
        <v>90</v>
      </c>
      <c r="I179" s="73" t="s">
        <v>673</v>
      </c>
      <c r="J179" s="72" t="s">
        <v>674</v>
      </c>
      <c r="K179" s="72" t="s">
        <v>97</v>
      </c>
      <c r="L179" s="72" t="s">
        <v>97</v>
      </c>
      <c r="M179" s="72" t="s">
        <v>95</v>
      </c>
      <c r="N179" s="72" t="s">
        <v>675</v>
      </c>
      <c r="O179" s="72" t="s">
        <v>97</v>
      </c>
      <c r="P179" s="72" t="s">
        <v>97</v>
      </c>
      <c r="S179" s="72" t="s">
        <v>90</v>
      </c>
      <c r="T179" s="117" t="s">
        <v>114</v>
      </c>
      <c r="U179" s="72" t="s">
        <v>191</v>
      </c>
      <c r="X179" s="72" t="s">
        <v>3090</v>
      </c>
      <c r="Y179" s="72" t="s">
        <v>3089</v>
      </c>
      <c r="Z179" s="72" t="s">
        <v>3091</v>
      </c>
      <c r="AA179" s="72" t="s">
        <v>3108</v>
      </c>
      <c r="AB179" s="72" t="s">
        <v>676</v>
      </c>
      <c r="AC179" s="72" t="s">
        <v>105</v>
      </c>
      <c r="AG179" s="72">
        <v>2</v>
      </c>
      <c r="AH179" s="72" t="s">
        <v>90</v>
      </c>
      <c r="AI179" s="72" t="s">
        <v>677</v>
      </c>
      <c r="AJ179" s="72" t="s">
        <v>637</v>
      </c>
      <c r="AQ179" s="72" t="s">
        <v>155</v>
      </c>
      <c r="AR179" s="72" t="s">
        <v>119</v>
      </c>
      <c r="AS179" s="72" t="s">
        <v>114</v>
      </c>
      <c r="AT179" s="72" t="s">
        <v>120</v>
      </c>
      <c r="AU179" s="72" t="s">
        <v>116</v>
      </c>
      <c r="AV179" s="72" t="s">
        <v>678</v>
      </c>
      <c r="AW179" s="72">
        <v>2</v>
      </c>
      <c r="AX179" s="72" t="s">
        <v>535</v>
      </c>
      <c r="AY179" s="72" t="s">
        <v>536</v>
      </c>
      <c r="AZ179" s="72" t="s">
        <v>537</v>
      </c>
      <c r="BA179" s="72" t="s">
        <v>116</v>
      </c>
      <c r="BB179" s="72" t="s">
        <v>679</v>
      </c>
      <c r="BC179" s="72">
        <v>2</v>
      </c>
      <c r="BJ179" s="72">
        <v>5</v>
      </c>
      <c r="BK179" s="72" t="s">
        <v>685</v>
      </c>
      <c r="BL179" t="s">
        <v>355</v>
      </c>
      <c r="BM179" s="72" t="s">
        <v>3192</v>
      </c>
      <c r="BN179" s="72">
        <v>0.237599</v>
      </c>
      <c r="BO179" s="72">
        <v>0.24562600000000001</v>
      </c>
      <c r="BP179" s="72">
        <v>0.25303599999999998</v>
      </c>
      <c r="BQ179" s="72" t="s">
        <v>161</v>
      </c>
      <c r="BR179" s="72">
        <v>2</v>
      </c>
      <c r="BS179" s="72">
        <v>0.23245299999999999</v>
      </c>
      <c r="BT179" s="72">
        <v>0.23986299999999999</v>
      </c>
      <c r="BU179" s="72">
        <v>0.24789</v>
      </c>
      <c r="BV179" s="72" t="s">
        <v>161</v>
      </c>
      <c r="BW179" s="72">
        <v>2</v>
      </c>
      <c r="BX179" s="72" t="s">
        <v>682</v>
      </c>
      <c r="BY179" s="72">
        <v>37.601156279670199</v>
      </c>
      <c r="BZ179" s="72">
        <v>39.109827054180599</v>
      </c>
      <c r="CA179">
        <v>1.4913299972492027</v>
      </c>
      <c r="CB179">
        <v>1.5086707745103993</v>
      </c>
      <c r="CC179" s="72" t="s">
        <v>683</v>
      </c>
      <c r="CF179" s="72" t="s">
        <v>3193</v>
      </c>
      <c r="CG179" t="s">
        <v>3095</v>
      </c>
    </row>
    <row r="180" spans="1:85" s="72" customFormat="1" ht="14.5">
      <c r="A180" s="72" t="s">
        <v>671</v>
      </c>
      <c r="B180" s="72" t="str">
        <f t="shared" si="1"/>
        <v>addtl10-2018</v>
      </c>
      <c r="C180" s="72">
        <v>2018</v>
      </c>
      <c r="D180" s="73" t="s">
        <v>672</v>
      </c>
      <c r="E180" s="74">
        <v>45044</v>
      </c>
      <c r="F180" s="72" t="s">
        <v>90</v>
      </c>
      <c r="I180" s="73" t="s">
        <v>673</v>
      </c>
      <c r="J180" s="72" t="s">
        <v>674</v>
      </c>
      <c r="K180" s="72" t="s">
        <v>97</v>
      </c>
      <c r="L180" s="72" t="s">
        <v>97</v>
      </c>
      <c r="M180" s="72" t="s">
        <v>95</v>
      </c>
      <c r="N180" s="72" t="s">
        <v>675</v>
      </c>
      <c r="O180" s="72" t="s">
        <v>97</v>
      </c>
      <c r="P180" s="72" t="s">
        <v>97</v>
      </c>
      <c r="S180" s="72" t="s">
        <v>90</v>
      </c>
      <c r="T180" s="117" t="s">
        <v>114</v>
      </c>
      <c r="U180" s="72" t="s">
        <v>191</v>
      </c>
      <c r="X180" s="72" t="s">
        <v>3090</v>
      </c>
      <c r="Y180" s="72" t="s">
        <v>3089</v>
      </c>
      <c r="Z180" s="72" t="s">
        <v>3091</v>
      </c>
      <c r="AA180" s="72" t="s">
        <v>3108</v>
      </c>
      <c r="AB180" s="72" t="s">
        <v>676</v>
      </c>
      <c r="AC180" s="72" t="s">
        <v>105</v>
      </c>
      <c r="AG180" s="72">
        <v>2</v>
      </c>
      <c r="AH180" s="72" t="s">
        <v>90</v>
      </c>
      <c r="AI180" s="72" t="s">
        <v>677</v>
      </c>
      <c r="AJ180" s="72" t="s">
        <v>637</v>
      </c>
      <c r="AQ180" s="72" t="s">
        <v>155</v>
      </c>
      <c r="AR180" s="72" t="s">
        <v>119</v>
      </c>
      <c r="AS180" s="72" t="s">
        <v>114</v>
      </c>
      <c r="AT180" s="72" t="s">
        <v>120</v>
      </c>
      <c r="AU180" s="72" t="s">
        <v>116</v>
      </c>
      <c r="AV180" s="72" t="s">
        <v>678</v>
      </c>
      <c r="AW180" s="72">
        <v>2</v>
      </c>
      <c r="AX180" s="72" t="s">
        <v>535</v>
      </c>
      <c r="AY180" s="72" t="s">
        <v>536</v>
      </c>
      <c r="AZ180" s="72" t="s">
        <v>537</v>
      </c>
      <c r="BA180" s="72" t="s">
        <v>116</v>
      </c>
      <c r="BB180" s="72" t="s">
        <v>679</v>
      </c>
      <c r="BC180" s="72">
        <v>2</v>
      </c>
      <c r="BJ180" s="72">
        <v>5</v>
      </c>
      <c r="BK180" s="72" t="s">
        <v>686</v>
      </c>
      <c r="BL180" t="s">
        <v>355</v>
      </c>
      <c r="BM180" s="72" t="s">
        <v>3192</v>
      </c>
      <c r="BN180" s="72">
        <v>0.19293299999999999</v>
      </c>
      <c r="BO180" s="72">
        <v>0.20199</v>
      </c>
      <c r="BP180" s="72">
        <v>0.20837</v>
      </c>
      <c r="BQ180" s="72" t="s">
        <v>161</v>
      </c>
      <c r="BR180" s="72">
        <v>2</v>
      </c>
      <c r="BS180" s="72">
        <v>0.18799299999999999</v>
      </c>
      <c r="BT180" s="72">
        <v>0.19519700000000001</v>
      </c>
      <c r="BU180" s="72">
        <v>0.203431</v>
      </c>
      <c r="BV180" s="72" t="s">
        <v>161</v>
      </c>
      <c r="BW180" s="72">
        <v>2</v>
      </c>
      <c r="BX180" s="72" t="s">
        <v>682</v>
      </c>
      <c r="BY180" s="72">
        <v>39.820809506020503</v>
      </c>
      <c r="BZ180" s="72">
        <v>41.294798064500299</v>
      </c>
      <c r="CA180">
        <v>1.4566477812186989</v>
      </c>
      <c r="CB180">
        <v>1.473988558479796</v>
      </c>
      <c r="CC180" s="72" t="s">
        <v>683</v>
      </c>
      <c r="CF180" s="72" t="s">
        <v>3193</v>
      </c>
      <c r="CG180" t="s">
        <v>3095</v>
      </c>
    </row>
    <row r="181" spans="1:85" s="72" customFormat="1" ht="14.5">
      <c r="A181" s="72" t="s">
        <v>687</v>
      </c>
      <c r="B181" s="72" t="str">
        <f t="shared" si="1"/>
        <v>addtl11-2018</v>
      </c>
      <c r="C181" s="72">
        <v>2018</v>
      </c>
      <c r="D181" s="73" t="s">
        <v>688</v>
      </c>
      <c r="E181" s="74">
        <v>45044</v>
      </c>
      <c r="F181" s="72" t="s">
        <v>90</v>
      </c>
      <c r="I181" s="73" t="s">
        <v>673</v>
      </c>
      <c r="J181" s="131" t="s">
        <v>689</v>
      </c>
      <c r="K181" s="72" t="s">
        <v>97</v>
      </c>
      <c r="L181" s="72" t="s">
        <v>137</v>
      </c>
      <c r="M181" s="72" t="s">
        <v>95</v>
      </c>
      <c r="N181" s="72" t="s">
        <v>690</v>
      </c>
      <c r="O181" s="72" t="s">
        <v>90</v>
      </c>
      <c r="P181" s="72" t="s">
        <v>97</v>
      </c>
      <c r="Q181" s="72" t="s">
        <v>691</v>
      </c>
      <c r="R181" s="81"/>
      <c r="S181" s="72" t="s">
        <v>90</v>
      </c>
      <c r="T181" s="72" t="s">
        <v>94</v>
      </c>
      <c r="U181" s="72" t="s">
        <v>191</v>
      </c>
      <c r="X181" s="72" t="s">
        <v>3093</v>
      </c>
      <c r="Y181" s="72" t="s">
        <v>3092</v>
      </c>
      <c r="Z181" s="72" t="s">
        <v>3091</v>
      </c>
      <c r="AA181" s="72" t="s">
        <v>3109</v>
      </c>
      <c r="AB181" s="72" t="s">
        <v>212</v>
      </c>
      <c r="AC181" s="72" t="s">
        <v>20</v>
      </c>
      <c r="AG181" s="72">
        <v>1</v>
      </c>
      <c r="AH181" s="72" t="s">
        <v>97</v>
      </c>
      <c r="AI181" s="72" t="s">
        <v>677</v>
      </c>
      <c r="AJ181" s="72" t="s">
        <v>637</v>
      </c>
      <c r="AQ181" s="72" t="s">
        <v>155</v>
      </c>
      <c r="AR181" s="72" t="s">
        <v>119</v>
      </c>
      <c r="AS181" s="72" t="s">
        <v>114</v>
      </c>
      <c r="AT181" s="72" t="s">
        <v>120</v>
      </c>
      <c r="AU181" s="72" t="s">
        <v>116</v>
      </c>
      <c r="AV181" s="72" t="s">
        <v>692</v>
      </c>
      <c r="AW181" s="72">
        <v>2</v>
      </c>
      <c r="BJ181" s="123">
        <v>0</v>
      </c>
      <c r="BK181" s="72">
        <v>15.1</v>
      </c>
      <c r="BL181" t="s">
        <v>355</v>
      </c>
      <c r="BM181" s="72" t="s">
        <v>693</v>
      </c>
      <c r="BN181" s="72" t="s">
        <v>160</v>
      </c>
      <c r="BO181" s="72">
        <v>4.6666669040256202E-2</v>
      </c>
      <c r="BP181" s="72">
        <v>5.8666588270395198E-2</v>
      </c>
      <c r="BQ181" s="72" t="s">
        <v>161</v>
      </c>
      <c r="BR181" s="72">
        <v>71</v>
      </c>
      <c r="BS181" s="72" t="s">
        <v>160</v>
      </c>
      <c r="BT181" s="72">
        <v>3.06667089165602E-2</v>
      </c>
      <c r="BU181" s="72">
        <v>4.0000002034505301E-2</v>
      </c>
      <c r="BV181" s="72" t="s">
        <v>161</v>
      </c>
      <c r="BW181" s="72">
        <v>71</v>
      </c>
      <c r="BX181" s="72" t="s">
        <v>128</v>
      </c>
      <c r="BY181" s="72">
        <v>3.06667089165602E-2</v>
      </c>
      <c r="BZ181" s="72">
        <v>4.0000002034505301E-2</v>
      </c>
      <c r="CA181">
        <v>1.1999919230138996E-2</v>
      </c>
      <c r="CB181">
        <v>9.3332931179451011E-3</v>
      </c>
      <c r="CC181" s="72" t="s">
        <v>694</v>
      </c>
      <c r="CG181" t="s">
        <v>3095</v>
      </c>
    </row>
    <row r="182" spans="1:85" s="72" customFormat="1" ht="14.5">
      <c r="A182" s="72" t="s">
        <v>687</v>
      </c>
      <c r="B182" s="72" t="str">
        <f t="shared" si="1"/>
        <v>addtl11-2018</v>
      </c>
      <c r="C182" s="72">
        <v>2018</v>
      </c>
      <c r="D182" s="73" t="s">
        <v>688</v>
      </c>
      <c r="E182" s="74">
        <v>45044</v>
      </c>
      <c r="F182" s="72" t="s">
        <v>90</v>
      </c>
      <c r="I182" s="73" t="s">
        <v>673</v>
      </c>
      <c r="J182" s="131" t="s">
        <v>689</v>
      </c>
      <c r="K182" s="72" t="s">
        <v>97</v>
      </c>
      <c r="L182" s="72" t="s">
        <v>137</v>
      </c>
      <c r="M182" s="72" t="s">
        <v>95</v>
      </c>
      <c r="N182" s="72" t="s">
        <v>690</v>
      </c>
      <c r="O182" s="72" t="s">
        <v>90</v>
      </c>
      <c r="P182" s="72" t="s">
        <v>97</v>
      </c>
      <c r="Q182" s="72" t="s">
        <v>691</v>
      </c>
      <c r="R182" s="81"/>
      <c r="S182" s="72" t="s">
        <v>90</v>
      </c>
      <c r="T182" s="72" t="s">
        <v>94</v>
      </c>
      <c r="U182" s="72" t="s">
        <v>191</v>
      </c>
      <c r="X182" s="72" t="s">
        <v>3093</v>
      </c>
      <c r="Y182" s="72" t="s">
        <v>3092</v>
      </c>
      <c r="Z182" s="72" t="s">
        <v>3091</v>
      </c>
      <c r="AA182" s="72" t="s">
        <v>3109</v>
      </c>
      <c r="AB182" s="72" t="s">
        <v>212</v>
      </c>
      <c r="AC182" s="72" t="s">
        <v>20</v>
      </c>
      <c r="AG182" s="72">
        <v>1</v>
      </c>
      <c r="AH182" s="72" t="s">
        <v>97</v>
      </c>
      <c r="AI182" s="72" t="s">
        <v>677</v>
      </c>
      <c r="AJ182" s="72" t="s">
        <v>637</v>
      </c>
      <c r="AQ182" s="72" t="s">
        <v>155</v>
      </c>
      <c r="AR182" s="72" t="s">
        <v>119</v>
      </c>
      <c r="AS182" s="72" t="s">
        <v>114</v>
      </c>
      <c r="AT182" s="72" t="s">
        <v>120</v>
      </c>
      <c r="AU182" s="72" t="s">
        <v>116</v>
      </c>
      <c r="AV182" s="72" t="s">
        <v>692</v>
      </c>
      <c r="AW182" s="72">
        <v>2</v>
      </c>
      <c r="BJ182" s="72">
        <v>3.4</v>
      </c>
      <c r="BK182" s="72">
        <v>18.5</v>
      </c>
      <c r="BL182" t="s">
        <v>355</v>
      </c>
      <c r="BM182" s="72" t="s">
        <v>693</v>
      </c>
      <c r="BN182" s="72" t="s">
        <v>160</v>
      </c>
      <c r="BO182" s="72">
        <v>0.21466670810275801</v>
      </c>
      <c r="BP182" s="72">
        <v>0.23066671908908601</v>
      </c>
      <c r="BQ182" s="72" t="s">
        <v>161</v>
      </c>
      <c r="BR182" s="72">
        <v>71</v>
      </c>
      <c r="BS182" s="72" t="s">
        <v>160</v>
      </c>
      <c r="BT182" s="72">
        <v>0.36000001831054701</v>
      </c>
      <c r="BU182" s="72">
        <v>0.41333335435655399</v>
      </c>
      <c r="BV182" s="72" t="s">
        <v>161</v>
      </c>
      <c r="BW182" s="72">
        <v>71</v>
      </c>
      <c r="BX182" s="72" t="s">
        <v>128</v>
      </c>
      <c r="BY182" s="72">
        <v>0.36000001831054701</v>
      </c>
      <c r="BZ182" s="72">
        <v>0.41333335435655399</v>
      </c>
      <c r="CA182">
        <v>1.6000010986328E-2</v>
      </c>
      <c r="CB182">
        <v>5.3333336046006985E-2</v>
      </c>
      <c r="CC182" s="72" t="s">
        <v>694</v>
      </c>
      <c r="CG182" t="s">
        <v>3095</v>
      </c>
    </row>
    <row r="183" spans="1:85" s="72" customFormat="1" ht="14.5">
      <c r="A183" s="72" t="s">
        <v>687</v>
      </c>
      <c r="B183" s="72" t="str">
        <f t="shared" si="1"/>
        <v>addtl11-2018</v>
      </c>
      <c r="C183" s="72">
        <v>2018</v>
      </c>
      <c r="D183" s="73" t="s">
        <v>688</v>
      </c>
      <c r="E183" s="74">
        <v>45044</v>
      </c>
      <c r="F183" s="72" t="s">
        <v>90</v>
      </c>
      <c r="I183" s="73" t="s">
        <v>673</v>
      </c>
      <c r="J183" s="131" t="s">
        <v>689</v>
      </c>
      <c r="K183" s="72" t="s">
        <v>97</v>
      </c>
      <c r="L183" s="72" t="s">
        <v>137</v>
      </c>
      <c r="M183" s="72" t="s">
        <v>95</v>
      </c>
      <c r="N183" s="72" t="s">
        <v>690</v>
      </c>
      <c r="O183" s="72" t="s">
        <v>90</v>
      </c>
      <c r="P183" s="72" t="s">
        <v>97</v>
      </c>
      <c r="Q183" s="72" t="s">
        <v>691</v>
      </c>
      <c r="R183" s="81"/>
      <c r="S183" s="72" t="s">
        <v>90</v>
      </c>
      <c r="T183" s="72" t="s">
        <v>94</v>
      </c>
      <c r="U183" s="72" t="s">
        <v>191</v>
      </c>
      <c r="X183" s="72" t="s">
        <v>3093</v>
      </c>
      <c r="Y183" s="72" t="s">
        <v>3092</v>
      </c>
      <c r="Z183" s="72" t="s">
        <v>3091</v>
      </c>
      <c r="AA183" s="72" t="s">
        <v>3109</v>
      </c>
      <c r="AB183" s="72" t="s">
        <v>212</v>
      </c>
      <c r="AC183" s="72" t="s">
        <v>20</v>
      </c>
      <c r="AG183" s="72">
        <v>1</v>
      </c>
      <c r="AH183" s="72" t="s">
        <v>97</v>
      </c>
      <c r="AI183" s="72" t="s">
        <v>677</v>
      </c>
      <c r="AJ183" s="72" t="s">
        <v>637</v>
      </c>
      <c r="AQ183" s="72" t="s">
        <v>155</v>
      </c>
      <c r="AR183" s="72" t="s">
        <v>119</v>
      </c>
      <c r="AS183" s="72" t="s">
        <v>114</v>
      </c>
      <c r="AT183" s="72" t="s">
        <v>120</v>
      </c>
      <c r="AU183" s="72" t="s">
        <v>116</v>
      </c>
      <c r="AV183" s="72" t="s">
        <v>692</v>
      </c>
      <c r="AW183" s="72">
        <v>2</v>
      </c>
      <c r="BJ183" s="72">
        <v>4.4000000000000004</v>
      </c>
      <c r="BK183" s="72">
        <v>19.5</v>
      </c>
      <c r="BL183" t="s">
        <v>355</v>
      </c>
      <c r="BM183" s="72" t="s">
        <v>693</v>
      </c>
      <c r="BN183" s="72" t="s">
        <v>160</v>
      </c>
      <c r="BO183" s="72">
        <v>0.322666693250869</v>
      </c>
      <c r="BP183" s="72">
        <v>0.33733339118110101</v>
      </c>
      <c r="BQ183" s="72" t="s">
        <v>161</v>
      </c>
      <c r="BR183" s="72">
        <v>71</v>
      </c>
      <c r="BS183" s="72" t="s">
        <v>160</v>
      </c>
      <c r="BT183" s="72">
        <v>0.38400006022135702</v>
      </c>
      <c r="BU183" s="72">
        <v>0.41466671827528401</v>
      </c>
      <c r="BV183" s="72" t="s">
        <v>161</v>
      </c>
      <c r="BW183" s="72">
        <v>71</v>
      </c>
      <c r="BX183" s="72" t="s">
        <v>128</v>
      </c>
      <c r="BY183" s="72">
        <v>0.38400006022135702</v>
      </c>
      <c r="BZ183" s="72">
        <v>0.41466671827528401</v>
      </c>
      <c r="CA183">
        <v>1.4666697930232009E-2</v>
      </c>
      <c r="CB183">
        <v>3.0666658053926987E-2</v>
      </c>
      <c r="CC183" s="72" t="s">
        <v>694</v>
      </c>
      <c r="CG183" t="s">
        <v>3095</v>
      </c>
    </row>
    <row r="184" spans="1:85" s="72" customFormat="1" ht="14.5">
      <c r="A184" s="72" t="s">
        <v>687</v>
      </c>
      <c r="B184" s="72" t="str">
        <f t="shared" si="1"/>
        <v>addtl11-2018</v>
      </c>
      <c r="C184" s="72">
        <v>2018</v>
      </c>
      <c r="D184" s="73" t="s">
        <v>688</v>
      </c>
      <c r="E184" s="74">
        <v>45044</v>
      </c>
      <c r="F184" s="72" t="s">
        <v>90</v>
      </c>
      <c r="I184" s="73" t="s">
        <v>673</v>
      </c>
      <c r="J184" s="131" t="s">
        <v>689</v>
      </c>
      <c r="K184" s="72" t="s">
        <v>97</v>
      </c>
      <c r="L184" s="72" t="s">
        <v>137</v>
      </c>
      <c r="M184" s="72" t="s">
        <v>95</v>
      </c>
      <c r="N184" s="72" t="s">
        <v>690</v>
      </c>
      <c r="O184" s="72" t="s">
        <v>90</v>
      </c>
      <c r="P184" s="72" t="s">
        <v>97</v>
      </c>
      <c r="Q184" s="72" t="s">
        <v>691</v>
      </c>
      <c r="R184" s="81"/>
      <c r="S184" s="72" t="s">
        <v>90</v>
      </c>
      <c r="T184" s="72" t="s">
        <v>94</v>
      </c>
      <c r="U184" s="72" t="s">
        <v>191</v>
      </c>
      <c r="X184" s="72" t="s">
        <v>3093</v>
      </c>
      <c r="Y184" s="72" t="s">
        <v>3092</v>
      </c>
      <c r="Z184" s="72" t="s">
        <v>3091</v>
      </c>
      <c r="AA184" s="72" t="s">
        <v>3109</v>
      </c>
      <c r="AB184" s="72" t="s">
        <v>212</v>
      </c>
      <c r="AC184" s="72" t="s">
        <v>20</v>
      </c>
      <c r="AG184" s="72">
        <v>1</v>
      </c>
      <c r="AH184" s="72" t="s">
        <v>97</v>
      </c>
      <c r="AI184" s="72" t="s">
        <v>677</v>
      </c>
      <c r="AJ184" s="72" t="s">
        <v>637</v>
      </c>
      <c r="AQ184" s="72" t="s">
        <v>155</v>
      </c>
      <c r="AR184" s="72" t="s">
        <v>119</v>
      </c>
      <c r="AS184" s="72" t="s">
        <v>114</v>
      </c>
      <c r="AT184" s="72" t="s">
        <v>120</v>
      </c>
      <c r="AU184" s="72" t="s">
        <v>116</v>
      </c>
      <c r="AV184" s="72" t="s">
        <v>692</v>
      </c>
      <c r="AW184" s="72">
        <v>2</v>
      </c>
      <c r="BJ184" s="72">
        <v>6.2</v>
      </c>
      <c r="BK184" s="72">
        <v>21.3</v>
      </c>
      <c r="BL184" t="s">
        <v>355</v>
      </c>
      <c r="BM184" s="72" t="s">
        <v>693</v>
      </c>
      <c r="BN184" s="72" t="s">
        <v>160</v>
      </c>
      <c r="BO184" s="72">
        <v>0.25733338711208997</v>
      </c>
      <c r="BP184" s="72">
        <v>0.27066672112359202</v>
      </c>
      <c r="BQ184" s="72" t="s">
        <v>161</v>
      </c>
      <c r="BR184" s="72">
        <v>71</v>
      </c>
      <c r="BS184" s="72" t="s">
        <v>160</v>
      </c>
      <c r="BT184" s="72">
        <v>0.248000043131512</v>
      </c>
      <c r="BU184" s="72">
        <v>0.264000054117841</v>
      </c>
      <c r="BV184" s="72" t="s">
        <v>161</v>
      </c>
      <c r="BW184" s="72">
        <v>71</v>
      </c>
      <c r="BX184" s="72" t="s">
        <v>128</v>
      </c>
      <c r="BY184" s="72">
        <v>0.248000043131512</v>
      </c>
      <c r="BZ184" s="72">
        <v>0.264000054117841</v>
      </c>
      <c r="CA184">
        <v>1.3333334011502052E-2</v>
      </c>
      <c r="CB184">
        <v>1.6000010986329E-2</v>
      </c>
      <c r="CC184" s="72" t="s">
        <v>694</v>
      </c>
      <c r="CG184" t="s">
        <v>3095</v>
      </c>
    </row>
    <row r="185" spans="1:85" ht="14.5">
      <c r="B185" s="87" t="s">
        <v>3231</v>
      </c>
      <c r="C185">
        <v>2025</v>
      </c>
      <c r="D185" t="s">
        <v>3215</v>
      </c>
      <c r="E185" s="132">
        <v>46064</v>
      </c>
      <c r="F185" s="72" t="s">
        <v>90</v>
      </c>
      <c r="J185" t="s">
        <v>3216</v>
      </c>
      <c r="M185" t="s">
        <v>138</v>
      </c>
      <c r="N185" t="s">
        <v>3217</v>
      </c>
      <c r="O185" t="s">
        <v>114</v>
      </c>
      <c r="S185" s="72" t="s">
        <v>114</v>
      </c>
      <c r="T185" s="72" t="s">
        <v>114</v>
      </c>
      <c r="U185" s="72" t="s">
        <v>141</v>
      </c>
      <c r="V185" t="s">
        <v>3218</v>
      </c>
      <c r="X185" t="s">
        <v>3219</v>
      </c>
      <c r="Y185" t="s">
        <v>3220</v>
      </c>
      <c r="AA185" t="s">
        <v>3221</v>
      </c>
      <c r="AB185" t="s">
        <v>3222</v>
      </c>
      <c r="AC185" t="s">
        <v>20</v>
      </c>
      <c r="AG185">
        <v>2</v>
      </c>
      <c r="AH185" t="s">
        <v>90</v>
      </c>
      <c r="AQ185" t="s">
        <v>155</v>
      </c>
      <c r="AU185" t="s">
        <v>116</v>
      </c>
      <c r="AV185" t="s">
        <v>3223</v>
      </c>
      <c r="AW185">
        <v>2</v>
      </c>
      <c r="BA185" t="s">
        <v>3224</v>
      </c>
      <c r="BB185" t="s">
        <v>116</v>
      </c>
      <c r="BC185" t="s">
        <v>3225</v>
      </c>
      <c r="BD185">
        <v>2</v>
      </c>
      <c r="BJ185">
        <v>0</v>
      </c>
      <c r="BK185" t="s">
        <v>3226</v>
      </c>
      <c r="BL185" t="s">
        <v>184</v>
      </c>
      <c r="BM185" t="s">
        <v>3227</v>
      </c>
      <c r="BN185">
        <v>7.27</v>
      </c>
      <c r="BO185">
        <v>8.24</v>
      </c>
      <c r="BP185">
        <v>9.15</v>
      </c>
      <c r="BQ185" t="s">
        <v>129</v>
      </c>
      <c r="BR185">
        <v>20</v>
      </c>
      <c r="BS185">
        <v>7.23</v>
      </c>
      <c r="BT185">
        <v>8.5</v>
      </c>
      <c r="BU185">
        <v>10.02</v>
      </c>
      <c r="BV185" t="s">
        <v>129</v>
      </c>
      <c r="BW185">
        <v>20</v>
      </c>
      <c r="BX185" t="s">
        <v>130</v>
      </c>
      <c r="CA185">
        <v>0.97000000000000064</v>
      </c>
      <c r="CB185">
        <v>1.2699999999999996</v>
      </c>
      <c r="CC185">
        <v>5</v>
      </c>
    </row>
    <row r="186" spans="1:85" ht="14.5">
      <c r="B186" s="87" t="s">
        <v>3231</v>
      </c>
      <c r="C186">
        <v>2025</v>
      </c>
      <c r="D186" t="s">
        <v>3215</v>
      </c>
      <c r="E186" s="132">
        <v>46064</v>
      </c>
      <c r="F186" s="72" t="s">
        <v>90</v>
      </c>
      <c r="J186" t="s">
        <v>3216</v>
      </c>
      <c r="M186" t="s">
        <v>138</v>
      </c>
      <c r="N186" t="s">
        <v>3217</v>
      </c>
      <c r="O186" t="s">
        <v>114</v>
      </c>
      <c r="S186" s="72" t="s">
        <v>114</v>
      </c>
      <c r="T186" s="72" t="s">
        <v>114</v>
      </c>
      <c r="U186" s="72" t="s">
        <v>141</v>
      </c>
      <c r="V186" t="s">
        <v>3218</v>
      </c>
      <c r="X186" t="s">
        <v>3219</v>
      </c>
      <c r="Y186" t="s">
        <v>3220</v>
      </c>
      <c r="AA186" t="s">
        <v>3221</v>
      </c>
      <c r="AB186" t="s">
        <v>3222</v>
      </c>
      <c r="AC186" t="s">
        <v>20</v>
      </c>
      <c r="AG186">
        <v>2</v>
      </c>
      <c r="AH186" t="s">
        <v>90</v>
      </c>
      <c r="AQ186" t="s">
        <v>155</v>
      </c>
      <c r="AU186" t="s">
        <v>116</v>
      </c>
      <c r="AV186" t="s">
        <v>3223</v>
      </c>
      <c r="AW186">
        <v>2</v>
      </c>
      <c r="BA186" t="s">
        <v>3224</v>
      </c>
      <c r="BB186" t="s">
        <v>116</v>
      </c>
      <c r="BC186" t="s">
        <v>3225</v>
      </c>
      <c r="BD186">
        <v>2</v>
      </c>
      <c r="BJ186">
        <v>2.79</v>
      </c>
      <c r="BK186" t="s">
        <v>3228</v>
      </c>
      <c r="BL186" t="s">
        <v>184</v>
      </c>
      <c r="BM186" t="s">
        <v>3227</v>
      </c>
      <c r="BN186">
        <v>4.62</v>
      </c>
      <c r="BO186">
        <v>5.66</v>
      </c>
      <c r="BP186">
        <v>7.15</v>
      </c>
      <c r="BQ186" t="s">
        <v>129</v>
      </c>
      <c r="BR186">
        <v>20</v>
      </c>
      <c r="BS186">
        <v>3.62</v>
      </c>
      <c r="BT186">
        <v>4.75</v>
      </c>
      <c r="BU186">
        <v>6.14</v>
      </c>
      <c r="BV186" t="s">
        <v>129</v>
      </c>
      <c r="BW186">
        <v>20</v>
      </c>
      <c r="BX186" t="s">
        <v>130</v>
      </c>
      <c r="CA186">
        <v>1.04</v>
      </c>
      <c r="CB186">
        <v>1.1299999999999999</v>
      </c>
      <c r="CC186">
        <v>5</v>
      </c>
    </row>
    <row r="187" spans="1:85" ht="14.5">
      <c r="B187" s="87" t="s">
        <v>3231</v>
      </c>
      <c r="C187">
        <v>2025</v>
      </c>
      <c r="D187" t="s">
        <v>3215</v>
      </c>
      <c r="E187" s="132">
        <v>46064</v>
      </c>
      <c r="F187" s="72" t="s">
        <v>90</v>
      </c>
      <c r="J187" t="s">
        <v>3216</v>
      </c>
      <c r="M187" t="s">
        <v>138</v>
      </c>
      <c r="N187" t="s">
        <v>3217</v>
      </c>
      <c r="O187" t="s">
        <v>114</v>
      </c>
      <c r="S187" s="72" t="s">
        <v>114</v>
      </c>
      <c r="T187" s="72" t="s">
        <v>114</v>
      </c>
      <c r="U187" s="72" t="s">
        <v>141</v>
      </c>
      <c r="V187" t="s">
        <v>3218</v>
      </c>
      <c r="X187" t="s">
        <v>3219</v>
      </c>
      <c r="Y187" t="s">
        <v>3220</v>
      </c>
      <c r="AA187" t="s">
        <v>3221</v>
      </c>
      <c r="AB187" t="s">
        <v>3222</v>
      </c>
      <c r="AC187" t="s">
        <v>20</v>
      </c>
      <c r="AG187">
        <v>2</v>
      </c>
      <c r="AH187" t="s">
        <v>90</v>
      </c>
      <c r="AQ187" t="s">
        <v>155</v>
      </c>
      <c r="AU187" t="s">
        <v>116</v>
      </c>
      <c r="AV187" t="s">
        <v>3223</v>
      </c>
      <c r="AW187">
        <v>2</v>
      </c>
      <c r="BA187" t="s">
        <v>3224</v>
      </c>
      <c r="BB187" t="s">
        <v>116</v>
      </c>
      <c r="BC187" t="s">
        <v>3225</v>
      </c>
      <c r="BD187">
        <v>2</v>
      </c>
      <c r="BJ187">
        <v>0</v>
      </c>
      <c r="BK187" t="s">
        <v>3229</v>
      </c>
      <c r="BL187" t="s">
        <v>184</v>
      </c>
      <c r="BM187" t="s">
        <v>3227</v>
      </c>
      <c r="BN187">
        <v>12.03</v>
      </c>
      <c r="BO187">
        <v>13.81</v>
      </c>
      <c r="BP187">
        <v>16.03</v>
      </c>
      <c r="BQ187" t="s">
        <v>129</v>
      </c>
      <c r="BR187">
        <v>20</v>
      </c>
      <c r="BS187">
        <v>13.03</v>
      </c>
      <c r="BT187">
        <v>15.03</v>
      </c>
      <c r="BU187">
        <v>17.04</v>
      </c>
      <c r="BV187" t="s">
        <v>129</v>
      </c>
      <c r="BW187">
        <v>20</v>
      </c>
      <c r="BX187" t="s">
        <v>130</v>
      </c>
      <c r="CA187">
        <v>1.7800000000000011</v>
      </c>
      <c r="CB187">
        <v>2</v>
      </c>
      <c r="CC187">
        <v>5</v>
      </c>
    </row>
    <row r="188" spans="1:85" ht="14.5">
      <c r="B188" s="87" t="s">
        <v>3231</v>
      </c>
      <c r="C188">
        <v>2025</v>
      </c>
      <c r="D188" t="s">
        <v>3215</v>
      </c>
      <c r="E188" s="132">
        <v>46064</v>
      </c>
      <c r="F188" s="72" t="s">
        <v>90</v>
      </c>
      <c r="J188" t="s">
        <v>3216</v>
      </c>
      <c r="M188" t="s">
        <v>138</v>
      </c>
      <c r="N188" t="s">
        <v>3217</v>
      </c>
      <c r="O188" t="s">
        <v>114</v>
      </c>
      <c r="S188" s="72" t="s">
        <v>114</v>
      </c>
      <c r="T188" s="72" t="s">
        <v>114</v>
      </c>
      <c r="U188" s="72" t="s">
        <v>141</v>
      </c>
      <c r="V188" t="s">
        <v>3218</v>
      </c>
      <c r="X188" t="s">
        <v>3219</v>
      </c>
      <c r="Y188" t="s">
        <v>3220</v>
      </c>
      <c r="AA188" t="s">
        <v>3221</v>
      </c>
      <c r="AB188" t="s">
        <v>3222</v>
      </c>
      <c r="AC188" t="s">
        <v>20</v>
      </c>
      <c r="AG188">
        <v>2</v>
      </c>
      <c r="AH188" t="s">
        <v>90</v>
      </c>
      <c r="AQ188" t="s">
        <v>155</v>
      </c>
      <c r="AU188" t="s">
        <v>116</v>
      </c>
      <c r="AV188" t="s">
        <v>3223</v>
      </c>
      <c r="AW188">
        <v>2</v>
      </c>
      <c r="BA188" t="s">
        <v>3224</v>
      </c>
      <c r="BB188" t="s">
        <v>116</v>
      </c>
      <c r="BC188" t="s">
        <v>3225</v>
      </c>
      <c r="BD188">
        <v>2</v>
      </c>
      <c r="BJ188">
        <v>2.79</v>
      </c>
      <c r="BK188" t="s">
        <v>3230</v>
      </c>
      <c r="BL188" t="s">
        <v>184</v>
      </c>
      <c r="BM188" t="s">
        <v>3227</v>
      </c>
      <c r="BN188">
        <v>13.46</v>
      </c>
      <c r="BO188">
        <v>15.38</v>
      </c>
      <c r="BP188">
        <v>17.86</v>
      </c>
      <c r="BQ188" t="s">
        <v>129</v>
      </c>
      <c r="BR188">
        <v>20</v>
      </c>
      <c r="BS188">
        <v>11.46</v>
      </c>
      <c r="BT188">
        <v>13.73</v>
      </c>
      <c r="BU188">
        <v>16.21</v>
      </c>
      <c r="BV188" t="s">
        <v>129</v>
      </c>
      <c r="BW188">
        <v>20</v>
      </c>
      <c r="BX188" t="s">
        <v>130</v>
      </c>
      <c r="CA188">
        <v>1.92</v>
      </c>
      <c r="CB188">
        <v>2.2699999999999996</v>
      </c>
      <c r="CC188">
        <v>5</v>
      </c>
    </row>
    <row r="189" spans="1:85" ht="14.5">
      <c r="B189" s="87" t="s">
        <v>3233</v>
      </c>
      <c r="C189" s="87">
        <v>2023</v>
      </c>
      <c r="D189" s="120" t="s">
        <v>3234</v>
      </c>
      <c r="E189" s="121">
        <v>46085</v>
      </c>
      <c r="F189" s="72" t="s">
        <v>90</v>
      </c>
      <c r="G189" s="120"/>
      <c r="H189" s="87"/>
      <c r="I189" s="87"/>
      <c r="J189" s="87"/>
      <c r="K189" s="87"/>
      <c r="L189" s="87"/>
      <c r="M189" s="87" t="s">
        <v>95</v>
      </c>
      <c r="N189" s="87" t="s">
        <v>3235</v>
      </c>
      <c r="O189" s="87" t="s">
        <v>94</v>
      </c>
      <c r="P189" s="87"/>
      <c r="Q189" s="87"/>
      <c r="R189" s="87"/>
      <c r="S189" s="87" t="s">
        <v>114</v>
      </c>
      <c r="T189" s="72" t="s">
        <v>114</v>
      </c>
      <c r="U189" s="87" t="s">
        <v>98</v>
      </c>
      <c r="V189" s="87"/>
      <c r="W189" s="87"/>
      <c r="X189" s="87" t="s">
        <v>3236</v>
      </c>
      <c r="Y189" s="87" t="s">
        <v>611</v>
      </c>
      <c r="Z189" s="87"/>
      <c r="AA189" s="87"/>
      <c r="AB189" s="87"/>
      <c r="AC189" s="87" t="s">
        <v>105</v>
      </c>
      <c r="AD189" s="87"/>
      <c r="AE189" s="87"/>
      <c r="AF189" s="87"/>
      <c r="AG189" s="87">
        <v>3</v>
      </c>
      <c r="AH189" s="87" t="s">
        <v>90</v>
      </c>
      <c r="AI189" s="87"/>
      <c r="AJ189" s="87"/>
      <c r="AK189" s="87"/>
      <c r="AL189" s="87"/>
      <c r="AM189" s="87"/>
      <c r="AN189" s="87"/>
      <c r="AO189" s="87"/>
      <c r="AP189" s="87"/>
      <c r="AQ189" s="87" t="s">
        <v>155</v>
      </c>
      <c r="AR189" s="87"/>
      <c r="AS189" s="87"/>
      <c r="AT189" s="87"/>
      <c r="AU189" s="87" t="s">
        <v>116</v>
      </c>
      <c r="AV189" s="87" t="s">
        <v>3237</v>
      </c>
      <c r="AW189" s="87">
        <v>2</v>
      </c>
      <c r="AX189" s="87" t="s">
        <v>3238</v>
      </c>
      <c r="AY189" s="87"/>
      <c r="AZ189" s="87"/>
      <c r="BA189" s="87" t="s">
        <v>116</v>
      </c>
      <c r="BB189" s="87" t="s">
        <v>3239</v>
      </c>
      <c r="BC189" s="87">
        <v>4</v>
      </c>
      <c r="BD189" s="87" t="s">
        <v>3240</v>
      </c>
      <c r="BE189" s="87" t="s">
        <v>116</v>
      </c>
      <c r="BF189" s="87" t="s">
        <v>3241</v>
      </c>
      <c r="BG189" s="87">
        <v>2</v>
      </c>
      <c r="BH189" s="87"/>
      <c r="BI189" s="87"/>
      <c r="BJ189" s="87">
        <v>0</v>
      </c>
      <c r="BK189" s="87" t="s">
        <v>3242</v>
      </c>
      <c r="BL189" s="87" t="s">
        <v>355</v>
      </c>
      <c r="BM189" s="87" t="s">
        <v>3243</v>
      </c>
      <c r="BN189" s="122">
        <v>9.7894722000000003E-2</v>
      </c>
      <c r="BO189" s="122">
        <v>0.110526308</v>
      </c>
      <c r="BP189" s="122">
        <v>0.12631578099999999</v>
      </c>
      <c r="BQ189" s="87" t="s">
        <v>3244</v>
      </c>
      <c r="BR189" s="87">
        <v>4</v>
      </c>
      <c r="BS189" s="87">
        <v>0.12</v>
      </c>
      <c r="BT189" s="122">
        <v>0.15368422400000001</v>
      </c>
      <c r="BU189" s="87">
        <v>0.1779</v>
      </c>
      <c r="BV189" s="87" t="s">
        <v>3244</v>
      </c>
      <c r="BW189" s="87">
        <v>4</v>
      </c>
      <c r="BX189" s="87" t="s">
        <v>3245</v>
      </c>
      <c r="BY189" s="87"/>
      <c r="BZ189" s="87"/>
      <c r="CA189" s="87">
        <v>1.0526318E-2</v>
      </c>
      <c r="CB189" s="87">
        <v>2.1444444E-2</v>
      </c>
      <c r="CC189" s="87" t="s">
        <v>309</v>
      </c>
      <c r="CD189" s="87"/>
      <c r="CE189" s="87"/>
      <c r="CF189" s="87"/>
    </row>
    <row r="190" spans="1:85" ht="14.5">
      <c r="B190" s="87" t="s">
        <v>3233</v>
      </c>
      <c r="C190" s="87">
        <v>2023</v>
      </c>
      <c r="D190" s="120" t="s">
        <v>3234</v>
      </c>
      <c r="E190" s="121">
        <v>46085</v>
      </c>
      <c r="F190" s="72" t="s">
        <v>90</v>
      </c>
      <c r="G190" s="120"/>
      <c r="H190" s="87"/>
      <c r="I190" s="87"/>
      <c r="J190" s="87"/>
      <c r="K190" s="87"/>
      <c r="L190" s="87"/>
      <c r="M190" s="87" t="s">
        <v>95</v>
      </c>
      <c r="N190" s="87" t="s">
        <v>3235</v>
      </c>
      <c r="O190" s="87" t="s">
        <v>94</v>
      </c>
      <c r="P190" s="87"/>
      <c r="Q190" s="87"/>
      <c r="R190" s="87"/>
      <c r="S190" s="87" t="s">
        <v>114</v>
      </c>
      <c r="T190" s="72" t="s">
        <v>114</v>
      </c>
      <c r="U190" s="87" t="s">
        <v>98</v>
      </c>
      <c r="V190" s="87"/>
      <c r="W190" s="87"/>
      <c r="X190" s="87" t="s">
        <v>3236</v>
      </c>
      <c r="Y190" s="87" t="s">
        <v>611</v>
      </c>
      <c r="Z190" s="87"/>
      <c r="AA190" s="87"/>
      <c r="AB190" s="87"/>
      <c r="AC190" s="87" t="s">
        <v>105</v>
      </c>
      <c r="AD190" s="87"/>
      <c r="AE190" s="87"/>
      <c r="AF190" s="87"/>
      <c r="AG190" s="87">
        <v>3</v>
      </c>
      <c r="AH190" s="87" t="s">
        <v>90</v>
      </c>
      <c r="AI190" s="87"/>
      <c r="AJ190" s="87"/>
      <c r="AK190" s="87"/>
      <c r="AL190" s="87"/>
      <c r="AM190" s="87"/>
      <c r="AN190" s="87"/>
      <c r="AO190" s="87"/>
      <c r="AP190" s="87"/>
      <c r="AQ190" s="87" t="s">
        <v>155</v>
      </c>
      <c r="AR190" s="87"/>
      <c r="AS190" s="87"/>
      <c r="AT190" s="87"/>
      <c r="AU190" s="87" t="s">
        <v>116</v>
      </c>
      <c r="AV190" s="87" t="s">
        <v>3237</v>
      </c>
      <c r="AW190" s="87">
        <v>2</v>
      </c>
      <c r="AX190" s="87" t="s">
        <v>3238</v>
      </c>
      <c r="AY190" s="87"/>
      <c r="AZ190" s="87"/>
      <c r="BA190" s="87" t="s">
        <v>116</v>
      </c>
      <c r="BB190" s="87" t="s">
        <v>3239</v>
      </c>
      <c r="BC190" s="87">
        <v>4</v>
      </c>
      <c r="BD190" s="87" t="s">
        <v>3240</v>
      </c>
      <c r="BE190" s="87" t="s">
        <v>116</v>
      </c>
      <c r="BF190" s="87" t="s">
        <v>3241</v>
      </c>
      <c r="BG190" s="87">
        <v>2</v>
      </c>
      <c r="BH190" s="87"/>
      <c r="BI190" s="87"/>
      <c r="BJ190" s="87">
        <v>0</v>
      </c>
      <c r="BK190" s="87" t="s">
        <v>3246</v>
      </c>
      <c r="BL190" s="87" t="s">
        <v>355</v>
      </c>
      <c r="BM190" s="87" t="s">
        <v>3243</v>
      </c>
      <c r="BN190" s="122">
        <v>0.122105279</v>
      </c>
      <c r="BO190" s="122">
        <v>0.14526314000000001</v>
      </c>
      <c r="BP190" s="122">
        <v>0.16105261300000001</v>
      </c>
      <c r="BQ190" s="87" t="s">
        <v>3244</v>
      </c>
      <c r="BR190" s="87">
        <v>4</v>
      </c>
      <c r="BS190" s="87">
        <v>0.12</v>
      </c>
      <c r="BT190" s="122">
        <v>0.15368422400000001</v>
      </c>
      <c r="BU190" s="87">
        <v>0.1779</v>
      </c>
      <c r="BV190" s="87" t="s">
        <v>3244</v>
      </c>
      <c r="BW190" s="87">
        <v>4</v>
      </c>
      <c r="BX190" s="87" t="s">
        <v>3245</v>
      </c>
      <c r="BY190" s="87"/>
      <c r="BZ190" s="87"/>
      <c r="CA190" s="87">
        <v>1.4424938E-2</v>
      </c>
      <c r="CB190" s="87">
        <v>2.1444444E-2</v>
      </c>
      <c r="CC190" s="87" t="s">
        <v>309</v>
      </c>
      <c r="CD190" s="87"/>
      <c r="CE190" s="87"/>
      <c r="CF190" s="87"/>
    </row>
    <row r="191" spans="1:85" ht="14.5">
      <c r="B191" s="87" t="s">
        <v>3233</v>
      </c>
      <c r="C191" s="87">
        <v>2023</v>
      </c>
      <c r="D191" s="120" t="s">
        <v>3234</v>
      </c>
      <c r="E191" s="121">
        <v>46085</v>
      </c>
      <c r="F191" s="72" t="s">
        <v>90</v>
      </c>
      <c r="G191" s="120"/>
      <c r="H191" s="87"/>
      <c r="I191" s="87"/>
      <c r="J191" s="87"/>
      <c r="K191" s="87"/>
      <c r="L191" s="87"/>
      <c r="M191" s="87" t="s">
        <v>95</v>
      </c>
      <c r="N191" s="87" t="s">
        <v>3235</v>
      </c>
      <c r="O191" s="87" t="s">
        <v>94</v>
      </c>
      <c r="P191" s="87"/>
      <c r="Q191" s="87"/>
      <c r="R191" s="87"/>
      <c r="S191" s="87" t="s">
        <v>114</v>
      </c>
      <c r="T191" s="72" t="s">
        <v>114</v>
      </c>
      <c r="U191" s="87" t="s">
        <v>98</v>
      </c>
      <c r="V191" s="87"/>
      <c r="W191" s="87"/>
      <c r="X191" s="87" t="s">
        <v>3236</v>
      </c>
      <c r="Y191" s="87" t="s">
        <v>611</v>
      </c>
      <c r="Z191" s="87"/>
      <c r="AA191" s="87"/>
      <c r="AB191" s="87"/>
      <c r="AC191" s="87" t="s">
        <v>105</v>
      </c>
      <c r="AD191" s="87"/>
      <c r="AE191" s="87"/>
      <c r="AF191" s="87"/>
      <c r="AG191" s="87">
        <v>3</v>
      </c>
      <c r="AH191" s="87" t="s">
        <v>90</v>
      </c>
      <c r="AI191" s="87"/>
      <c r="AJ191" s="87"/>
      <c r="AK191" s="87"/>
      <c r="AL191" s="87"/>
      <c r="AM191" s="87"/>
      <c r="AN191" s="87"/>
      <c r="AO191" s="87"/>
      <c r="AP191" s="87"/>
      <c r="AQ191" s="87" t="s">
        <v>155</v>
      </c>
      <c r="AR191" s="87"/>
      <c r="AS191" s="87"/>
      <c r="AT191" s="87"/>
      <c r="AU191" s="87" t="s">
        <v>116</v>
      </c>
      <c r="AV191" s="87" t="s">
        <v>3237</v>
      </c>
      <c r="AW191" s="87">
        <v>2</v>
      </c>
      <c r="AX191" s="87" t="s">
        <v>3238</v>
      </c>
      <c r="AY191" s="87"/>
      <c r="AZ191" s="87"/>
      <c r="BA191" s="87" t="s">
        <v>116</v>
      </c>
      <c r="BB191" s="87" t="s">
        <v>3239</v>
      </c>
      <c r="BC191" s="87">
        <v>4</v>
      </c>
      <c r="BD191" s="87" t="s">
        <v>3240</v>
      </c>
      <c r="BE191" s="87" t="s">
        <v>116</v>
      </c>
      <c r="BF191" s="87" t="s">
        <v>3241</v>
      </c>
      <c r="BG191" s="87">
        <v>2</v>
      </c>
      <c r="BH191" s="87"/>
      <c r="BI191" s="87"/>
      <c r="BJ191" s="87">
        <v>0</v>
      </c>
      <c r="BK191" s="87" t="s">
        <v>3247</v>
      </c>
      <c r="BL191" s="87" t="s">
        <v>355</v>
      </c>
      <c r="BM191" s="87" t="s">
        <v>3243</v>
      </c>
      <c r="BN191" s="122">
        <v>9.2631564999999999E-2</v>
      </c>
      <c r="BO191" s="122">
        <v>0.10315787999999999</v>
      </c>
      <c r="BP191" s="122">
        <v>0.113684195</v>
      </c>
      <c r="BQ191" s="87" t="s">
        <v>3244</v>
      </c>
      <c r="BR191" s="87">
        <v>4</v>
      </c>
      <c r="BS191" s="87">
        <v>0.12</v>
      </c>
      <c r="BT191" s="122">
        <v>0.15368422400000001</v>
      </c>
      <c r="BU191" s="87">
        <v>0.1779</v>
      </c>
      <c r="BV191" s="87" t="s">
        <v>3244</v>
      </c>
      <c r="BW191" s="87">
        <v>4</v>
      </c>
      <c r="BX191" s="87" t="s">
        <v>3245</v>
      </c>
      <c r="BY191" s="87"/>
      <c r="BZ191" s="87"/>
      <c r="CA191" s="87">
        <v>7.7972700000000002E-3</v>
      </c>
      <c r="CB191" s="87">
        <v>2.1444444E-2</v>
      </c>
      <c r="CC191" s="87" t="s">
        <v>309</v>
      </c>
      <c r="CD191" s="87"/>
      <c r="CE191" s="87"/>
      <c r="CF191" s="87"/>
    </row>
    <row r="192" spans="1:85" ht="14.5">
      <c r="B192" s="87" t="s">
        <v>3233</v>
      </c>
      <c r="C192" s="87">
        <v>2023</v>
      </c>
      <c r="D192" s="120" t="s">
        <v>3234</v>
      </c>
      <c r="E192" s="121">
        <v>46085</v>
      </c>
      <c r="F192" s="72" t="s">
        <v>90</v>
      </c>
      <c r="G192" s="120"/>
      <c r="H192" s="87"/>
      <c r="I192" s="87"/>
      <c r="J192" s="87"/>
      <c r="K192" s="87"/>
      <c r="L192" s="87"/>
      <c r="M192" s="87" t="s">
        <v>95</v>
      </c>
      <c r="N192" s="87" t="s">
        <v>3235</v>
      </c>
      <c r="O192" s="87" t="s">
        <v>94</v>
      </c>
      <c r="P192" s="87"/>
      <c r="Q192" s="87"/>
      <c r="R192" s="87"/>
      <c r="S192" s="87" t="s">
        <v>114</v>
      </c>
      <c r="T192" s="72" t="s">
        <v>114</v>
      </c>
      <c r="U192" s="87" t="s">
        <v>98</v>
      </c>
      <c r="V192" s="87"/>
      <c r="W192" s="87"/>
      <c r="X192" s="87" t="s">
        <v>3236</v>
      </c>
      <c r="Y192" s="87" t="s">
        <v>611</v>
      </c>
      <c r="Z192" s="87"/>
      <c r="AA192" s="87"/>
      <c r="AB192" s="87"/>
      <c r="AC192" s="87" t="s">
        <v>105</v>
      </c>
      <c r="AD192" s="87"/>
      <c r="AE192" s="87"/>
      <c r="AF192" s="87"/>
      <c r="AG192" s="87">
        <v>3</v>
      </c>
      <c r="AH192" s="87" t="s">
        <v>90</v>
      </c>
      <c r="AI192" s="87"/>
      <c r="AJ192" s="87"/>
      <c r="AK192" s="87"/>
      <c r="AL192" s="87"/>
      <c r="AM192" s="87"/>
      <c r="AN192" s="87"/>
      <c r="AO192" s="87"/>
      <c r="AP192" s="87"/>
      <c r="AQ192" s="87" t="s">
        <v>155</v>
      </c>
      <c r="AR192" s="87"/>
      <c r="AS192" s="87"/>
      <c r="AT192" s="87"/>
      <c r="AU192" s="87" t="s">
        <v>116</v>
      </c>
      <c r="AV192" s="87" t="s">
        <v>3237</v>
      </c>
      <c r="AW192" s="87">
        <v>2</v>
      </c>
      <c r="AX192" s="87" t="s">
        <v>3238</v>
      </c>
      <c r="AY192" s="87"/>
      <c r="AZ192" s="87"/>
      <c r="BA192" s="87" t="s">
        <v>116</v>
      </c>
      <c r="BB192" s="87" t="s">
        <v>3239</v>
      </c>
      <c r="BC192" s="87">
        <v>4</v>
      </c>
      <c r="BD192" s="87" t="s">
        <v>3240</v>
      </c>
      <c r="BE192" s="87" t="s">
        <v>116</v>
      </c>
      <c r="BF192" s="87" t="s">
        <v>3241</v>
      </c>
      <c r="BG192" s="87">
        <v>2</v>
      </c>
      <c r="BH192" s="87"/>
      <c r="BI192" s="87"/>
      <c r="BJ192" s="87">
        <v>0</v>
      </c>
      <c r="BK192" s="87" t="s">
        <v>3248</v>
      </c>
      <c r="BL192" s="87" t="s">
        <v>355</v>
      </c>
      <c r="BM192" s="87" t="s">
        <v>3243</v>
      </c>
      <c r="BN192" s="133">
        <v>3.9999989E-2</v>
      </c>
      <c r="BO192" s="122">
        <v>8.6315711000000003E-2</v>
      </c>
      <c r="BP192" s="133">
        <v>0.13894736699999999</v>
      </c>
      <c r="BQ192" s="87" t="s">
        <v>3244</v>
      </c>
      <c r="BR192" s="87">
        <v>4</v>
      </c>
      <c r="BS192" s="87">
        <v>9.4700000000000006E-2</v>
      </c>
      <c r="BT192" s="122">
        <v>0.13263159399999999</v>
      </c>
      <c r="BU192" s="87">
        <v>0.13789999999999999</v>
      </c>
      <c r="BV192" s="87" t="s">
        <v>3244</v>
      </c>
      <c r="BW192" s="87">
        <v>4</v>
      </c>
      <c r="BX192" s="122" t="s">
        <v>3245</v>
      </c>
      <c r="BY192" s="122"/>
      <c r="BZ192" s="122"/>
      <c r="CA192" s="87">
        <v>3.6647177000000003E-2</v>
      </c>
      <c r="CB192" s="87">
        <v>1.6E-2</v>
      </c>
      <c r="CC192" s="87" t="s">
        <v>309</v>
      </c>
      <c r="CD192" s="87"/>
      <c r="CE192" s="87"/>
      <c r="CF192" s="87"/>
    </row>
    <row r="193" spans="2:84" ht="14.5">
      <c r="B193" s="87" t="s">
        <v>3233</v>
      </c>
      <c r="C193" s="87">
        <v>2023</v>
      </c>
      <c r="D193" s="120" t="s">
        <v>3234</v>
      </c>
      <c r="E193" s="121">
        <v>46085</v>
      </c>
      <c r="F193" s="72" t="s">
        <v>90</v>
      </c>
      <c r="G193" s="120" t="s">
        <v>3232</v>
      </c>
      <c r="H193" s="87"/>
      <c r="I193" s="87" t="s">
        <v>3249</v>
      </c>
      <c r="J193" s="87"/>
      <c r="K193" s="87"/>
      <c r="L193" s="87"/>
      <c r="M193" s="87" t="s">
        <v>95</v>
      </c>
      <c r="N193" s="87" t="s">
        <v>3235</v>
      </c>
      <c r="O193" s="87" t="s">
        <v>94</v>
      </c>
      <c r="P193" s="87"/>
      <c r="Q193" s="87"/>
      <c r="R193" s="87"/>
      <c r="S193" s="87" t="s">
        <v>114</v>
      </c>
      <c r="T193" s="72" t="s">
        <v>114</v>
      </c>
      <c r="U193" s="87" t="s">
        <v>98</v>
      </c>
      <c r="V193" s="87"/>
      <c r="W193" s="87"/>
      <c r="X193" s="87" t="s">
        <v>3236</v>
      </c>
      <c r="Y193" s="87" t="s">
        <v>611</v>
      </c>
      <c r="Z193" s="87"/>
      <c r="AA193" s="87"/>
      <c r="AB193" s="87"/>
      <c r="AC193" s="87" t="s">
        <v>105</v>
      </c>
      <c r="AD193" s="87"/>
      <c r="AE193" s="87"/>
      <c r="AF193" s="87"/>
      <c r="AG193" s="87">
        <v>3</v>
      </c>
      <c r="AH193" s="87" t="s">
        <v>90</v>
      </c>
      <c r="AI193" s="87"/>
      <c r="AJ193" s="87"/>
      <c r="AK193" s="87"/>
      <c r="AL193" s="87"/>
      <c r="AM193" s="87"/>
      <c r="AN193" s="87"/>
      <c r="AO193" s="87"/>
      <c r="AP193" s="87"/>
      <c r="AQ193" s="87" t="s">
        <v>155</v>
      </c>
      <c r="AR193" s="87"/>
      <c r="AS193" s="87"/>
      <c r="AT193" s="87"/>
      <c r="AU193" s="87" t="s">
        <v>116</v>
      </c>
      <c r="AV193" s="87" t="s">
        <v>3237</v>
      </c>
      <c r="AW193" s="87">
        <v>2</v>
      </c>
      <c r="AX193" s="87" t="s">
        <v>3238</v>
      </c>
      <c r="AY193" s="87"/>
      <c r="AZ193" s="87"/>
      <c r="BA193" s="87" t="s">
        <v>116</v>
      </c>
      <c r="BB193" s="87" t="s">
        <v>3239</v>
      </c>
      <c r="BC193" s="87">
        <v>4</v>
      </c>
      <c r="BD193" s="87" t="s">
        <v>3240</v>
      </c>
      <c r="BE193" s="87" t="s">
        <v>116</v>
      </c>
      <c r="BF193" s="87" t="s">
        <v>3241</v>
      </c>
      <c r="BG193" s="87">
        <v>2</v>
      </c>
      <c r="BH193" s="87"/>
      <c r="BI193" s="87"/>
      <c r="BJ193" s="87">
        <v>0</v>
      </c>
      <c r="BK193" s="87" t="s">
        <v>3250</v>
      </c>
      <c r="BL193" s="87" t="s">
        <v>355</v>
      </c>
      <c r="BM193" s="87" t="s">
        <v>3243</v>
      </c>
      <c r="BN193" s="133">
        <v>0.13157893900000001</v>
      </c>
      <c r="BO193" s="122">
        <v>0.13999998299999999</v>
      </c>
      <c r="BP193" s="133">
        <v>0.150526298</v>
      </c>
      <c r="BQ193" s="87" t="s">
        <v>3244</v>
      </c>
      <c r="BR193" s="87">
        <v>4</v>
      </c>
      <c r="BS193" s="87">
        <v>9.4700000000000006E-2</v>
      </c>
      <c r="BT193" s="122">
        <v>0.13263159399999999</v>
      </c>
      <c r="BU193" s="87">
        <v>0.13789999999999999</v>
      </c>
      <c r="BV193" s="87" t="s">
        <v>3244</v>
      </c>
      <c r="BW193" s="87">
        <v>4</v>
      </c>
      <c r="BX193" s="122" t="s">
        <v>3245</v>
      </c>
      <c r="BY193" s="122"/>
      <c r="BZ193" s="122"/>
      <c r="CA193" s="87">
        <v>7.0175400000000001E-3</v>
      </c>
      <c r="CB193" s="87">
        <v>1.6E-2</v>
      </c>
      <c r="CC193" s="87" t="s">
        <v>309</v>
      </c>
      <c r="CD193" s="87"/>
      <c r="CE193" s="87"/>
      <c r="CF193" s="87"/>
    </row>
    <row r="194" spans="2:84" ht="14.5">
      <c r="B194" s="87" t="s">
        <v>3233</v>
      </c>
      <c r="C194" s="87">
        <v>2023</v>
      </c>
      <c r="D194" s="120" t="s">
        <v>3234</v>
      </c>
      <c r="E194" s="121">
        <v>46085</v>
      </c>
      <c r="F194" s="72" t="s">
        <v>90</v>
      </c>
      <c r="G194" s="120" t="s">
        <v>3232</v>
      </c>
      <c r="H194" s="87"/>
      <c r="I194" s="87" t="s">
        <v>3249</v>
      </c>
      <c r="J194" s="87"/>
      <c r="K194" s="87"/>
      <c r="L194" s="87"/>
      <c r="M194" s="87" t="s">
        <v>95</v>
      </c>
      <c r="N194" s="87" t="s">
        <v>3235</v>
      </c>
      <c r="O194" s="87" t="s">
        <v>94</v>
      </c>
      <c r="P194" s="87"/>
      <c r="Q194" s="87"/>
      <c r="R194" s="87"/>
      <c r="S194" s="87" t="s">
        <v>114</v>
      </c>
      <c r="T194" s="72" t="s">
        <v>114</v>
      </c>
      <c r="U194" s="87" t="s">
        <v>98</v>
      </c>
      <c r="V194" s="87"/>
      <c r="W194" s="87"/>
      <c r="X194" s="87" t="s">
        <v>3236</v>
      </c>
      <c r="Y194" s="87" t="s">
        <v>611</v>
      </c>
      <c r="Z194" s="87"/>
      <c r="AA194" s="87"/>
      <c r="AB194" s="87"/>
      <c r="AC194" s="87" t="s">
        <v>105</v>
      </c>
      <c r="AD194" s="87"/>
      <c r="AE194" s="87"/>
      <c r="AF194" s="87"/>
      <c r="AG194" s="87">
        <v>3</v>
      </c>
      <c r="AH194" s="87" t="s">
        <v>90</v>
      </c>
      <c r="AI194" s="87"/>
      <c r="AJ194" s="87"/>
      <c r="AK194" s="87"/>
      <c r="AL194" s="87"/>
      <c r="AM194" s="87"/>
      <c r="AN194" s="87"/>
      <c r="AO194" s="87"/>
      <c r="AP194" s="87"/>
      <c r="AQ194" s="87" t="s">
        <v>155</v>
      </c>
      <c r="AR194" s="87"/>
      <c r="AS194" s="87"/>
      <c r="AT194" s="87"/>
      <c r="AU194" s="87" t="s">
        <v>116</v>
      </c>
      <c r="AV194" s="87" t="s">
        <v>3237</v>
      </c>
      <c r="AW194" s="87">
        <v>2</v>
      </c>
      <c r="AX194" s="87" t="s">
        <v>3238</v>
      </c>
      <c r="AY194" s="87"/>
      <c r="AZ194" s="87"/>
      <c r="BA194" s="87" t="s">
        <v>116</v>
      </c>
      <c r="BB194" s="87" t="s">
        <v>3239</v>
      </c>
      <c r="BC194" s="87">
        <v>4</v>
      </c>
      <c r="BD194" s="87" t="s">
        <v>3240</v>
      </c>
      <c r="BE194" s="87" t="s">
        <v>116</v>
      </c>
      <c r="BF194" s="87" t="s">
        <v>3241</v>
      </c>
      <c r="BG194" s="87">
        <v>2</v>
      </c>
      <c r="BH194" s="87"/>
      <c r="BI194" s="87"/>
      <c r="BJ194" s="87">
        <v>0</v>
      </c>
      <c r="BK194" s="87" t="s">
        <v>3251</v>
      </c>
      <c r="BL194" s="87" t="s">
        <v>355</v>
      </c>
      <c r="BM194" s="87" t="s">
        <v>3243</v>
      </c>
      <c r="BN194" s="133">
        <v>8.0000019000000006E-2</v>
      </c>
      <c r="BO194" s="122">
        <v>8.9473678000000001E-2</v>
      </c>
      <c r="BP194" s="133">
        <v>0.10631576600000001</v>
      </c>
      <c r="BQ194" s="87" t="s">
        <v>3244</v>
      </c>
      <c r="BR194" s="87">
        <v>4</v>
      </c>
      <c r="BS194" s="87">
        <v>9.4700000000000006E-2</v>
      </c>
      <c r="BT194" s="122">
        <v>0.13263159399999999</v>
      </c>
      <c r="BU194" s="87">
        <v>0.13789999999999999</v>
      </c>
      <c r="BV194" s="87" t="s">
        <v>3244</v>
      </c>
      <c r="BW194" s="87">
        <v>4</v>
      </c>
      <c r="BX194" s="122" t="s">
        <v>3245</v>
      </c>
      <c r="BY194" s="122"/>
      <c r="BZ194" s="122"/>
      <c r="CA194" s="87">
        <v>9.7465729999999997E-3</v>
      </c>
      <c r="CB194" s="87">
        <v>1.6E-2</v>
      </c>
      <c r="CC194" s="87" t="s">
        <v>309</v>
      </c>
      <c r="CD194" s="87"/>
      <c r="CE194" s="87"/>
      <c r="CF194" s="87"/>
    </row>
    <row r="195" spans="2:84" ht="14.5">
      <c r="B195" s="87" t="s">
        <v>3233</v>
      </c>
      <c r="C195" s="87">
        <v>2023</v>
      </c>
      <c r="D195" s="120" t="s">
        <v>3234</v>
      </c>
      <c r="E195" s="121">
        <v>46085</v>
      </c>
      <c r="F195" s="72" t="s">
        <v>90</v>
      </c>
      <c r="G195" s="120" t="s">
        <v>3232</v>
      </c>
      <c r="H195" s="87"/>
      <c r="I195" s="87" t="s">
        <v>3249</v>
      </c>
      <c r="J195" s="87"/>
      <c r="K195" s="87"/>
      <c r="L195" s="87"/>
      <c r="M195" s="87" t="s">
        <v>95</v>
      </c>
      <c r="N195" s="87" t="s">
        <v>3235</v>
      </c>
      <c r="O195" s="87" t="s">
        <v>94</v>
      </c>
      <c r="P195" s="87"/>
      <c r="Q195" s="87"/>
      <c r="R195" s="87"/>
      <c r="S195" s="87" t="s">
        <v>114</v>
      </c>
      <c r="T195" s="72" t="s">
        <v>114</v>
      </c>
      <c r="U195" s="87" t="s">
        <v>98</v>
      </c>
      <c r="V195" s="87"/>
      <c r="W195" s="87"/>
      <c r="X195" s="87" t="s">
        <v>3236</v>
      </c>
      <c r="Y195" s="87" t="s">
        <v>611</v>
      </c>
      <c r="Z195" s="87"/>
      <c r="AA195" s="87"/>
      <c r="AB195" s="87"/>
      <c r="AC195" s="87" t="s">
        <v>105</v>
      </c>
      <c r="AD195" s="87"/>
      <c r="AE195" s="87"/>
      <c r="AF195" s="87"/>
      <c r="AG195" s="87">
        <v>3</v>
      </c>
      <c r="AH195" s="87" t="s">
        <v>90</v>
      </c>
      <c r="AI195" s="87"/>
      <c r="AJ195" s="87"/>
      <c r="AK195" s="87"/>
      <c r="AL195" s="87"/>
      <c r="AM195" s="87"/>
      <c r="AN195" s="87"/>
      <c r="AO195" s="87"/>
      <c r="AP195" s="87"/>
      <c r="AQ195" s="87" t="s">
        <v>155</v>
      </c>
      <c r="AR195" s="87"/>
      <c r="AS195" s="87"/>
      <c r="AT195" s="87"/>
      <c r="AU195" s="87" t="s">
        <v>116</v>
      </c>
      <c r="AV195" s="87" t="s">
        <v>3237</v>
      </c>
      <c r="AW195" s="87">
        <v>2</v>
      </c>
      <c r="AX195" s="87" t="s">
        <v>3238</v>
      </c>
      <c r="AY195" s="87"/>
      <c r="AZ195" s="87"/>
      <c r="BA195" s="87" t="s">
        <v>116</v>
      </c>
      <c r="BB195" s="87" t="s">
        <v>3239</v>
      </c>
      <c r="BC195" s="87">
        <v>4</v>
      </c>
      <c r="BD195" s="87" t="s">
        <v>3240</v>
      </c>
      <c r="BE195" s="87" t="s">
        <v>116</v>
      </c>
      <c r="BF195" s="87" t="s">
        <v>3241</v>
      </c>
      <c r="BG195" s="87">
        <v>2</v>
      </c>
      <c r="BH195" s="87"/>
      <c r="BI195" s="87"/>
      <c r="BJ195" s="87">
        <v>5</v>
      </c>
      <c r="BK195" s="87" t="s">
        <v>3242</v>
      </c>
      <c r="BL195" s="87" t="s">
        <v>355</v>
      </c>
      <c r="BM195" s="87" t="s">
        <v>3243</v>
      </c>
      <c r="BN195" s="122">
        <v>9.5789450999999998E-2</v>
      </c>
      <c r="BO195" s="122">
        <v>0.111578924</v>
      </c>
      <c r="BP195" s="122">
        <v>0.11684212200000001</v>
      </c>
      <c r="BQ195" s="87" t="s">
        <v>3244</v>
      </c>
      <c r="BR195" s="87">
        <v>4</v>
      </c>
      <c r="BS195" s="87">
        <v>0.1211</v>
      </c>
      <c r="BT195" s="122">
        <v>0.13999998299999999</v>
      </c>
      <c r="BU195" s="87">
        <v>0.16320000000000001</v>
      </c>
      <c r="BV195" s="87" t="s">
        <v>3244</v>
      </c>
      <c r="BW195" s="87">
        <v>4</v>
      </c>
      <c r="BX195" s="87" t="s">
        <v>3245</v>
      </c>
      <c r="BY195" s="87"/>
      <c r="BZ195" s="87"/>
      <c r="CA195" s="87">
        <v>7.7972850000000002E-3</v>
      </c>
      <c r="CB195" s="87">
        <v>1.5592593E-2</v>
      </c>
      <c r="CC195" s="87" t="s">
        <v>309</v>
      </c>
      <c r="CD195" s="87"/>
      <c r="CE195" s="87"/>
      <c r="CF195" s="87"/>
    </row>
    <row r="196" spans="2:84" ht="14.5">
      <c r="B196" s="87" t="s">
        <v>3233</v>
      </c>
      <c r="C196" s="87">
        <v>2023</v>
      </c>
      <c r="D196" s="120" t="s">
        <v>3234</v>
      </c>
      <c r="E196" s="121">
        <v>46085</v>
      </c>
      <c r="F196" s="72" t="s">
        <v>90</v>
      </c>
      <c r="G196" s="120" t="s">
        <v>3232</v>
      </c>
      <c r="H196" s="87"/>
      <c r="I196" s="87" t="s">
        <v>3249</v>
      </c>
      <c r="J196" s="87"/>
      <c r="K196" s="87"/>
      <c r="L196" s="87"/>
      <c r="M196" s="87" t="s">
        <v>95</v>
      </c>
      <c r="N196" s="87" t="s">
        <v>3235</v>
      </c>
      <c r="O196" s="87" t="s">
        <v>94</v>
      </c>
      <c r="P196" s="87"/>
      <c r="Q196" s="87"/>
      <c r="R196" s="87"/>
      <c r="S196" s="87" t="s">
        <v>114</v>
      </c>
      <c r="T196" s="72" t="s">
        <v>114</v>
      </c>
      <c r="U196" s="87" t="s">
        <v>98</v>
      </c>
      <c r="V196" s="87"/>
      <c r="W196" s="87"/>
      <c r="X196" s="87" t="s">
        <v>3236</v>
      </c>
      <c r="Y196" s="87" t="s">
        <v>611</v>
      </c>
      <c r="Z196" s="87"/>
      <c r="AA196" s="87"/>
      <c r="AB196" s="87"/>
      <c r="AC196" s="87" t="s">
        <v>105</v>
      </c>
      <c r="AD196" s="87"/>
      <c r="AE196" s="87"/>
      <c r="AF196" s="87"/>
      <c r="AG196" s="87">
        <v>3</v>
      </c>
      <c r="AH196" s="87" t="s">
        <v>90</v>
      </c>
      <c r="AI196" s="87"/>
      <c r="AJ196" s="87"/>
      <c r="AK196" s="87"/>
      <c r="AL196" s="87"/>
      <c r="AM196" s="87"/>
      <c r="AN196" s="87"/>
      <c r="AO196" s="87"/>
      <c r="AP196" s="87"/>
      <c r="AQ196" s="87" t="s">
        <v>155</v>
      </c>
      <c r="AR196" s="87"/>
      <c r="AS196" s="87"/>
      <c r="AT196" s="87"/>
      <c r="AU196" s="87" t="s">
        <v>116</v>
      </c>
      <c r="AV196" s="87" t="s">
        <v>3237</v>
      </c>
      <c r="AW196" s="87">
        <v>2</v>
      </c>
      <c r="AX196" s="87" t="s">
        <v>3238</v>
      </c>
      <c r="AY196" s="87"/>
      <c r="AZ196" s="87"/>
      <c r="BA196" s="87" t="s">
        <v>116</v>
      </c>
      <c r="BB196" s="87" t="s">
        <v>3239</v>
      </c>
      <c r="BC196" s="87">
        <v>4</v>
      </c>
      <c r="BD196" s="87" t="s">
        <v>3240</v>
      </c>
      <c r="BE196" s="87" t="s">
        <v>116</v>
      </c>
      <c r="BF196" s="87" t="s">
        <v>3241</v>
      </c>
      <c r="BG196" s="87">
        <v>2</v>
      </c>
      <c r="BH196" s="87"/>
      <c r="BI196" s="87"/>
      <c r="BJ196" s="87">
        <v>5</v>
      </c>
      <c r="BK196" s="87" t="s">
        <v>3246</v>
      </c>
      <c r="BL196" s="87" t="s">
        <v>355</v>
      </c>
      <c r="BM196" s="87" t="s">
        <v>3243</v>
      </c>
      <c r="BN196" s="122">
        <v>0.130526323</v>
      </c>
      <c r="BO196" s="122">
        <v>0.147368411</v>
      </c>
      <c r="BP196" s="122">
        <v>0.16631577</v>
      </c>
      <c r="BQ196" s="87" t="s">
        <v>3244</v>
      </c>
      <c r="BR196" s="87">
        <v>4</v>
      </c>
      <c r="BS196" s="87">
        <v>0.1211</v>
      </c>
      <c r="BT196" s="122">
        <v>0.13999998299999999</v>
      </c>
      <c r="BU196" s="87">
        <v>0.16320000000000001</v>
      </c>
      <c r="BV196" s="87" t="s">
        <v>3244</v>
      </c>
      <c r="BW196" s="87">
        <v>4</v>
      </c>
      <c r="BX196" s="87" t="s">
        <v>3245</v>
      </c>
      <c r="BY196" s="87"/>
      <c r="BZ196" s="87"/>
      <c r="CA196" s="87">
        <v>1.3255351E-2</v>
      </c>
      <c r="CB196" s="87">
        <v>1.5592593E-2</v>
      </c>
      <c r="CC196" s="87" t="s">
        <v>309</v>
      </c>
      <c r="CD196" s="87"/>
      <c r="CE196" s="87"/>
      <c r="CF196" s="87"/>
    </row>
    <row r="197" spans="2:84" ht="14.5">
      <c r="B197" s="87" t="s">
        <v>3233</v>
      </c>
      <c r="C197" s="87">
        <v>2023</v>
      </c>
      <c r="D197" s="120" t="s">
        <v>3234</v>
      </c>
      <c r="E197" s="121">
        <v>46085</v>
      </c>
      <c r="F197" s="72" t="s">
        <v>90</v>
      </c>
      <c r="G197" s="120" t="s">
        <v>3232</v>
      </c>
      <c r="H197" s="87"/>
      <c r="I197" s="87" t="s">
        <v>3249</v>
      </c>
      <c r="J197" s="87"/>
      <c r="K197" s="87"/>
      <c r="L197" s="87"/>
      <c r="M197" s="87" t="s">
        <v>95</v>
      </c>
      <c r="N197" s="87" t="s">
        <v>3235</v>
      </c>
      <c r="O197" s="87" t="s">
        <v>94</v>
      </c>
      <c r="P197" s="87"/>
      <c r="Q197" s="87"/>
      <c r="R197" s="87"/>
      <c r="S197" s="87" t="s">
        <v>114</v>
      </c>
      <c r="T197" s="72" t="s">
        <v>114</v>
      </c>
      <c r="U197" s="87" t="s">
        <v>98</v>
      </c>
      <c r="V197" s="87"/>
      <c r="W197" s="87"/>
      <c r="X197" s="87" t="s">
        <v>3236</v>
      </c>
      <c r="Y197" s="87" t="s">
        <v>611</v>
      </c>
      <c r="Z197" s="87"/>
      <c r="AA197" s="87"/>
      <c r="AB197" s="87"/>
      <c r="AC197" s="87" t="s">
        <v>105</v>
      </c>
      <c r="AD197" s="87"/>
      <c r="AE197" s="87"/>
      <c r="AF197" s="87"/>
      <c r="AG197" s="87">
        <v>3</v>
      </c>
      <c r="AH197" s="87" t="s">
        <v>90</v>
      </c>
      <c r="AI197" s="87"/>
      <c r="AJ197" s="87"/>
      <c r="AK197" s="87"/>
      <c r="AL197" s="87"/>
      <c r="AM197" s="87"/>
      <c r="AN197" s="87"/>
      <c r="AO197" s="87"/>
      <c r="AP197" s="87"/>
      <c r="AQ197" s="87" t="s">
        <v>155</v>
      </c>
      <c r="AR197" s="87"/>
      <c r="AS197" s="87"/>
      <c r="AT197" s="87"/>
      <c r="AU197" s="87" t="s">
        <v>116</v>
      </c>
      <c r="AV197" s="87" t="s">
        <v>3237</v>
      </c>
      <c r="AW197" s="87">
        <v>2</v>
      </c>
      <c r="AX197" s="87" t="s">
        <v>3238</v>
      </c>
      <c r="AY197" s="87"/>
      <c r="AZ197" s="87"/>
      <c r="BA197" s="87" t="s">
        <v>116</v>
      </c>
      <c r="BB197" s="87" t="s">
        <v>3239</v>
      </c>
      <c r="BC197" s="87">
        <v>4</v>
      </c>
      <c r="BD197" s="87" t="s">
        <v>3240</v>
      </c>
      <c r="BE197" s="87" t="s">
        <v>116</v>
      </c>
      <c r="BF197" s="87" t="s">
        <v>3241</v>
      </c>
      <c r="BG197" s="87">
        <v>2</v>
      </c>
      <c r="BH197" s="87"/>
      <c r="BI197" s="87"/>
      <c r="BJ197" s="87">
        <v>5</v>
      </c>
      <c r="BK197" s="87" t="s">
        <v>3247</v>
      </c>
      <c r="BL197" s="87" t="s">
        <v>355</v>
      </c>
      <c r="BM197" s="87" t="s">
        <v>3243</v>
      </c>
      <c r="BN197" s="122">
        <v>0.11578946599999999</v>
      </c>
      <c r="BO197" s="122">
        <v>0.121052623</v>
      </c>
      <c r="BP197" s="122">
        <v>0.134736825</v>
      </c>
      <c r="BQ197" s="87" t="s">
        <v>3244</v>
      </c>
      <c r="BR197" s="87">
        <v>4</v>
      </c>
      <c r="BS197" s="87">
        <v>0.1211</v>
      </c>
      <c r="BT197" s="122">
        <v>0.13999998299999999</v>
      </c>
      <c r="BU197" s="87">
        <v>0.16320000000000001</v>
      </c>
      <c r="BV197" s="87" t="s">
        <v>3244</v>
      </c>
      <c r="BW197" s="87">
        <v>4</v>
      </c>
      <c r="BX197" s="87" t="s">
        <v>3245</v>
      </c>
      <c r="BY197" s="87"/>
      <c r="BZ197" s="87"/>
      <c r="CA197" s="87">
        <v>7.0175400000000001E-3</v>
      </c>
      <c r="CB197" s="87">
        <v>1.5592593E-2</v>
      </c>
      <c r="CC197" s="87" t="s">
        <v>309</v>
      </c>
      <c r="CD197" s="87"/>
      <c r="CE197" s="87"/>
      <c r="CF197" s="87"/>
    </row>
    <row r="198" spans="2:84" ht="14.5">
      <c r="B198" s="87" t="s">
        <v>3233</v>
      </c>
      <c r="C198" s="87">
        <v>2023</v>
      </c>
      <c r="D198" s="120" t="s">
        <v>3234</v>
      </c>
      <c r="E198" s="121">
        <v>46085</v>
      </c>
      <c r="F198" s="72" t="s">
        <v>90</v>
      </c>
      <c r="G198" s="120" t="s">
        <v>3232</v>
      </c>
      <c r="H198" s="87"/>
      <c r="I198" s="87" t="s">
        <v>3249</v>
      </c>
      <c r="J198" s="87"/>
      <c r="K198" s="87"/>
      <c r="L198" s="87"/>
      <c r="M198" s="87" t="s">
        <v>95</v>
      </c>
      <c r="N198" s="87" t="s">
        <v>3235</v>
      </c>
      <c r="O198" s="87" t="s">
        <v>94</v>
      </c>
      <c r="P198" s="87"/>
      <c r="Q198" s="87"/>
      <c r="R198" s="87"/>
      <c r="S198" s="87" t="s">
        <v>114</v>
      </c>
      <c r="T198" s="72" t="s">
        <v>114</v>
      </c>
      <c r="U198" s="87" t="s">
        <v>98</v>
      </c>
      <c r="V198" s="87"/>
      <c r="W198" s="87"/>
      <c r="X198" s="87" t="s">
        <v>3236</v>
      </c>
      <c r="Y198" s="87" t="s">
        <v>611</v>
      </c>
      <c r="Z198" s="87"/>
      <c r="AA198" s="87"/>
      <c r="AB198" s="87"/>
      <c r="AC198" s="87" t="s">
        <v>105</v>
      </c>
      <c r="AD198" s="87"/>
      <c r="AE198" s="87"/>
      <c r="AF198" s="87"/>
      <c r="AG198" s="87">
        <v>3</v>
      </c>
      <c r="AH198" s="87" t="s">
        <v>90</v>
      </c>
      <c r="AI198" s="87"/>
      <c r="AJ198" s="87"/>
      <c r="AK198" s="87"/>
      <c r="AL198" s="87"/>
      <c r="AM198" s="87"/>
      <c r="AN198" s="87"/>
      <c r="AO198" s="87"/>
      <c r="AP198" s="87"/>
      <c r="AQ198" s="87" t="s">
        <v>155</v>
      </c>
      <c r="AR198" s="87"/>
      <c r="AS198" s="87"/>
      <c r="AT198" s="87"/>
      <c r="AU198" s="87" t="s">
        <v>116</v>
      </c>
      <c r="AV198" s="87" t="s">
        <v>3237</v>
      </c>
      <c r="AW198" s="87">
        <v>2</v>
      </c>
      <c r="AX198" s="87" t="s">
        <v>3238</v>
      </c>
      <c r="AY198" s="87"/>
      <c r="AZ198" s="87"/>
      <c r="BA198" s="87" t="s">
        <v>116</v>
      </c>
      <c r="BB198" s="87" t="s">
        <v>3239</v>
      </c>
      <c r="BC198" s="87">
        <v>4</v>
      </c>
      <c r="BD198" s="87" t="s">
        <v>3240</v>
      </c>
      <c r="BE198" s="87" t="s">
        <v>116</v>
      </c>
      <c r="BF198" s="87" t="s">
        <v>3241</v>
      </c>
      <c r="BG198" s="87">
        <v>2</v>
      </c>
      <c r="BH198" s="87"/>
      <c r="BI198" s="87"/>
      <c r="BJ198" s="87">
        <v>5</v>
      </c>
      <c r="BK198" s="87" t="s">
        <v>3248</v>
      </c>
      <c r="BL198" s="87" t="s">
        <v>355</v>
      </c>
      <c r="BM198" s="87" t="s">
        <v>3243</v>
      </c>
      <c r="BN198" s="133">
        <v>9.8947378000000002E-2</v>
      </c>
      <c r="BO198" s="122">
        <v>0.113684195</v>
      </c>
      <c r="BP198" s="133">
        <v>0.121052623</v>
      </c>
      <c r="BQ198" s="87" t="s">
        <v>3244</v>
      </c>
      <c r="BR198" s="87">
        <v>4</v>
      </c>
      <c r="BS198" s="87">
        <v>0.12529999999999999</v>
      </c>
      <c r="BT198" s="122">
        <v>0.146315796</v>
      </c>
      <c r="BU198" s="87">
        <v>0.16739999999999999</v>
      </c>
      <c r="BV198" s="87" t="s">
        <v>3244</v>
      </c>
      <c r="BW198" s="87">
        <v>4</v>
      </c>
      <c r="BX198" s="87" t="s">
        <v>3245</v>
      </c>
      <c r="BY198" s="87"/>
      <c r="BZ198" s="87"/>
      <c r="CA198" s="87">
        <v>8.1871280000000001E-3</v>
      </c>
      <c r="CB198" s="87">
        <v>1.5592593E-2</v>
      </c>
      <c r="CC198" s="87" t="s">
        <v>309</v>
      </c>
      <c r="CD198" s="87"/>
      <c r="CE198" s="87"/>
      <c r="CF198" s="87"/>
    </row>
    <row r="199" spans="2:84" ht="14.5">
      <c r="B199" s="87" t="s">
        <v>3233</v>
      </c>
      <c r="C199" s="87">
        <v>2023</v>
      </c>
      <c r="D199" s="120" t="s">
        <v>3234</v>
      </c>
      <c r="E199" s="121">
        <v>46085</v>
      </c>
      <c r="F199" s="72" t="s">
        <v>90</v>
      </c>
      <c r="G199" s="120" t="s">
        <v>3232</v>
      </c>
      <c r="H199" s="87"/>
      <c r="I199" s="87" t="s">
        <v>3249</v>
      </c>
      <c r="J199" s="87"/>
      <c r="K199" s="87"/>
      <c r="L199" s="87"/>
      <c r="M199" s="87" t="s">
        <v>95</v>
      </c>
      <c r="N199" s="87" t="s">
        <v>3235</v>
      </c>
      <c r="O199" s="87" t="s">
        <v>94</v>
      </c>
      <c r="P199" s="87"/>
      <c r="Q199" s="87"/>
      <c r="R199" s="87"/>
      <c r="S199" s="87" t="s">
        <v>114</v>
      </c>
      <c r="T199" s="72" t="s">
        <v>114</v>
      </c>
      <c r="U199" s="87" t="s">
        <v>98</v>
      </c>
      <c r="V199" s="87"/>
      <c r="W199" s="87"/>
      <c r="X199" s="87" t="s">
        <v>3236</v>
      </c>
      <c r="Y199" s="87" t="s">
        <v>611</v>
      </c>
      <c r="Z199" s="87"/>
      <c r="AA199" s="87"/>
      <c r="AB199" s="87"/>
      <c r="AC199" s="87" t="s">
        <v>105</v>
      </c>
      <c r="AD199" s="87"/>
      <c r="AE199" s="87"/>
      <c r="AF199" s="87"/>
      <c r="AG199" s="87">
        <v>3</v>
      </c>
      <c r="AH199" s="87" t="s">
        <v>90</v>
      </c>
      <c r="AI199" s="87"/>
      <c r="AJ199" s="87"/>
      <c r="AK199" s="87"/>
      <c r="AL199" s="87"/>
      <c r="AM199" s="87"/>
      <c r="AN199" s="87"/>
      <c r="AO199" s="87"/>
      <c r="AP199" s="87"/>
      <c r="AQ199" s="87" t="s">
        <v>155</v>
      </c>
      <c r="AR199" s="87"/>
      <c r="AS199" s="87"/>
      <c r="AT199" s="87"/>
      <c r="AU199" s="87" t="s">
        <v>116</v>
      </c>
      <c r="AV199" s="87" t="s">
        <v>3237</v>
      </c>
      <c r="AW199" s="87">
        <v>2</v>
      </c>
      <c r="AX199" s="87" t="s">
        <v>3238</v>
      </c>
      <c r="AY199" s="87"/>
      <c r="AZ199" s="87"/>
      <c r="BA199" s="87" t="s">
        <v>116</v>
      </c>
      <c r="BB199" s="87" t="s">
        <v>3239</v>
      </c>
      <c r="BC199" s="87">
        <v>4</v>
      </c>
      <c r="BD199" s="87" t="s">
        <v>3240</v>
      </c>
      <c r="BE199" s="87" t="s">
        <v>116</v>
      </c>
      <c r="BF199" s="87" t="s">
        <v>3241</v>
      </c>
      <c r="BG199" s="87">
        <v>2</v>
      </c>
      <c r="BH199" s="87"/>
      <c r="BI199" s="87"/>
      <c r="BJ199" s="87">
        <v>5</v>
      </c>
      <c r="BK199" s="87" t="s">
        <v>3250</v>
      </c>
      <c r="BL199" s="87" t="s">
        <v>355</v>
      </c>
      <c r="BM199" s="87" t="s">
        <v>3243</v>
      </c>
      <c r="BN199" s="133">
        <v>0.110526308</v>
      </c>
      <c r="BO199" s="122">
        <v>0.12947366799999999</v>
      </c>
      <c r="BP199" s="133">
        <v>0.150526298</v>
      </c>
      <c r="BQ199" s="87" t="s">
        <v>3244</v>
      </c>
      <c r="BR199" s="87">
        <v>4</v>
      </c>
      <c r="BS199" s="87">
        <v>0.12529999999999999</v>
      </c>
      <c r="BT199" s="122">
        <v>0.146315796</v>
      </c>
      <c r="BU199" s="87">
        <v>0.16739999999999999</v>
      </c>
      <c r="BV199" s="87" t="s">
        <v>3244</v>
      </c>
      <c r="BW199" s="87">
        <v>4</v>
      </c>
      <c r="BX199" s="87" t="s">
        <v>3245</v>
      </c>
      <c r="BY199" s="87"/>
      <c r="BZ199" s="87"/>
      <c r="CA199" s="87">
        <v>1.4814811000000001E-2</v>
      </c>
      <c r="CB199" s="87">
        <v>1.5592593E-2</v>
      </c>
      <c r="CC199" s="87" t="s">
        <v>309</v>
      </c>
      <c r="CD199" s="87"/>
      <c r="CE199" s="87"/>
      <c r="CF199" s="87"/>
    </row>
    <row r="200" spans="2:84" ht="14.5">
      <c r="B200" s="87" t="s">
        <v>3233</v>
      </c>
      <c r="C200" s="87">
        <v>2023</v>
      </c>
      <c r="D200" s="120" t="s">
        <v>3234</v>
      </c>
      <c r="E200" s="121">
        <v>46085</v>
      </c>
      <c r="F200" s="72" t="s">
        <v>90</v>
      </c>
      <c r="G200" s="120" t="s">
        <v>3232</v>
      </c>
      <c r="H200" s="87"/>
      <c r="I200" s="87" t="s">
        <v>3249</v>
      </c>
      <c r="J200" s="87"/>
      <c r="K200" s="87"/>
      <c r="L200" s="87"/>
      <c r="M200" s="87" t="s">
        <v>95</v>
      </c>
      <c r="N200" s="87" t="s">
        <v>3235</v>
      </c>
      <c r="O200" s="87" t="s">
        <v>94</v>
      </c>
      <c r="P200" s="87"/>
      <c r="Q200" s="87"/>
      <c r="R200" s="87"/>
      <c r="S200" s="87" t="s">
        <v>114</v>
      </c>
      <c r="T200" s="72" t="s">
        <v>114</v>
      </c>
      <c r="U200" s="87" t="s">
        <v>98</v>
      </c>
      <c r="V200" s="87"/>
      <c r="W200" s="87"/>
      <c r="X200" s="87" t="s">
        <v>3236</v>
      </c>
      <c r="Y200" s="87" t="s">
        <v>611</v>
      </c>
      <c r="Z200" s="87"/>
      <c r="AA200" s="87"/>
      <c r="AB200" s="87"/>
      <c r="AC200" s="87" t="s">
        <v>105</v>
      </c>
      <c r="AD200" s="87"/>
      <c r="AE200" s="87"/>
      <c r="AF200" s="87"/>
      <c r="AG200" s="87">
        <v>3</v>
      </c>
      <c r="AH200" s="87" t="s">
        <v>90</v>
      </c>
      <c r="AI200" s="87"/>
      <c r="AJ200" s="87"/>
      <c r="AK200" s="87"/>
      <c r="AL200" s="87"/>
      <c r="AM200" s="87"/>
      <c r="AN200" s="87"/>
      <c r="AO200" s="87"/>
      <c r="AP200" s="87"/>
      <c r="AQ200" s="87" t="s">
        <v>155</v>
      </c>
      <c r="AR200" s="87"/>
      <c r="AS200" s="87"/>
      <c r="AT200" s="87"/>
      <c r="AU200" s="87" t="s">
        <v>116</v>
      </c>
      <c r="AV200" s="87" t="s">
        <v>3237</v>
      </c>
      <c r="AW200" s="87">
        <v>2</v>
      </c>
      <c r="AX200" s="87" t="s">
        <v>3238</v>
      </c>
      <c r="AY200" s="87"/>
      <c r="AZ200" s="87"/>
      <c r="BA200" s="87" t="s">
        <v>116</v>
      </c>
      <c r="BB200" s="87" t="s">
        <v>3239</v>
      </c>
      <c r="BC200" s="87">
        <v>4</v>
      </c>
      <c r="BD200" s="87" t="s">
        <v>3240</v>
      </c>
      <c r="BE200" s="87" t="s">
        <v>116</v>
      </c>
      <c r="BF200" s="87" t="s">
        <v>3241</v>
      </c>
      <c r="BG200" s="87">
        <v>2</v>
      </c>
      <c r="BH200" s="87"/>
      <c r="BI200" s="87"/>
      <c r="BJ200" s="87">
        <v>5</v>
      </c>
      <c r="BK200" s="87" t="s">
        <v>3251</v>
      </c>
      <c r="BL200" s="87" t="s">
        <v>355</v>
      </c>
      <c r="BM200" s="87" t="s">
        <v>3243</v>
      </c>
      <c r="BN200" s="133">
        <v>8.5263175999999996E-2</v>
      </c>
      <c r="BO200" s="122">
        <v>0.10315787999999999</v>
      </c>
      <c r="BP200" s="133">
        <v>0.112631499</v>
      </c>
      <c r="BQ200" s="87" t="s">
        <v>3244</v>
      </c>
      <c r="BR200" s="87">
        <v>4</v>
      </c>
      <c r="BS200" s="87">
        <v>0.12529999999999999</v>
      </c>
      <c r="BT200" s="122">
        <v>0.146315796</v>
      </c>
      <c r="BU200" s="87">
        <v>0.16739999999999999</v>
      </c>
      <c r="BV200" s="87" t="s">
        <v>3244</v>
      </c>
      <c r="BW200" s="87">
        <v>4</v>
      </c>
      <c r="BX200" s="87" t="s">
        <v>3245</v>
      </c>
      <c r="BY200" s="87"/>
      <c r="BZ200" s="87"/>
      <c r="CA200" s="87">
        <v>1.0136416000000001E-2</v>
      </c>
      <c r="CB200" s="87">
        <v>1.5592593E-2</v>
      </c>
      <c r="CC200" s="87" t="s">
        <v>309</v>
      </c>
      <c r="CD200" s="87"/>
      <c r="CE200" s="87"/>
      <c r="CF200" s="87"/>
    </row>
    <row r="201" spans="2:84" ht="14.5">
      <c r="B201" s="87" t="s">
        <v>3252</v>
      </c>
      <c r="C201" s="87">
        <v>2024</v>
      </c>
      <c r="D201" s="120" t="s">
        <v>3253</v>
      </c>
      <c r="E201" s="121">
        <v>46085</v>
      </c>
      <c r="F201" s="72" t="s">
        <v>90</v>
      </c>
      <c r="G201" s="120" t="s">
        <v>3232</v>
      </c>
      <c r="I201" s="87" t="s">
        <v>3254</v>
      </c>
      <c r="J201" s="87"/>
      <c r="K201" s="87"/>
      <c r="L201" s="87"/>
      <c r="M201" s="87" t="s">
        <v>95</v>
      </c>
      <c r="N201" s="87"/>
      <c r="O201" s="87" t="s">
        <v>94</v>
      </c>
      <c r="P201" s="87"/>
      <c r="Q201" s="87"/>
      <c r="R201" s="87"/>
      <c r="S201" s="87" t="s">
        <v>114</v>
      </c>
      <c r="T201" s="72" t="s">
        <v>114</v>
      </c>
      <c r="U201" s="87" t="s">
        <v>98</v>
      </c>
      <c r="V201" s="87"/>
      <c r="W201" s="87"/>
      <c r="X201" s="87"/>
      <c r="Y201" s="87"/>
      <c r="Z201" s="87"/>
      <c r="AA201" s="87"/>
      <c r="AB201" s="87"/>
      <c r="AC201" s="87" t="s">
        <v>105</v>
      </c>
      <c r="AD201" s="87"/>
      <c r="AE201" s="87"/>
      <c r="AF201" s="87"/>
      <c r="AG201" s="87">
        <v>2</v>
      </c>
      <c r="AH201" s="87" t="s">
        <v>90</v>
      </c>
      <c r="AI201" s="87"/>
      <c r="AJ201" s="87"/>
      <c r="AK201" s="87"/>
      <c r="AL201" s="87"/>
      <c r="AM201" s="87"/>
      <c r="AN201" s="87"/>
      <c r="AO201" s="87"/>
      <c r="AP201" s="87"/>
      <c r="AQ201" s="87" t="s">
        <v>155</v>
      </c>
      <c r="AR201" s="87"/>
      <c r="AS201" s="87"/>
      <c r="AT201" s="87"/>
      <c r="AU201" s="87" t="s">
        <v>116</v>
      </c>
      <c r="AV201" s="87" t="s">
        <v>3255</v>
      </c>
      <c r="AW201" s="87">
        <v>2</v>
      </c>
      <c r="AX201" s="87" t="s">
        <v>3240</v>
      </c>
      <c r="AY201" s="87"/>
      <c r="AZ201" s="87"/>
      <c r="BA201" s="87" t="s">
        <v>116</v>
      </c>
      <c r="BB201" s="87" t="s">
        <v>3241</v>
      </c>
      <c r="BC201" s="87">
        <v>2</v>
      </c>
      <c r="BD201" s="87"/>
      <c r="BE201" s="87"/>
      <c r="BF201" s="87"/>
      <c r="BG201" s="87"/>
      <c r="BH201" s="87"/>
      <c r="BI201" s="87"/>
      <c r="BJ201" s="87">
        <v>0</v>
      </c>
      <c r="BK201" s="87" t="s">
        <v>3256</v>
      </c>
      <c r="BL201" s="87" t="s">
        <v>355</v>
      </c>
      <c r="BM201" s="87" t="s">
        <v>3257</v>
      </c>
      <c r="BN201" s="122">
        <v>-6.1539968E-2</v>
      </c>
      <c r="BO201" s="122">
        <v>1.1769232140000001</v>
      </c>
      <c r="BP201" s="87">
        <v>1.2384631820000001</v>
      </c>
      <c r="BQ201" s="87" t="s">
        <v>129</v>
      </c>
      <c r="BR201" s="87">
        <v>4</v>
      </c>
      <c r="BS201" s="122">
        <v>1.894871932</v>
      </c>
      <c r="BT201" s="122">
        <v>2.3615383250000002</v>
      </c>
      <c r="BU201" s="122">
        <v>2.8999998630000001</v>
      </c>
      <c r="BV201" s="87" t="s">
        <v>129</v>
      </c>
      <c r="BW201" s="87">
        <v>4</v>
      </c>
      <c r="BX201" s="87" t="s">
        <v>3258</v>
      </c>
      <c r="BY201" s="87"/>
      <c r="BZ201" s="87"/>
      <c r="CA201" s="87">
        <v>6.1539968E-2</v>
      </c>
      <c r="CB201" s="87">
        <v>0.53846153799999996</v>
      </c>
      <c r="CC201" s="87" t="s">
        <v>3259</v>
      </c>
      <c r="CD201" s="87"/>
      <c r="CE201" s="87"/>
      <c r="CF201" s="87"/>
    </row>
    <row r="202" spans="2:84" ht="14.5">
      <c r="B202" s="87" t="s">
        <v>3252</v>
      </c>
      <c r="C202" s="87">
        <v>2024</v>
      </c>
      <c r="D202" s="120" t="s">
        <v>3253</v>
      </c>
      <c r="E202" s="121">
        <v>46085</v>
      </c>
      <c r="F202" s="72" t="s">
        <v>90</v>
      </c>
      <c r="G202" s="120" t="s">
        <v>3232</v>
      </c>
      <c r="I202" s="87" t="s">
        <v>3254</v>
      </c>
      <c r="J202" s="87"/>
      <c r="K202" s="87"/>
      <c r="L202" s="87"/>
      <c r="M202" s="87" t="s">
        <v>95</v>
      </c>
      <c r="N202" s="87"/>
      <c r="O202" s="87" t="s">
        <v>94</v>
      </c>
      <c r="P202" s="87"/>
      <c r="Q202" s="87"/>
      <c r="R202" s="87"/>
      <c r="S202" s="87" t="s">
        <v>114</v>
      </c>
      <c r="T202" s="72" t="s">
        <v>114</v>
      </c>
      <c r="U202" s="87" t="s">
        <v>98</v>
      </c>
      <c r="V202" s="87"/>
      <c r="W202" s="87"/>
      <c r="X202" s="87"/>
      <c r="Y202" s="87"/>
      <c r="Z202" s="87"/>
      <c r="AA202" s="87"/>
      <c r="AB202" s="87"/>
      <c r="AC202" s="87" t="s">
        <v>105</v>
      </c>
      <c r="AD202" s="87"/>
      <c r="AE202" s="87"/>
      <c r="AF202" s="87"/>
      <c r="AG202" s="87">
        <v>2</v>
      </c>
      <c r="AH202" s="87" t="s">
        <v>90</v>
      </c>
      <c r="AI202" s="87"/>
      <c r="AJ202" s="87"/>
      <c r="AK202" s="87"/>
      <c r="AL202" s="87"/>
      <c r="AM202" s="87"/>
      <c r="AN202" s="87"/>
      <c r="AO202" s="87"/>
      <c r="AP202" s="87"/>
      <c r="AQ202" s="87" t="s">
        <v>155</v>
      </c>
      <c r="AR202" s="87"/>
      <c r="AS202" s="87"/>
      <c r="AT202" s="87"/>
      <c r="AU202" s="87" t="s">
        <v>116</v>
      </c>
      <c r="AV202" s="87" t="s">
        <v>3255</v>
      </c>
      <c r="AW202" s="87">
        <v>2</v>
      </c>
      <c r="AX202" s="87" t="s">
        <v>3240</v>
      </c>
      <c r="AY202" s="87"/>
      <c r="AZ202" s="87"/>
      <c r="BA202" s="87" t="s">
        <v>116</v>
      </c>
      <c r="BB202" s="87" t="s">
        <v>3241</v>
      </c>
      <c r="BC202" s="87">
        <v>2</v>
      </c>
      <c r="BD202" s="87"/>
      <c r="BE202" s="87"/>
      <c r="BF202" s="87"/>
      <c r="BG202" s="87"/>
      <c r="BH202" s="87"/>
      <c r="BI202" s="87"/>
      <c r="BJ202" s="87">
        <v>0</v>
      </c>
      <c r="BK202" s="87" t="s">
        <v>3260</v>
      </c>
      <c r="BL202" s="87" t="s">
        <v>355</v>
      </c>
      <c r="BM202" s="87" t="s">
        <v>3257</v>
      </c>
      <c r="BN202" s="122">
        <v>-0.20512820500000001</v>
      </c>
      <c r="BO202" s="122">
        <v>1.0153844780000001</v>
      </c>
      <c r="BP202" s="122">
        <v>2.2717947349999998</v>
      </c>
      <c r="BQ202" s="87" t="s">
        <v>129</v>
      </c>
      <c r="BR202" s="87">
        <v>4</v>
      </c>
      <c r="BS202" s="122">
        <v>-0.34871781200000002</v>
      </c>
      <c r="BT202" s="122">
        <v>0.15384615400000001</v>
      </c>
      <c r="BU202" s="122">
        <v>0.63846099099999998</v>
      </c>
      <c r="BV202" s="87" t="s">
        <v>129</v>
      </c>
      <c r="BW202" s="87">
        <v>4</v>
      </c>
      <c r="BX202" s="87" t="s">
        <v>3258</v>
      </c>
      <c r="BY202" s="87"/>
      <c r="BZ202" s="87"/>
      <c r="CA202" s="87">
        <v>1.2564102559999999</v>
      </c>
      <c r="CB202" s="87">
        <v>0.48461483700000002</v>
      </c>
      <c r="CC202" s="87" t="s">
        <v>3259</v>
      </c>
      <c r="CD202" s="87"/>
      <c r="CE202" s="87"/>
      <c r="CF202" s="87"/>
    </row>
    <row r="203" spans="2:84" ht="14.5">
      <c r="B203" s="87" t="s">
        <v>3252</v>
      </c>
      <c r="C203" s="87">
        <v>2024</v>
      </c>
      <c r="D203" s="120" t="s">
        <v>3253</v>
      </c>
      <c r="E203" s="121">
        <v>46085</v>
      </c>
      <c r="F203" s="72" t="s">
        <v>90</v>
      </c>
      <c r="G203" s="120" t="s">
        <v>3232</v>
      </c>
      <c r="I203" s="87" t="s">
        <v>3254</v>
      </c>
      <c r="J203" s="87"/>
      <c r="K203" s="87"/>
      <c r="L203" s="87"/>
      <c r="M203" s="87" t="s">
        <v>95</v>
      </c>
      <c r="N203" s="87"/>
      <c r="O203" s="87" t="s">
        <v>94</v>
      </c>
      <c r="P203" s="87"/>
      <c r="Q203" s="87"/>
      <c r="R203" s="87"/>
      <c r="S203" s="87" t="s">
        <v>114</v>
      </c>
      <c r="T203" s="72" t="s">
        <v>114</v>
      </c>
      <c r="U203" s="87" t="s">
        <v>98</v>
      </c>
      <c r="V203" s="87"/>
      <c r="W203" s="87"/>
      <c r="X203" s="87"/>
      <c r="Y203" s="87"/>
      <c r="Z203" s="87"/>
      <c r="AA203" s="87"/>
      <c r="AB203" s="87"/>
      <c r="AC203" s="87" t="s">
        <v>105</v>
      </c>
      <c r="AD203" s="87"/>
      <c r="AE203" s="87"/>
      <c r="AF203" s="87"/>
      <c r="AG203" s="87">
        <v>2</v>
      </c>
      <c r="AH203" s="87" t="s">
        <v>90</v>
      </c>
      <c r="AI203" s="87"/>
      <c r="AJ203" s="87"/>
      <c r="AK203" s="87"/>
      <c r="AL203" s="87"/>
      <c r="AM203" s="87"/>
      <c r="AN203" s="87"/>
      <c r="AO203" s="87"/>
      <c r="AP203" s="87"/>
      <c r="AQ203" s="87" t="s">
        <v>155</v>
      </c>
      <c r="AR203" s="87"/>
      <c r="AS203" s="87"/>
      <c r="AT203" s="87"/>
      <c r="AU203" s="87" t="s">
        <v>116</v>
      </c>
      <c r="AV203" s="87" t="s">
        <v>3255</v>
      </c>
      <c r="AW203" s="87">
        <v>2</v>
      </c>
      <c r="AX203" s="87" t="s">
        <v>3240</v>
      </c>
      <c r="AY203" s="87"/>
      <c r="AZ203" s="87"/>
      <c r="BA203" s="87" t="s">
        <v>116</v>
      </c>
      <c r="BB203" s="87" t="s">
        <v>3241</v>
      </c>
      <c r="BC203" s="87">
        <v>2</v>
      </c>
      <c r="BD203" s="87"/>
      <c r="BE203" s="87"/>
      <c r="BF203" s="87"/>
      <c r="BG203" s="87"/>
      <c r="BH203" s="87"/>
      <c r="BI203" s="87"/>
      <c r="BJ203" s="87">
        <v>8</v>
      </c>
      <c r="BK203" s="87" t="s">
        <v>3261</v>
      </c>
      <c r="BL203" s="87" t="s">
        <v>355</v>
      </c>
      <c r="BM203" s="87" t="s">
        <v>3257</v>
      </c>
      <c r="BN203" s="122">
        <v>-1.443590017</v>
      </c>
      <c r="BO203" s="122">
        <v>-1.0307696420000001</v>
      </c>
      <c r="BP203" s="122">
        <v>-0.60000150600000002</v>
      </c>
      <c r="BQ203" s="87" t="s">
        <v>129</v>
      </c>
      <c r="BR203" s="87">
        <v>4</v>
      </c>
      <c r="BS203" s="122">
        <v>0.97948690599999999</v>
      </c>
      <c r="BT203" s="122">
        <v>1.464102427</v>
      </c>
      <c r="BU203" s="122">
        <v>1.9487179489999999</v>
      </c>
      <c r="BV203" s="87" t="s">
        <v>129</v>
      </c>
      <c r="BW203" s="87">
        <v>4</v>
      </c>
      <c r="BX203" s="87" t="s">
        <v>3258</v>
      </c>
      <c r="BY203" s="87"/>
      <c r="BZ203" s="87"/>
      <c r="CA203" s="87">
        <v>0.430768135</v>
      </c>
      <c r="CB203" s="87">
        <v>0.48461552200000002</v>
      </c>
      <c r="CC203" s="87" t="s">
        <v>3259</v>
      </c>
      <c r="CD203" s="87"/>
      <c r="CE203" s="87"/>
      <c r="CF203" s="87"/>
    </row>
    <row r="204" spans="2:84" ht="14.5">
      <c r="B204" s="87" t="s">
        <v>3252</v>
      </c>
      <c r="C204" s="87">
        <v>2024</v>
      </c>
      <c r="D204" s="120" t="s">
        <v>3253</v>
      </c>
      <c r="E204" s="121">
        <v>46085</v>
      </c>
      <c r="F204" s="72" t="s">
        <v>90</v>
      </c>
      <c r="G204" s="120" t="s">
        <v>3232</v>
      </c>
      <c r="I204" s="87" t="s">
        <v>3254</v>
      </c>
      <c r="J204" s="87"/>
      <c r="K204" s="87"/>
      <c r="L204" s="87"/>
      <c r="M204" s="87" t="s">
        <v>95</v>
      </c>
      <c r="N204" s="87"/>
      <c r="O204" s="87" t="s">
        <v>94</v>
      </c>
      <c r="P204" s="87"/>
      <c r="Q204" s="87"/>
      <c r="R204" s="87"/>
      <c r="S204" s="87" t="s">
        <v>114</v>
      </c>
      <c r="T204" s="72" t="s">
        <v>114</v>
      </c>
      <c r="U204" s="87" t="s">
        <v>98</v>
      </c>
      <c r="V204" s="87"/>
      <c r="W204" s="87"/>
      <c r="X204" s="87"/>
      <c r="Y204" s="87"/>
      <c r="Z204" s="87"/>
      <c r="AA204" s="87"/>
      <c r="AB204" s="87"/>
      <c r="AC204" s="87" t="s">
        <v>105</v>
      </c>
      <c r="AD204" s="87"/>
      <c r="AE204" s="87"/>
      <c r="AF204" s="87"/>
      <c r="AG204" s="87">
        <v>2</v>
      </c>
      <c r="AH204" s="87" t="s">
        <v>90</v>
      </c>
      <c r="AI204" s="87"/>
      <c r="AJ204" s="87"/>
      <c r="AK204" s="87"/>
      <c r="AL204" s="87"/>
      <c r="AM204" s="87"/>
      <c r="AN204" s="87"/>
      <c r="AO204" s="87"/>
      <c r="AP204" s="87"/>
      <c r="AQ204" s="87" t="s">
        <v>155</v>
      </c>
      <c r="AR204" s="87"/>
      <c r="AS204" s="87"/>
      <c r="AT204" s="87"/>
      <c r="AU204" s="87" t="s">
        <v>116</v>
      </c>
      <c r="AV204" s="87" t="s">
        <v>3255</v>
      </c>
      <c r="AW204" s="87">
        <v>2</v>
      </c>
      <c r="AX204" s="87" t="s">
        <v>3240</v>
      </c>
      <c r="AY204" s="87"/>
      <c r="AZ204" s="87"/>
      <c r="BA204" s="87" t="s">
        <v>116</v>
      </c>
      <c r="BB204" s="87" t="s">
        <v>3241</v>
      </c>
      <c r="BC204" s="87">
        <v>2</v>
      </c>
      <c r="BD204" s="87"/>
      <c r="BE204" s="87"/>
      <c r="BF204" s="87"/>
      <c r="BG204" s="87"/>
      <c r="BH204" s="87"/>
      <c r="BI204" s="87"/>
      <c r="BJ204" s="87">
        <v>8</v>
      </c>
      <c r="BK204" s="87" t="s">
        <v>3262</v>
      </c>
      <c r="BL204" s="87" t="s">
        <v>355</v>
      </c>
      <c r="BM204" s="87" t="s">
        <v>3257</v>
      </c>
      <c r="BN204" s="122">
        <v>-1.9282055389999999</v>
      </c>
      <c r="BO204" s="122">
        <v>-1.2461537090000001</v>
      </c>
      <c r="BP204" s="122">
        <v>-0.54615411999999997</v>
      </c>
      <c r="BQ204" s="87" t="s">
        <v>129</v>
      </c>
      <c r="BR204" s="87">
        <v>4</v>
      </c>
      <c r="BS204" s="122">
        <v>1.0256547E-2</v>
      </c>
      <c r="BT204" s="122">
        <v>0.31538420499999997</v>
      </c>
      <c r="BU204" s="122">
        <v>0.63846099099999998</v>
      </c>
      <c r="BV204" s="87" t="s">
        <v>129</v>
      </c>
      <c r="BW204" s="87">
        <v>4</v>
      </c>
      <c r="BX204" s="87" t="s">
        <v>3258</v>
      </c>
      <c r="BY204" s="87"/>
      <c r="BZ204" s="87"/>
      <c r="CA204" s="87">
        <v>0.69999958900000003</v>
      </c>
      <c r="CB204" s="87">
        <v>0.323076786</v>
      </c>
      <c r="CC204" s="87" t="s">
        <v>3259</v>
      </c>
      <c r="CD204" s="87"/>
      <c r="CE204" s="87"/>
      <c r="CF204" s="87"/>
    </row>
    <row r="205" spans="2:84" ht="14.5">
      <c r="B205" s="87" t="s">
        <v>3263</v>
      </c>
      <c r="C205" s="87">
        <v>2023</v>
      </c>
      <c r="D205" s="120" t="s">
        <v>3264</v>
      </c>
      <c r="E205" s="121">
        <v>46085</v>
      </c>
      <c r="F205" s="72" t="s">
        <v>90</v>
      </c>
      <c r="G205" s="120" t="s">
        <v>3232</v>
      </c>
      <c r="I205" s="87" t="s">
        <v>3265</v>
      </c>
      <c r="J205" s="87"/>
      <c r="K205" s="87"/>
      <c r="L205" s="87"/>
      <c r="M205" s="87" t="s">
        <v>95</v>
      </c>
      <c r="N205" s="87" t="s">
        <v>3267</v>
      </c>
      <c r="O205" s="87" t="s">
        <v>114</v>
      </c>
      <c r="P205" s="87"/>
      <c r="Q205" s="87"/>
      <c r="R205" s="87"/>
      <c r="S205" s="87" t="s">
        <v>114</v>
      </c>
      <c r="T205" s="72" t="s">
        <v>114</v>
      </c>
      <c r="U205" s="87" t="s">
        <v>98</v>
      </c>
      <c r="V205" s="87"/>
      <c r="W205" s="87"/>
      <c r="X205" s="87"/>
      <c r="Y205" s="87"/>
      <c r="Z205" s="87"/>
      <c r="AA205" s="87"/>
      <c r="AB205" s="87"/>
      <c r="AC205" s="87" t="s">
        <v>20</v>
      </c>
      <c r="AD205" s="87"/>
      <c r="AE205" s="87"/>
      <c r="AF205" s="87"/>
      <c r="AG205" s="87">
        <v>1</v>
      </c>
      <c r="AH205" s="87" t="s">
        <v>160</v>
      </c>
      <c r="AI205" s="87"/>
      <c r="AJ205" s="87"/>
      <c r="AK205" s="87"/>
      <c r="AL205" s="87"/>
      <c r="AM205" s="87"/>
      <c r="AN205" s="87"/>
      <c r="AO205" s="87"/>
      <c r="AP205" s="87"/>
      <c r="AQ205" s="87" t="s">
        <v>155</v>
      </c>
      <c r="AR205" s="87"/>
      <c r="AS205" s="87"/>
      <c r="AT205" s="87"/>
      <c r="AU205" s="87" t="s">
        <v>116</v>
      </c>
      <c r="AV205" s="87" t="s">
        <v>3268</v>
      </c>
      <c r="AW205" s="87">
        <v>2</v>
      </c>
      <c r="AX205" s="87"/>
      <c r="AY205" s="87"/>
      <c r="AZ205" s="87"/>
      <c r="BA205" s="87"/>
      <c r="BB205" s="87"/>
      <c r="BC205" s="87"/>
      <c r="BD205" s="87"/>
      <c r="BE205" s="87"/>
      <c r="BF205" s="87"/>
      <c r="BG205" s="87"/>
      <c r="BH205" s="87"/>
      <c r="BI205" s="87"/>
      <c r="BJ205" s="87">
        <v>0</v>
      </c>
      <c r="BK205" s="87" t="s">
        <v>3269</v>
      </c>
      <c r="BL205" s="87" t="s">
        <v>355</v>
      </c>
      <c r="BM205" s="87" t="s">
        <v>304</v>
      </c>
      <c r="BN205" s="122">
        <v>0.87774864500000005</v>
      </c>
      <c r="BO205" s="122">
        <v>9.0282184740000009</v>
      </c>
      <c r="BP205" s="122">
        <v>17.554862880000002</v>
      </c>
      <c r="BQ205" s="87" t="s">
        <v>129</v>
      </c>
      <c r="BR205" s="87">
        <v>4</v>
      </c>
      <c r="BS205" s="122">
        <v>2.3824469399999999</v>
      </c>
      <c r="BT205" s="122">
        <v>11.15987599</v>
      </c>
      <c r="BU205" s="122">
        <v>19.686520389999998</v>
      </c>
      <c r="BV205" s="87" t="s">
        <v>129</v>
      </c>
      <c r="BW205" s="87">
        <v>4</v>
      </c>
      <c r="BX205" s="87" t="s">
        <v>305</v>
      </c>
      <c r="BY205" s="87"/>
      <c r="BZ205" s="87"/>
      <c r="CA205" s="87">
        <v>8.5266444040000007</v>
      </c>
      <c r="CB205" s="87">
        <v>8.5266444040000007</v>
      </c>
      <c r="CC205" s="87" t="s">
        <v>3270</v>
      </c>
      <c r="CD205" s="87"/>
      <c r="CE205" s="87"/>
      <c r="CF205" s="87"/>
    </row>
    <row r="206" spans="2:84" ht="14.5">
      <c r="B206" s="87" t="s">
        <v>3263</v>
      </c>
      <c r="C206" s="87">
        <v>2023</v>
      </c>
      <c r="D206" s="120" t="s">
        <v>3264</v>
      </c>
      <c r="E206" s="121">
        <v>46085</v>
      </c>
      <c r="F206" s="72" t="s">
        <v>90</v>
      </c>
      <c r="G206" s="120" t="s">
        <v>3232</v>
      </c>
      <c r="I206" s="87" t="s">
        <v>3271</v>
      </c>
      <c r="J206" s="87"/>
      <c r="K206" s="87"/>
      <c r="L206" s="87"/>
      <c r="M206" s="87" t="s">
        <v>95</v>
      </c>
      <c r="N206" s="87" t="s">
        <v>3267</v>
      </c>
      <c r="O206" s="87" t="s">
        <v>114</v>
      </c>
      <c r="P206" s="87"/>
      <c r="Q206" s="87"/>
      <c r="R206" s="87"/>
      <c r="S206" s="87" t="s">
        <v>114</v>
      </c>
      <c r="T206" s="72" t="s">
        <v>114</v>
      </c>
      <c r="U206" s="87" t="s">
        <v>98</v>
      </c>
      <c r="V206" s="87"/>
      <c r="W206" s="87"/>
      <c r="X206" s="87"/>
      <c r="Y206" s="87"/>
      <c r="Z206" s="87"/>
      <c r="AA206" s="87"/>
      <c r="AB206" s="87"/>
      <c r="AC206" s="87" t="s">
        <v>20</v>
      </c>
      <c r="AD206" s="87"/>
      <c r="AE206" s="87"/>
      <c r="AF206" s="87"/>
      <c r="AG206" s="87">
        <v>1</v>
      </c>
      <c r="AH206" s="87" t="s">
        <v>160</v>
      </c>
      <c r="AI206" s="87"/>
      <c r="AJ206" s="87"/>
      <c r="AK206" s="87"/>
      <c r="AL206" s="87"/>
      <c r="AM206" s="87"/>
      <c r="AN206" s="87"/>
      <c r="AO206" s="87"/>
      <c r="AP206" s="87"/>
      <c r="AQ206" s="87" t="s">
        <v>155</v>
      </c>
      <c r="AR206" s="87"/>
      <c r="AS206" s="87"/>
      <c r="AT206" s="87"/>
      <c r="AU206" s="87" t="s">
        <v>116</v>
      </c>
      <c r="AV206" s="87" t="s">
        <v>3268</v>
      </c>
      <c r="AW206" s="87">
        <v>2</v>
      </c>
      <c r="AX206" s="87"/>
      <c r="AY206" s="87"/>
      <c r="AZ206" s="87"/>
      <c r="BA206" s="87"/>
      <c r="BB206" s="87"/>
      <c r="BC206" s="87"/>
      <c r="BD206" s="87"/>
      <c r="BE206" s="87"/>
      <c r="BF206" s="87"/>
      <c r="BG206" s="87"/>
      <c r="BH206" s="87"/>
      <c r="BI206" s="87"/>
      <c r="BJ206" s="87">
        <v>6.62</v>
      </c>
      <c r="BK206" s="87" t="s">
        <v>3272</v>
      </c>
      <c r="BL206" s="87" t="s">
        <v>355</v>
      </c>
      <c r="BM206" s="87" t="s">
        <v>304</v>
      </c>
      <c r="BN206" s="122">
        <v>31.849530170000001</v>
      </c>
      <c r="BO206" s="122">
        <v>40.376174570000003</v>
      </c>
      <c r="BP206" s="122">
        <v>49.028213690000001</v>
      </c>
      <c r="BQ206" s="87" t="s">
        <v>129</v>
      </c>
      <c r="BR206" s="87">
        <v>4</v>
      </c>
      <c r="BS206" s="122">
        <v>61.943575010000004</v>
      </c>
      <c r="BT206" s="122">
        <v>70.721001670000007</v>
      </c>
      <c r="BU206" s="122">
        <v>78.996862620000002</v>
      </c>
      <c r="BV206" s="87" t="s">
        <v>129</v>
      </c>
      <c r="BW206" s="87">
        <v>4</v>
      </c>
      <c r="BX206" s="87" t="s">
        <v>305</v>
      </c>
      <c r="BY206" s="87"/>
      <c r="BZ206" s="87"/>
      <c r="CA206" s="87">
        <v>8.6520391169999993</v>
      </c>
      <c r="CB206" s="87">
        <v>8.2758609560000007</v>
      </c>
      <c r="CC206" s="87" t="s">
        <v>3270</v>
      </c>
      <c r="CD206" s="87"/>
      <c r="CE206" s="87"/>
      <c r="CF206" s="87"/>
    </row>
    <row r="207" spans="2:84" ht="14.5">
      <c r="B207" s="87" t="s">
        <v>3275</v>
      </c>
      <c r="C207" s="87">
        <v>2023</v>
      </c>
      <c r="D207" s="120" t="s">
        <v>3264</v>
      </c>
      <c r="E207" s="121">
        <v>46085</v>
      </c>
      <c r="F207" s="72" t="s">
        <v>90</v>
      </c>
      <c r="G207" s="120" t="s">
        <v>3232</v>
      </c>
      <c r="H207" s="87"/>
      <c r="I207" s="87"/>
      <c r="J207" s="87"/>
      <c r="K207" s="87"/>
      <c r="L207" s="87"/>
      <c r="M207" s="87" t="s">
        <v>95</v>
      </c>
      <c r="N207" s="87" t="s">
        <v>3276</v>
      </c>
      <c r="O207" s="87" t="s">
        <v>114</v>
      </c>
      <c r="P207" s="87"/>
      <c r="Q207" s="87"/>
      <c r="R207" s="87"/>
      <c r="S207" s="87" t="s">
        <v>114</v>
      </c>
      <c r="T207" s="72" t="s">
        <v>114</v>
      </c>
      <c r="U207" s="87" t="s">
        <v>98</v>
      </c>
      <c r="V207" s="87"/>
      <c r="W207" s="87"/>
      <c r="X207" s="87"/>
      <c r="Y207" s="87"/>
      <c r="Z207" s="87"/>
      <c r="AA207" s="87"/>
      <c r="AB207" s="87"/>
      <c r="AC207" s="87" t="s">
        <v>20</v>
      </c>
      <c r="AD207" s="87"/>
      <c r="AE207" s="87"/>
      <c r="AF207" s="87"/>
      <c r="AG207" s="87">
        <v>1</v>
      </c>
      <c r="AH207" s="87" t="s">
        <v>160</v>
      </c>
      <c r="AI207" s="87"/>
      <c r="AJ207" s="87"/>
      <c r="AK207" s="87"/>
      <c r="AL207" s="87"/>
      <c r="AM207" s="87"/>
      <c r="AN207" s="87"/>
      <c r="AO207" s="87"/>
      <c r="AP207" s="87"/>
      <c r="AQ207" s="87" t="s">
        <v>155</v>
      </c>
      <c r="AR207" s="87"/>
      <c r="AS207" s="87"/>
      <c r="AT207" s="87"/>
      <c r="AU207" s="87" t="s">
        <v>116</v>
      </c>
      <c r="AV207" s="87" t="s">
        <v>3268</v>
      </c>
      <c r="AW207" s="87">
        <v>2</v>
      </c>
      <c r="AX207" s="87"/>
      <c r="AY207" s="87"/>
      <c r="AZ207" s="87"/>
      <c r="BA207" s="87"/>
      <c r="BB207" s="87"/>
      <c r="BC207" s="87"/>
      <c r="BD207" s="87"/>
      <c r="BE207" s="87"/>
      <c r="BF207" s="87"/>
      <c r="BG207" s="87"/>
      <c r="BH207" s="87"/>
      <c r="BI207" s="87"/>
      <c r="BJ207" s="87">
        <v>0</v>
      </c>
      <c r="BK207" s="87" t="s">
        <v>3269</v>
      </c>
      <c r="BL207" s="87" t="s">
        <v>355</v>
      </c>
      <c r="BM207" s="87" t="s">
        <v>3277</v>
      </c>
      <c r="BN207" s="122">
        <v>37.481296329999999</v>
      </c>
      <c r="BO207" s="122">
        <v>44.214463029999997</v>
      </c>
      <c r="BP207" s="122">
        <v>50.947629730000003</v>
      </c>
      <c r="BQ207" s="87" t="s">
        <v>129</v>
      </c>
      <c r="BR207" s="87">
        <v>6</v>
      </c>
      <c r="BS207" s="122">
        <v>47.206981560000003</v>
      </c>
      <c r="BT207" s="122">
        <v>53.790524619999999</v>
      </c>
      <c r="BU207" s="122">
        <v>60.224438319999997</v>
      </c>
      <c r="BV207" s="87" t="s">
        <v>129</v>
      </c>
      <c r="BW207" s="87">
        <v>6</v>
      </c>
      <c r="BX207" s="87" t="s">
        <v>305</v>
      </c>
      <c r="BY207" s="87"/>
      <c r="BZ207" s="87"/>
      <c r="CA207" s="87">
        <v>6.7331666979999998</v>
      </c>
      <c r="CB207" s="87">
        <v>6.433913703</v>
      </c>
      <c r="CC207" s="87" t="s">
        <v>3278</v>
      </c>
      <c r="CD207" s="87"/>
      <c r="CE207" s="87"/>
      <c r="CF207" s="87"/>
    </row>
    <row r="208" spans="2:84" ht="14.5">
      <c r="B208" s="87" t="s">
        <v>3275</v>
      </c>
      <c r="C208" s="87">
        <v>2023</v>
      </c>
      <c r="D208" s="120" t="s">
        <v>3264</v>
      </c>
      <c r="E208" s="121">
        <v>46085</v>
      </c>
      <c r="F208" s="72" t="s">
        <v>90</v>
      </c>
      <c r="G208" s="120" t="s">
        <v>3232</v>
      </c>
      <c r="H208" s="87"/>
      <c r="I208" s="87"/>
      <c r="J208" s="87"/>
      <c r="K208" s="87"/>
      <c r="L208" s="87"/>
      <c r="M208" s="87" t="s">
        <v>95</v>
      </c>
      <c r="N208" s="87" t="s">
        <v>3276</v>
      </c>
      <c r="O208" s="87" t="s">
        <v>114</v>
      </c>
      <c r="P208" s="87"/>
      <c r="Q208" s="87"/>
      <c r="R208" s="87"/>
      <c r="S208" s="87" t="s">
        <v>114</v>
      </c>
      <c r="T208" s="72" t="s">
        <v>114</v>
      </c>
      <c r="U208" s="87" t="s">
        <v>98</v>
      </c>
      <c r="V208" s="87"/>
      <c r="W208" s="87"/>
      <c r="X208" s="87"/>
      <c r="Y208" s="87"/>
      <c r="Z208" s="87"/>
      <c r="AA208" s="87"/>
      <c r="AB208" s="87"/>
      <c r="AC208" s="87" t="s">
        <v>20</v>
      </c>
      <c r="AD208" s="87"/>
      <c r="AE208" s="87"/>
      <c r="AF208" s="87"/>
      <c r="AG208" s="87">
        <v>1</v>
      </c>
      <c r="AH208" s="87" t="s">
        <v>160</v>
      </c>
      <c r="AI208" s="87"/>
      <c r="AJ208" s="87"/>
      <c r="AK208" s="87"/>
      <c r="AL208" s="87"/>
      <c r="AM208" s="87"/>
      <c r="AN208" s="87"/>
      <c r="AO208" s="87"/>
      <c r="AP208" s="87"/>
      <c r="AQ208" s="87" t="s">
        <v>155</v>
      </c>
      <c r="AR208" s="87"/>
      <c r="AS208" s="87"/>
      <c r="AT208" s="87"/>
      <c r="AU208" s="87" t="s">
        <v>116</v>
      </c>
      <c r="AV208" s="87" t="s">
        <v>3268</v>
      </c>
      <c r="AW208" s="87">
        <v>2</v>
      </c>
      <c r="AX208" s="87"/>
      <c r="AY208" s="87"/>
      <c r="AZ208" s="87"/>
      <c r="BA208" s="87"/>
      <c r="BB208" s="87"/>
      <c r="BC208" s="87"/>
      <c r="BD208" s="87"/>
      <c r="BE208" s="87"/>
      <c r="BF208" s="87"/>
      <c r="BG208" s="87"/>
      <c r="BH208" s="87"/>
      <c r="BI208" s="87"/>
      <c r="BJ208" s="87">
        <v>5.35</v>
      </c>
      <c r="BK208" s="87" t="s">
        <v>3272</v>
      </c>
      <c r="BL208" s="87" t="s">
        <v>355</v>
      </c>
      <c r="BM208" s="87" t="s">
        <v>3277</v>
      </c>
      <c r="BN208" s="122">
        <v>47.057357920000001</v>
      </c>
      <c r="BO208" s="122">
        <v>53.341647979999998</v>
      </c>
      <c r="BP208" s="122">
        <v>60.074814680000003</v>
      </c>
      <c r="BQ208" s="87" t="s">
        <v>129</v>
      </c>
      <c r="BR208" s="87">
        <v>6</v>
      </c>
      <c r="BS208" s="122">
        <v>50.947629730000003</v>
      </c>
      <c r="BT208" s="122">
        <v>57.381549139999997</v>
      </c>
      <c r="BU208" s="122">
        <v>63.815462840000002</v>
      </c>
      <c r="BV208" s="87" t="s">
        <v>129</v>
      </c>
      <c r="BW208" s="87">
        <v>6</v>
      </c>
      <c r="BX208" s="87" t="s">
        <v>305</v>
      </c>
      <c r="BY208" s="87"/>
      <c r="BZ208" s="87"/>
      <c r="CA208" s="87">
        <v>6.7331666979999998</v>
      </c>
      <c r="CB208" s="87">
        <v>6.433913703</v>
      </c>
      <c r="CC208" s="87" t="s">
        <v>3278</v>
      </c>
      <c r="CD208" s="87"/>
      <c r="CE208" s="87"/>
      <c r="CF208" s="87"/>
    </row>
    <row r="209" spans="1:81" s="1" customFormat="1" ht="14.5">
      <c r="A209" s="1" t="s">
        <v>3263</v>
      </c>
      <c r="B209" s="1" t="s">
        <v>3263</v>
      </c>
      <c r="C209" s="1">
        <v>2023</v>
      </c>
      <c r="D209" s="1" t="s">
        <v>3264</v>
      </c>
      <c r="E209" s="1" t="s">
        <v>3279</v>
      </c>
      <c r="F209" s="72" t="s">
        <v>90</v>
      </c>
      <c r="G209" s="1" t="s">
        <v>3280</v>
      </c>
      <c r="I209" s="1" t="s">
        <v>3281</v>
      </c>
      <c r="J209" s="1" t="s">
        <v>3266</v>
      </c>
      <c r="M209" s="1" t="s">
        <v>138</v>
      </c>
      <c r="N209" s="1" t="s">
        <v>3267</v>
      </c>
      <c r="O209" s="1" t="s">
        <v>114</v>
      </c>
      <c r="P209" s="1" t="s">
        <v>114</v>
      </c>
      <c r="R209" s="72"/>
      <c r="S209" s="87" t="s">
        <v>114</v>
      </c>
      <c r="T209" s="1" t="s">
        <v>114</v>
      </c>
      <c r="U209" s="1" t="s">
        <v>98</v>
      </c>
      <c r="AC209" s="1" t="s">
        <v>20</v>
      </c>
      <c r="AG209" s="1">
        <v>1</v>
      </c>
      <c r="AH209" s="1" t="s">
        <v>160</v>
      </c>
      <c r="AQ209" s="1" t="s">
        <v>155</v>
      </c>
      <c r="AU209" s="1" t="s">
        <v>116</v>
      </c>
      <c r="AV209" s="1" t="s">
        <v>3268</v>
      </c>
      <c r="AW209" s="1">
        <v>2</v>
      </c>
      <c r="BJ209" s="1">
        <v>0</v>
      </c>
      <c r="BK209" s="1" t="s">
        <v>3273</v>
      </c>
      <c r="BL209" s="1" t="s">
        <v>184</v>
      </c>
      <c r="BM209" s="1" t="s">
        <v>17</v>
      </c>
      <c r="BN209" s="1">
        <v>2.8129599999999999</v>
      </c>
      <c r="BO209" s="1">
        <v>3.5493000000000001</v>
      </c>
      <c r="BP209" s="1">
        <v>4.3151693900000003</v>
      </c>
      <c r="BQ209" s="1" t="s">
        <v>129</v>
      </c>
      <c r="BR209" s="1">
        <v>4</v>
      </c>
      <c r="BS209" s="1">
        <v>2.768777595</v>
      </c>
      <c r="BT209" s="1">
        <v>3.5051999999999999</v>
      </c>
      <c r="BU209" s="1">
        <v>4.3004414999999998</v>
      </c>
      <c r="BV209" s="1" t="s">
        <v>129</v>
      </c>
      <c r="BW209" s="1">
        <v>4</v>
      </c>
      <c r="BX209" s="1" t="s">
        <v>3282</v>
      </c>
      <c r="CA209" s="1">
        <v>0.76586938999999998</v>
      </c>
      <c r="CB209" s="1">
        <v>0.79524150000000005</v>
      </c>
      <c r="CC209" s="1" t="s">
        <v>202</v>
      </c>
    </row>
    <row r="210" spans="1:81" s="1" customFormat="1" ht="14.5">
      <c r="A210" s="1" t="s">
        <v>3263</v>
      </c>
      <c r="B210" s="1" t="s">
        <v>3263</v>
      </c>
      <c r="C210" s="1">
        <v>2023</v>
      </c>
      <c r="D210" s="1" t="s">
        <v>3264</v>
      </c>
      <c r="E210" s="1" t="s">
        <v>3279</v>
      </c>
      <c r="F210" s="72" t="s">
        <v>90</v>
      </c>
      <c r="G210" s="1" t="s">
        <v>3280</v>
      </c>
      <c r="I210" s="1" t="s">
        <v>3281</v>
      </c>
      <c r="J210" s="1" t="s">
        <v>3266</v>
      </c>
      <c r="M210" s="1" t="s">
        <v>138</v>
      </c>
      <c r="N210" s="1" t="s">
        <v>3267</v>
      </c>
      <c r="O210" s="1" t="s">
        <v>114</v>
      </c>
      <c r="P210" s="1" t="s">
        <v>114</v>
      </c>
      <c r="R210" s="72"/>
      <c r="S210" s="87" t="s">
        <v>114</v>
      </c>
      <c r="T210" s="1" t="s">
        <v>114</v>
      </c>
      <c r="U210" s="1" t="s">
        <v>98</v>
      </c>
      <c r="AC210" s="1" t="s">
        <v>20</v>
      </c>
      <c r="AG210" s="1">
        <v>1</v>
      </c>
      <c r="AH210" s="1" t="s">
        <v>160</v>
      </c>
      <c r="AQ210" s="1" t="s">
        <v>155</v>
      </c>
      <c r="AU210" s="1" t="s">
        <v>116</v>
      </c>
      <c r="AV210" s="1" t="s">
        <v>3268</v>
      </c>
      <c r="AW210" s="1">
        <v>2</v>
      </c>
      <c r="BJ210" s="1">
        <v>6.62</v>
      </c>
      <c r="BK210" s="1" t="s">
        <v>3274</v>
      </c>
      <c r="BL210" s="1" t="s">
        <v>184</v>
      </c>
      <c r="BM210" s="1" t="s">
        <v>17</v>
      </c>
      <c r="BN210" s="1">
        <v>5.9646534999999998</v>
      </c>
      <c r="BO210" s="1">
        <v>6.7451999999999996</v>
      </c>
      <c r="BP210" s="1">
        <v>7.5110450599999998</v>
      </c>
      <c r="BQ210" s="1" t="s">
        <v>129</v>
      </c>
      <c r="BR210" s="1">
        <v>4</v>
      </c>
      <c r="BS210" s="1">
        <v>7.6141385000000001</v>
      </c>
      <c r="BT210" s="1">
        <v>8.3799700000000001</v>
      </c>
      <c r="BU210" s="1">
        <v>9.1310751000000003</v>
      </c>
      <c r="BV210" s="1" t="s">
        <v>129</v>
      </c>
      <c r="BW210" s="1">
        <v>4</v>
      </c>
      <c r="BX210" s="1" t="s">
        <v>3282</v>
      </c>
      <c r="CA210" s="1">
        <v>0.76584505999999997</v>
      </c>
      <c r="CB210" s="1">
        <v>0.75110509999999997</v>
      </c>
      <c r="CC210" s="1" t="s">
        <v>202</v>
      </c>
    </row>
    <row r="211" spans="1:81" ht="14.5">
      <c r="A211" t="s">
        <v>3283</v>
      </c>
      <c r="B211" s="87" t="s">
        <v>3283</v>
      </c>
      <c r="C211">
        <v>2024</v>
      </c>
      <c r="D211" t="s">
        <v>3284</v>
      </c>
      <c r="F211" s="72" t="s">
        <v>90</v>
      </c>
      <c r="G211" t="s">
        <v>3280</v>
      </c>
      <c r="I211" t="s">
        <v>3348</v>
      </c>
      <c r="M211" t="s">
        <v>95</v>
      </c>
      <c r="N211" t="s">
        <v>3285</v>
      </c>
      <c r="S211" s="87" t="s">
        <v>114</v>
      </c>
      <c r="T211" s="72" t="s">
        <v>114</v>
      </c>
      <c r="U211" t="s">
        <v>191</v>
      </c>
      <c r="AC211" s="87" t="s">
        <v>105</v>
      </c>
      <c r="AG211">
        <v>3</v>
      </c>
      <c r="AQ211" t="s">
        <v>155</v>
      </c>
      <c r="AU211" t="s">
        <v>116</v>
      </c>
      <c r="AV211" t="s">
        <v>3286</v>
      </c>
      <c r="AW211">
        <v>2</v>
      </c>
      <c r="AX211" t="s">
        <v>3238</v>
      </c>
      <c r="AZ211" t="s">
        <v>3287</v>
      </c>
      <c r="BA211" t="s">
        <v>116</v>
      </c>
      <c r="BJ211">
        <v>0</v>
      </c>
      <c r="BK211" t="s">
        <v>3288</v>
      </c>
      <c r="BL211" s="87" t="s">
        <v>355</v>
      </c>
      <c r="BM211" t="s">
        <v>3289</v>
      </c>
      <c r="BN211">
        <v>24.920110000000001</v>
      </c>
      <c r="BO211">
        <v>26.639118710000002</v>
      </c>
      <c r="BP211">
        <v>28.446280000000002</v>
      </c>
      <c r="BQ211" t="s">
        <v>594</v>
      </c>
      <c r="BR211">
        <v>38</v>
      </c>
      <c r="BS211">
        <v>24.87603</v>
      </c>
      <c r="BT211">
        <v>26.771350000000002</v>
      </c>
      <c r="BU211">
        <v>28.732780000000002</v>
      </c>
      <c r="BV211" t="s">
        <v>594</v>
      </c>
      <c r="BW211">
        <v>38</v>
      </c>
      <c r="CA211">
        <v>0.89953316299999997</v>
      </c>
      <c r="CB211">
        <v>0.98386479599999999</v>
      </c>
      <c r="CC211">
        <v>5</v>
      </c>
    </row>
    <row r="212" spans="1:81" ht="14.5">
      <c r="A212" t="s">
        <v>3283</v>
      </c>
      <c r="B212" s="87" t="s">
        <v>3283</v>
      </c>
      <c r="C212">
        <v>2024</v>
      </c>
      <c r="D212" t="s">
        <v>3284</v>
      </c>
      <c r="F212" s="72" t="s">
        <v>90</v>
      </c>
      <c r="G212" t="s">
        <v>3280</v>
      </c>
      <c r="I212" t="s">
        <v>3348</v>
      </c>
      <c r="M212" t="s">
        <v>95</v>
      </c>
      <c r="N212" t="s">
        <v>3285</v>
      </c>
      <c r="S212" s="87" t="s">
        <v>114</v>
      </c>
      <c r="T212" s="72" t="s">
        <v>114</v>
      </c>
      <c r="U212" t="s">
        <v>191</v>
      </c>
      <c r="AC212" s="87" t="s">
        <v>105</v>
      </c>
      <c r="AG212">
        <v>3</v>
      </c>
      <c r="AQ212" t="s">
        <v>155</v>
      </c>
      <c r="AU212" t="s">
        <v>116</v>
      </c>
      <c r="AV212" t="s">
        <v>3286</v>
      </c>
      <c r="AW212">
        <v>2</v>
      </c>
      <c r="AX212" t="s">
        <v>3238</v>
      </c>
      <c r="AZ212" t="s">
        <v>3287</v>
      </c>
      <c r="BA212" t="s">
        <v>116</v>
      </c>
      <c r="BJ212">
        <v>4</v>
      </c>
      <c r="BK212" t="s">
        <v>3290</v>
      </c>
      <c r="BL212" s="87" t="s">
        <v>355</v>
      </c>
      <c r="BM212" t="s">
        <v>3289</v>
      </c>
      <c r="BN212">
        <v>30.297519999999999</v>
      </c>
      <c r="BO212">
        <v>32.082644299999998</v>
      </c>
      <c r="BP212">
        <v>33.86777</v>
      </c>
      <c r="BQ212" t="s">
        <v>594</v>
      </c>
      <c r="BR212">
        <v>38</v>
      </c>
      <c r="BS212">
        <v>30.694210000000002</v>
      </c>
      <c r="BT212">
        <v>32.19283712</v>
      </c>
      <c r="BU212">
        <v>33.691459999999999</v>
      </c>
      <c r="BV212" t="s">
        <v>594</v>
      </c>
      <c r="BW212">
        <v>38</v>
      </c>
      <c r="CA212">
        <v>0.91077806100000003</v>
      </c>
      <c r="CB212">
        <v>0.76460459199999997</v>
      </c>
      <c r="CC212">
        <v>5</v>
      </c>
    </row>
    <row r="213" spans="1:81" ht="14.5">
      <c r="A213" t="s">
        <v>3283</v>
      </c>
      <c r="B213" s="87" t="s">
        <v>3283</v>
      </c>
      <c r="C213">
        <v>2024</v>
      </c>
      <c r="D213" t="s">
        <v>3284</v>
      </c>
      <c r="F213" s="72" t="s">
        <v>90</v>
      </c>
      <c r="G213" t="s">
        <v>3280</v>
      </c>
      <c r="I213" t="s">
        <v>3348</v>
      </c>
      <c r="M213" t="s">
        <v>95</v>
      </c>
      <c r="N213" t="s">
        <v>3285</v>
      </c>
      <c r="S213" s="87" t="s">
        <v>114</v>
      </c>
      <c r="T213" s="72" t="s">
        <v>114</v>
      </c>
      <c r="U213" t="s">
        <v>191</v>
      </c>
      <c r="AC213" s="87" t="s">
        <v>105</v>
      </c>
      <c r="AG213">
        <v>3</v>
      </c>
      <c r="AQ213" t="s">
        <v>155</v>
      </c>
      <c r="AU213" t="s">
        <v>116</v>
      </c>
      <c r="AV213" t="s">
        <v>3286</v>
      </c>
      <c r="AW213">
        <v>2</v>
      </c>
      <c r="AX213" t="s">
        <v>3238</v>
      </c>
      <c r="AZ213" t="s">
        <v>3287</v>
      </c>
      <c r="BA213" t="s">
        <v>116</v>
      </c>
      <c r="BJ213">
        <v>0</v>
      </c>
      <c r="BK213" t="s">
        <v>3291</v>
      </c>
      <c r="BL213" s="87" t="s">
        <v>355</v>
      </c>
      <c r="BM213" t="s">
        <v>3289</v>
      </c>
      <c r="BN213">
        <v>26.2865</v>
      </c>
      <c r="BO213">
        <v>27.47658483</v>
      </c>
      <c r="BP213">
        <v>28.732780000000002</v>
      </c>
      <c r="BQ213" t="s">
        <v>594</v>
      </c>
      <c r="BR213">
        <v>38</v>
      </c>
      <c r="BS213">
        <v>24.87603</v>
      </c>
      <c r="BT213">
        <v>26.771350000000002</v>
      </c>
      <c r="BU213">
        <v>28.732780000000002</v>
      </c>
      <c r="BV213" t="s">
        <v>594</v>
      </c>
      <c r="BW213">
        <v>38</v>
      </c>
      <c r="CA213">
        <v>0.62405102000000001</v>
      </c>
      <c r="CB213">
        <v>0.98386479599999999</v>
      </c>
      <c r="CC213">
        <v>5</v>
      </c>
    </row>
    <row r="214" spans="1:81" ht="14.5">
      <c r="A214" t="s">
        <v>3283</v>
      </c>
      <c r="B214" s="87" t="s">
        <v>3283</v>
      </c>
      <c r="C214">
        <v>2024</v>
      </c>
      <c r="D214" t="s">
        <v>3284</v>
      </c>
      <c r="F214" s="72" t="s">
        <v>90</v>
      </c>
      <c r="G214" t="s">
        <v>3280</v>
      </c>
      <c r="M214" t="s">
        <v>95</v>
      </c>
      <c r="N214" t="s">
        <v>3285</v>
      </c>
      <c r="S214" s="87" t="s">
        <v>114</v>
      </c>
      <c r="T214" s="72" t="s">
        <v>114</v>
      </c>
      <c r="U214" t="s">
        <v>191</v>
      </c>
      <c r="AC214" s="87" t="s">
        <v>105</v>
      </c>
      <c r="AG214">
        <v>3</v>
      </c>
      <c r="AQ214" t="s">
        <v>155</v>
      </c>
      <c r="AU214" t="s">
        <v>116</v>
      </c>
      <c r="AV214" t="s">
        <v>3286</v>
      </c>
      <c r="AW214">
        <v>2</v>
      </c>
      <c r="AX214" t="s">
        <v>3238</v>
      </c>
      <c r="AZ214" t="s">
        <v>3287</v>
      </c>
      <c r="BA214" t="s">
        <v>116</v>
      </c>
      <c r="BJ214">
        <v>4</v>
      </c>
      <c r="BK214" t="s">
        <v>3292</v>
      </c>
      <c r="BL214" s="87" t="s">
        <v>355</v>
      </c>
      <c r="BM214" t="s">
        <v>3289</v>
      </c>
      <c r="BN214">
        <v>31.509640000000001</v>
      </c>
      <c r="BO214">
        <v>32.92011042</v>
      </c>
      <c r="BP214">
        <v>34.330579999999998</v>
      </c>
      <c r="BQ214" t="s">
        <v>594</v>
      </c>
      <c r="BR214">
        <v>38</v>
      </c>
      <c r="BS214">
        <v>30.694210000000002</v>
      </c>
      <c r="BT214">
        <v>32.19283712</v>
      </c>
      <c r="BU214">
        <v>33.691459999999999</v>
      </c>
      <c r="BV214" t="s">
        <v>594</v>
      </c>
      <c r="BW214">
        <v>38</v>
      </c>
      <c r="CA214">
        <v>0.71962755099999998</v>
      </c>
      <c r="CB214">
        <v>0.76460459199999997</v>
      </c>
      <c r="CC214">
        <v>5</v>
      </c>
    </row>
    <row r="215" spans="1:81" ht="14.5">
      <c r="A215" t="s">
        <v>3283</v>
      </c>
      <c r="B215" s="87" t="s">
        <v>3283</v>
      </c>
      <c r="C215">
        <v>2024</v>
      </c>
      <c r="D215" t="s">
        <v>3284</v>
      </c>
      <c r="F215" s="72" t="s">
        <v>90</v>
      </c>
      <c r="G215" t="s">
        <v>3280</v>
      </c>
      <c r="M215" t="s">
        <v>95</v>
      </c>
      <c r="N215" t="s">
        <v>3285</v>
      </c>
      <c r="S215" s="87" t="s">
        <v>114</v>
      </c>
      <c r="T215" s="72" t="s">
        <v>114</v>
      </c>
      <c r="U215" t="s">
        <v>191</v>
      </c>
      <c r="AC215" s="87" t="s">
        <v>105</v>
      </c>
      <c r="AG215">
        <v>3</v>
      </c>
      <c r="AQ215" t="s">
        <v>155</v>
      </c>
      <c r="AU215" t="s">
        <v>116</v>
      </c>
      <c r="AV215" t="s">
        <v>3286</v>
      </c>
      <c r="AW215">
        <v>2</v>
      </c>
      <c r="AX215" t="s">
        <v>3238</v>
      </c>
      <c r="AZ215" t="s">
        <v>3287</v>
      </c>
      <c r="BA215" t="s">
        <v>116</v>
      </c>
      <c r="BJ215">
        <v>0</v>
      </c>
      <c r="BK215" t="s">
        <v>3293</v>
      </c>
      <c r="BL215" s="87" t="s">
        <v>355</v>
      </c>
      <c r="BM215" t="s">
        <v>3289</v>
      </c>
      <c r="BN215">
        <v>27.96143</v>
      </c>
      <c r="BO215">
        <v>29.76859503</v>
      </c>
      <c r="BP215">
        <v>31.575759999999999</v>
      </c>
      <c r="BQ215" t="s">
        <v>594</v>
      </c>
      <c r="BR215">
        <v>38</v>
      </c>
      <c r="BS215">
        <v>24.87603</v>
      </c>
      <c r="BT215">
        <v>26.771350000000002</v>
      </c>
      <c r="BU215">
        <v>28.732780000000002</v>
      </c>
      <c r="BV215" t="s">
        <v>594</v>
      </c>
      <c r="BW215">
        <v>38</v>
      </c>
      <c r="CA215">
        <v>0.92202295899999998</v>
      </c>
      <c r="CB215">
        <v>0.98386479599999999</v>
      </c>
      <c r="CC215">
        <v>5</v>
      </c>
    </row>
    <row r="216" spans="1:81" ht="14.5">
      <c r="A216" t="s">
        <v>3283</v>
      </c>
      <c r="B216" s="87" t="s">
        <v>3283</v>
      </c>
      <c r="C216">
        <v>2024</v>
      </c>
      <c r="D216" t="s">
        <v>3284</v>
      </c>
      <c r="F216" s="72" t="s">
        <v>90</v>
      </c>
      <c r="G216" t="s">
        <v>3280</v>
      </c>
      <c r="M216" t="s">
        <v>95</v>
      </c>
      <c r="N216" t="s">
        <v>3285</v>
      </c>
      <c r="S216" s="87" t="s">
        <v>114</v>
      </c>
      <c r="T216" s="72" t="s">
        <v>114</v>
      </c>
      <c r="U216" t="s">
        <v>191</v>
      </c>
      <c r="AC216" s="87" t="s">
        <v>105</v>
      </c>
      <c r="AG216">
        <v>3</v>
      </c>
      <c r="AQ216" t="s">
        <v>155</v>
      </c>
      <c r="AU216" t="s">
        <v>116</v>
      </c>
      <c r="AV216" t="s">
        <v>3286</v>
      </c>
      <c r="AW216">
        <v>2</v>
      </c>
      <c r="AX216" t="s">
        <v>3238</v>
      </c>
      <c r="AZ216" t="s">
        <v>3287</v>
      </c>
      <c r="BA216" t="s">
        <v>116</v>
      </c>
      <c r="BJ216">
        <v>4</v>
      </c>
      <c r="BK216" t="s">
        <v>3294</v>
      </c>
      <c r="BL216" s="87" t="s">
        <v>355</v>
      </c>
      <c r="BM216" t="s">
        <v>3289</v>
      </c>
      <c r="BN216" t="s">
        <v>160</v>
      </c>
      <c r="BO216">
        <v>35.234159269999999</v>
      </c>
      <c r="BP216" t="s">
        <v>160</v>
      </c>
      <c r="BQ216" t="s">
        <v>594</v>
      </c>
      <c r="BR216">
        <v>38</v>
      </c>
      <c r="BS216">
        <v>30.694210000000002</v>
      </c>
      <c r="BT216">
        <v>32.19283712</v>
      </c>
      <c r="BU216">
        <v>33.691459999999999</v>
      </c>
      <c r="BV216" t="s">
        <v>594</v>
      </c>
      <c r="BW216">
        <v>38</v>
      </c>
      <c r="CA216">
        <v>0</v>
      </c>
      <c r="CB216">
        <v>0.76460459199999997</v>
      </c>
      <c r="CC216">
        <v>5</v>
      </c>
    </row>
    <row r="217" spans="1:81" ht="14.5">
      <c r="A217" t="s">
        <v>3283</v>
      </c>
      <c r="B217" s="87" t="s">
        <v>3283</v>
      </c>
      <c r="C217">
        <v>2024</v>
      </c>
      <c r="D217" t="s">
        <v>3284</v>
      </c>
      <c r="F217" s="72" t="s">
        <v>90</v>
      </c>
      <c r="G217" t="s">
        <v>3280</v>
      </c>
      <c r="M217" t="s">
        <v>95</v>
      </c>
      <c r="N217" t="s">
        <v>3285</v>
      </c>
      <c r="S217" s="87" t="s">
        <v>114</v>
      </c>
      <c r="T217" s="72" t="s">
        <v>114</v>
      </c>
      <c r="U217" t="s">
        <v>191</v>
      </c>
      <c r="AC217" s="87" t="s">
        <v>105</v>
      </c>
      <c r="AG217">
        <v>3</v>
      </c>
      <c r="AQ217" t="s">
        <v>155</v>
      </c>
      <c r="AU217" t="s">
        <v>116</v>
      </c>
      <c r="AV217" t="s">
        <v>3286</v>
      </c>
      <c r="AW217">
        <v>2</v>
      </c>
      <c r="AX217" t="s">
        <v>3238</v>
      </c>
      <c r="AZ217" t="s">
        <v>3287</v>
      </c>
      <c r="BA217" t="s">
        <v>116</v>
      </c>
      <c r="BJ217">
        <v>0</v>
      </c>
      <c r="BK217" t="s">
        <v>3295</v>
      </c>
      <c r="BL217" s="87" t="s">
        <v>355</v>
      </c>
      <c r="BM217" t="s">
        <v>3289</v>
      </c>
      <c r="BN217">
        <v>25.118459999999999</v>
      </c>
      <c r="BO217">
        <v>26.815427889999999</v>
      </c>
      <c r="BP217">
        <v>28.5124</v>
      </c>
      <c r="BQ217" t="s">
        <v>594</v>
      </c>
      <c r="BR217">
        <v>38</v>
      </c>
      <c r="BS217">
        <v>24.87603</v>
      </c>
      <c r="BT217">
        <v>26.771350000000002</v>
      </c>
      <c r="BU217">
        <v>28.732780000000002</v>
      </c>
      <c r="BV217" t="s">
        <v>594</v>
      </c>
      <c r="BW217">
        <v>38</v>
      </c>
      <c r="CA217">
        <v>0.86580102000000003</v>
      </c>
      <c r="CB217">
        <v>0.98386479599999999</v>
      </c>
      <c r="CC217">
        <v>5</v>
      </c>
    </row>
    <row r="218" spans="1:81" ht="14.5">
      <c r="A218" t="s">
        <v>3283</v>
      </c>
      <c r="B218" s="87" t="s">
        <v>3283</v>
      </c>
      <c r="C218">
        <v>2024</v>
      </c>
      <c r="D218" t="s">
        <v>3284</v>
      </c>
      <c r="F218" s="72" t="s">
        <v>90</v>
      </c>
      <c r="G218" t="s">
        <v>3280</v>
      </c>
      <c r="M218" t="s">
        <v>95</v>
      </c>
      <c r="N218" t="s">
        <v>3285</v>
      </c>
      <c r="S218" s="87" t="s">
        <v>114</v>
      </c>
      <c r="T218" s="72" t="s">
        <v>114</v>
      </c>
      <c r="U218" t="s">
        <v>191</v>
      </c>
      <c r="AC218" s="87" t="s">
        <v>105</v>
      </c>
      <c r="AG218">
        <v>3</v>
      </c>
      <c r="AQ218" t="s">
        <v>155</v>
      </c>
      <c r="AU218" t="s">
        <v>116</v>
      </c>
      <c r="AV218" t="s">
        <v>3286</v>
      </c>
      <c r="AW218">
        <v>2</v>
      </c>
      <c r="AX218" t="s">
        <v>3238</v>
      </c>
      <c r="AZ218" t="s">
        <v>3287</v>
      </c>
      <c r="BA218" t="s">
        <v>116</v>
      </c>
      <c r="BJ218">
        <v>4</v>
      </c>
      <c r="BK218" t="s">
        <v>3296</v>
      </c>
      <c r="BL218" s="87" t="s">
        <v>355</v>
      </c>
      <c r="BM218" t="s">
        <v>3289</v>
      </c>
      <c r="BN218">
        <v>30.561979999999998</v>
      </c>
      <c r="BO218">
        <v>32.236914419999998</v>
      </c>
      <c r="BP218">
        <v>33.933880000000002</v>
      </c>
      <c r="BQ218" t="s">
        <v>594</v>
      </c>
      <c r="BR218">
        <v>38</v>
      </c>
      <c r="BS218">
        <v>30.694210000000002</v>
      </c>
      <c r="BT218">
        <v>32.19283712</v>
      </c>
      <c r="BU218">
        <v>33.691459999999999</v>
      </c>
      <c r="BV218" t="s">
        <v>594</v>
      </c>
      <c r="BW218">
        <v>38</v>
      </c>
      <c r="CA218">
        <v>0.86017857099999995</v>
      </c>
      <c r="CB218">
        <v>0.76460459199999997</v>
      </c>
      <c r="CC218">
        <v>5</v>
      </c>
    </row>
    <row r="219" spans="1:81" ht="14.5">
      <c r="A219" t="s">
        <v>3283</v>
      </c>
      <c r="B219" s="87" t="s">
        <v>3283</v>
      </c>
      <c r="C219">
        <v>2024</v>
      </c>
      <c r="D219" t="s">
        <v>3284</v>
      </c>
      <c r="F219" s="72" t="s">
        <v>90</v>
      </c>
      <c r="G219" t="s">
        <v>3280</v>
      </c>
      <c r="M219" t="s">
        <v>95</v>
      </c>
      <c r="N219" t="s">
        <v>3285</v>
      </c>
      <c r="S219" s="87" t="s">
        <v>114</v>
      </c>
      <c r="T219" s="72" t="s">
        <v>114</v>
      </c>
      <c r="U219" t="s">
        <v>191</v>
      </c>
      <c r="AC219" s="87" t="s">
        <v>105</v>
      </c>
      <c r="AG219">
        <v>3</v>
      </c>
      <c r="AQ219" t="s">
        <v>155</v>
      </c>
      <c r="AU219" t="s">
        <v>116</v>
      </c>
      <c r="AV219" t="s">
        <v>3286</v>
      </c>
      <c r="AW219">
        <v>2</v>
      </c>
      <c r="AX219" t="s">
        <v>3238</v>
      </c>
      <c r="AZ219" t="s">
        <v>3287</v>
      </c>
      <c r="BA219" t="s">
        <v>116</v>
      </c>
      <c r="BJ219">
        <v>0</v>
      </c>
      <c r="BK219" t="s">
        <v>3297</v>
      </c>
      <c r="BL219" s="87" t="s">
        <v>355</v>
      </c>
      <c r="BM219" t="s">
        <v>3289</v>
      </c>
      <c r="BN219">
        <v>23.663910000000001</v>
      </c>
      <c r="BO219">
        <v>25.29477</v>
      </c>
      <c r="BP219">
        <v>26.903580000000002</v>
      </c>
      <c r="BQ219" t="s">
        <v>594</v>
      </c>
      <c r="BR219">
        <v>38</v>
      </c>
      <c r="BS219" t="s">
        <v>160</v>
      </c>
      <c r="BT219">
        <v>25.404959999999999</v>
      </c>
      <c r="BU219" t="s">
        <v>160</v>
      </c>
      <c r="BV219" t="s">
        <v>594</v>
      </c>
      <c r="BW219">
        <v>38</v>
      </c>
      <c r="CA219">
        <v>0.82644642899999998</v>
      </c>
      <c r="CB219">
        <v>0</v>
      </c>
      <c r="CC219">
        <v>5</v>
      </c>
    </row>
    <row r="220" spans="1:81" ht="14.5">
      <c r="A220" t="s">
        <v>3283</v>
      </c>
      <c r="B220" s="87" t="s">
        <v>3283</v>
      </c>
      <c r="C220">
        <v>2024</v>
      </c>
      <c r="D220" t="s">
        <v>3284</v>
      </c>
      <c r="F220" s="72" t="s">
        <v>90</v>
      </c>
      <c r="G220" t="s">
        <v>3280</v>
      </c>
      <c r="M220" t="s">
        <v>95</v>
      </c>
      <c r="N220" t="s">
        <v>3285</v>
      </c>
      <c r="S220" s="87" t="s">
        <v>114</v>
      </c>
      <c r="T220" s="72" t="s">
        <v>114</v>
      </c>
      <c r="U220" t="s">
        <v>191</v>
      </c>
      <c r="AC220" s="87" t="s">
        <v>105</v>
      </c>
      <c r="AG220">
        <v>3</v>
      </c>
      <c r="AQ220" t="s">
        <v>155</v>
      </c>
      <c r="AU220" t="s">
        <v>116</v>
      </c>
      <c r="AV220" t="s">
        <v>3286</v>
      </c>
      <c r="AW220">
        <v>2</v>
      </c>
      <c r="AX220" t="s">
        <v>3238</v>
      </c>
      <c r="AZ220" t="s">
        <v>3287</v>
      </c>
      <c r="BA220" t="s">
        <v>116</v>
      </c>
      <c r="BJ220">
        <v>4</v>
      </c>
      <c r="BK220" t="s">
        <v>3298</v>
      </c>
      <c r="BL220" s="87" t="s">
        <v>355</v>
      </c>
      <c r="BM220" t="s">
        <v>3289</v>
      </c>
      <c r="BN220">
        <v>28.997250000000001</v>
      </c>
      <c r="BO220">
        <v>30.738289999999999</v>
      </c>
      <c r="BP220">
        <v>32.457299999999996</v>
      </c>
      <c r="BQ220" t="s">
        <v>594</v>
      </c>
      <c r="BR220">
        <v>38</v>
      </c>
      <c r="BS220">
        <v>29.063359999999999</v>
      </c>
      <c r="BT220">
        <v>30.848490000000002</v>
      </c>
      <c r="BU220">
        <v>32.633609999999997</v>
      </c>
      <c r="BV220" t="s">
        <v>594</v>
      </c>
      <c r="BW220">
        <v>38</v>
      </c>
      <c r="CA220">
        <v>0.88266581600000005</v>
      </c>
      <c r="CB220">
        <v>0.91077806100000003</v>
      </c>
      <c r="CC220">
        <v>5</v>
      </c>
    </row>
    <row r="221" spans="1:81" ht="14.5">
      <c r="A221" t="s">
        <v>3283</v>
      </c>
      <c r="B221" s="87" t="s">
        <v>3283</v>
      </c>
      <c r="C221">
        <v>2024</v>
      </c>
      <c r="D221" t="s">
        <v>3284</v>
      </c>
      <c r="F221" s="72" t="s">
        <v>90</v>
      </c>
      <c r="G221" t="s">
        <v>3280</v>
      </c>
      <c r="M221" t="s">
        <v>95</v>
      </c>
      <c r="N221" t="s">
        <v>3285</v>
      </c>
      <c r="S221" s="87" t="s">
        <v>114</v>
      </c>
      <c r="T221" s="72" t="s">
        <v>114</v>
      </c>
      <c r="U221" t="s">
        <v>191</v>
      </c>
      <c r="AC221" s="87" t="s">
        <v>105</v>
      </c>
      <c r="AG221">
        <v>3</v>
      </c>
      <c r="AQ221" t="s">
        <v>155</v>
      </c>
      <c r="AU221" t="s">
        <v>116</v>
      </c>
      <c r="AV221" t="s">
        <v>3286</v>
      </c>
      <c r="AW221">
        <v>2</v>
      </c>
      <c r="AX221" t="s">
        <v>3238</v>
      </c>
      <c r="AZ221" t="s">
        <v>3287</v>
      </c>
      <c r="BA221" t="s">
        <v>116</v>
      </c>
      <c r="BJ221">
        <v>0</v>
      </c>
      <c r="BK221" t="s">
        <v>3299</v>
      </c>
      <c r="BL221" s="87" t="s">
        <v>355</v>
      </c>
      <c r="BM221" t="s">
        <v>3289</v>
      </c>
      <c r="BN221">
        <v>24.72176</v>
      </c>
      <c r="BO221">
        <v>26.110189999999999</v>
      </c>
      <c r="BP221">
        <v>27.5427</v>
      </c>
      <c r="BQ221" t="s">
        <v>594</v>
      </c>
      <c r="BR221">
        <v>38</v>
      </c>
      <c r="BS221" t="s">
        <v>160</v>
      </c>
      <c r="BT221">
        <v>25.404959999999999</v>
      </c>
      <c r="BU221" t="s">
        <v>160</v>
      </c>
      <c r="BV221" t="s">
        <v>594</v>
      </c>
      <c r="BW221">
        <v>38</v>
      </c>
      <c r="CA221">
        <v>0.71962755099999998</v>
      </c>
      <c r="CB221">
        <v>0</v>
      </c>
      <c r="CC221">
        <v>5</v>
      </c>
    </row>
    <row r="222" spans="1:81" ht="14.5">
      <c r="A222" t="s">
        <v>3283</v>
      </c>
      <c r="B222" s="87" t="s">
        <v>3283</v>
      </c>
      <c r="C222">
        <v>2024</v>
      </c>
      <c r="D222" t="s">
        <v>3284</v>
      </c>
      <c r="F222" s="72" t="s">
        <v>90</v>
      </c>
      <c r="G222" t="s">
        <v>3280</v>
      </c>
      <c r="M222" t="s">
        <v>95</v>
      </c>
      <c r="N222" t="s">
        <v>3285</v>
      </c>
      <c r="S222" s="87" t="s">
        <v>114</v>
      </c>
      <c r="T222" s="72" t="s">
        <v>114</v>
      </c>
      <c r="U222" t="s">
        <v>191</v>
      </c>
      <c r="AC222" s="87" t="s">
        <v>105</v>
      </c>
      <c r="AG222">
        <v>3</v>
      </c>
      <c r="AQ222" t="s">
        <v>155</v>
      </c>
      <c r="AU222" t="s">
        <v>116</v>
      </c>
      <c r="AV222" t="s">
        <v>3286</v>
      </c>
      <c r="AW222">
        <v>2</v>
      </c>
      <c r="AX222" t="s">
        <v>3238</v>
      </c>
      <c r="AZ222" t="s">
        <v>3287</v>
      </c>
      <c r="BA222" t="s">
        <v>116</v>
      </c>
      <c r="BJ222">
        <v>4</v>
      </c>
      <c r="BK222" t="s">
        <v>3300</v>
      </c>
      <c r="BL222" s="87" t="s">
        <v>355</v>
      </c>
      <c r="BM222" t="s">
        <v>3289</v>
      </c>
      <c r="BN222">
        <v>29.900829999999999</v>
      </c>
      <c r="BO222">
        <v>31.531680000000001</v>
      </c>
      <c r="BP222">
        <v>33.184570000000001</v>
      </c>
      <c r="BQ222" t="s">
        <v>594</v>
      </c>
      <c r="BR222">
        <v>38</v>
      </c>
      <c r="BS222">
        <v>29.063359999999999</v>
      </c>
      <c r="BT222">
        <v>30.848490000000002</v>
      </c>
      <c r="BU222">
        <v>32.633609999999997</v>
      </c>
      <c r="BV222" t="s">
        <v>594</v>
      </c>
      <c r="BW222">
        <v>38</v>
      </c>
      <c r="CA222">
        <v>0.83768877600000002</v>
      </c>
      <c r="CB222">
        <v>0.91077806100000003</v>
      </c>
      <c r="CC222">
        <v>5</v>
      </c>
    </row>
    <row r="223" spans="1:81" ht="14.5">
      <c r="A223" t="s">
        <v>3283</v>
      </c>
      <c r="B223" s="87" t="s">
        <v>3283</v>
      </c>
      <c r="C223">
        <v>2024</v>
      </c>
      <c r="D223" t="s">
        <v>3284</v>
      </c>
      <c r="F223" s="72" t="s">
        <v>90</v>
      </c>
      <c r="G223" t="s">
        <v>3280</v>
      </c>
      <c r="M223" t="s">
        <v>95</v>
      </c>
      <c r="N223" t="s">
        <v>3285</v>
      </c>
      <c r="S223" s="87" t="s">
        <v>114</v>
      </c>
      <c r="T223" s="72" t="s">
        <v>114</v>
      </c>
      <c r="U223" t="s">
        <v>191</v>
      </c>
      <c r="AC223" s="87" t="s">
        <v>105</v>
      </c>
      <c r="AG223">
        <v>3</v>
      </c>
      <c r="AQ223" t="s">
        <v>155</v>
      </c>
      <c r="AU223" t="s">
        <v>116</v>
      </c>
      <c r="AV223" t="s">
        <v>3286</v>
      </c>
      <c r="AW223">
        <v>2</v>
      </c>
      <c r="AX223" t="s">
        <v>3238</v>
      </c>
      <c r="AZ223" t="s">
        <v>3287</v>
      </c>
      <c r="BA223" t="s">
        <v>116</v>
      </c>
      <c r="BJ223">
        <v>0</v>
      </c>
      <c r="BK223" t="s">
        <v>3301</v>
      </c>
      <c r="BL223" s="87" t="s">
        <v>355</v>
      </c>
      <c r="BM223" t="s">
        <v>3289</v>
      </c>
      <c r="BN223">
        <v>26.83747</v>
      </c>
      <c r="BO223">
        <v>28.402200000000001</v>
      </c>
      <c r="BP223">
        <v>29.944900000000001</v>
      </c>
      <c r="BQ223" t="s">
        <v>594</v>
      </c>
      <c r="BR223">
        <v>38</v>
      </c>
      <c r="BS223" t="s">
        <v>160</v>
      </c>
      <c r="BT223">
        <v>25.404959999999999</v>
      </c>
      <c r="BU223" t="s">
        <v>160</v>
      </c>
      <c r="BV223" t="s">
        <v>594</v>
      </c>
      <c r="BW223">
        <v>38</v>
      </c>
      <c r="CA223">
        <v>0.79271173500000003</v>
      </c>
      <c r="CB223">
        <v>0</v>
      </c>
      <c r="CC223">
        <v>5</v>
      </c>
    </row>
    <row r="224" spans="1:81" ht="14.5">
      <c r="A224" t="s">
        <v>3283</v>
      </c>
      <c r="B224" s="87" t="s">
        <v>3283</v>
      </c>
      <c r="C224">
        <v>2024</v>
      </c>
      <c r="D224" t="s">
        <v>3284</v>
      </c>
      <c r="F224" s="72" t="s">
        <v>90</v>
      </c>
      <c r="G224" t="s">
        <v>3280</v>
      </c>
      <c r="M224" t="s">
        <v>95</v>
      </c>
      <c r="N224" t="s">
        <v>3285</v>
      </c>
      <c r="S224" s="87" t="s">
        <v>114</v>
      </c>
      <c r="T224" s="72" t="s">
        <v>114</v>
      </c>
      <c r="U224" t="s">
        <v>191</v>
      </c>
      <c r="AC224" s="87" t="s">
        <v>105</v>
      </c>
      <c r="AG224">
        <v>3</v>
      </c>
      <c r="AQ224" t="s">
        <v>155</v>
      </c>
      <c r="AU224" t="s">
        <v>116</v>
      </c>
      <c r="AV224" t="s">
        <v>3286</v>
      </c>
      <c r="AW224">
        <v>2</v>
      </c>
      <c r="AX224" t="s">
        <v>3238</v>
      </c>
      <c r="AZ224" t="s">
        <v>3287</v>
      </c>
      <c r="BA224" t="s">
        <v>116</v>
      </c>
      <c r="BJ224">
        <v>4</v>
      </c>
      <c r="BK224" t="s">
        <v>3302</v>
      </c>
      <c r="BL224" s="87" t="s">
        <v>355</v>
      </c>
      <c r="BM224" t="s">
        <v>3289</v>
      </c>
      <c r="BN224">
        <v>32.236910000000002</v>
      </c>
      <c r="BO224">
        <v>33.845730000000003</v>
      </c>
      <c r="BP224">
        <v>35.322310000000002</v>
      </c>
      <c r="BQ224" t="s">
        <v>594</v>
      </c>
      <c r="BR224">
        <v>38</v>
      </c>
      <c r="BS224">
        <v>29.063359999999999</v>
      </c>
      <c r="BT224">
        <v>30.848490000000002</v>
      </c>
      <c r="BU224">
        <v>32.633609999999997</v>
      </c>
      <c r="BV224" t="s">
        <v>594</v>
      </c>
      <c r="BW224">
        <v>38</v>
      </c>
      <c r="CA224">
        <v>0.78709183699999996</v>
      </c>
      <c r="CB224">
        <v>0.91077806100000003</v>
      </c>
      <c r="CC224">
        <v>5</v>
      </c>
    </row>
    <row r="225" spans="1:91" ht="14.5">
      <c r="A225" t="s">
        <v>3283</v>
      </c>
      <c r="B225" s="87" t="s">
        <v>3283</v>
      </c>
      <c r="C225">
        <v>2024</v>
      </c>
      <c r="D225" t="s">
        <v>3284</v>
      </c>
      <c r="F225" s="72" t="s">
        <v>90</v>
      </c>
      <c r="G225" t="s">
        <v>3280</v>
      </c>
      <c r="M225" t="s">
        <v>95</v>
      </c>
      <c r="N225" t="s">
        <v>3285</v>
      </c>
      <c r="S225" s="87" t="s">
        <v>114</v>
      </c>
      <c r="T225" s="72" t="s">
        <v>114</v>
      </c>
      <c r="U225" t="s">
        <v>191</v>
      </c>
      <c r="AC225" s="87" t="s">
        <v>105</v>
      </c>
      <c r="AG225">
        <v>3</v>
      </c>
      <c r="AQ225" t="s">
        <v>155</v>
      </c>
      <c r="AU225" t="s">
        <v>116</v>
      </c>
      <c r="AV225" t="s">
        <v>3286</v>
      </c>
      <c r="AW225">
        <v>2</v>
      </c>
      <c r="AX225" t="s">
        <v>3238</v>
      </c>
      <c r="AZ225" t="s">
        <v>3287</v>
      </c>
      <c r="BA225" t="s">
        <v>116</v>
      </c>
      <c r="BJ225">
        <v>0</v>
      </c>
      <c r="BK225" t="s">
        <v>3303</v>
      </c>
      <c r="BL225" s="87" t="s">
        <v>355</v>
      </c>
      <c r="BM225" t="s">
        <v>3289</v>
      </c>
      <c r="BN225">
        <v>23.994489999999999</v>
      </c>
      <c r="BO225">
        <v>25.44904</v>
      </c>
      <c r="BP225">
        <v>26.881540000000001</v>
      </c>
      <c r="BQ225" t="s">
        <v>594</v>
      </c>
      <c r="BR225">
        <v>38</v>
      </c>
      <c r="BS225" t="s">
        <v>160</v>
      </c>
      <c r="BT225">
        <v>25.404959999999999</v>
      </c>
      <c r="BU225" t="s">
        <v>160</v>
      </c>
      <c r="BV225" t="s">
        <v>594</v>
      </c>
      <c r="BW225">
        <v>38</v>
      </c>
      <c r="CA225">
        <v>0.73649234699999999</v>
      </c>
      <c r="CB225">
        <v>0</v>
      </c>
      <c r="CC225">
        <v>5</v>
      </c>
    </row>
    <row r="226" spans="1:91" ht="14.5">
      <c r="A226" t="s">
        <v>3283</v>
      </c>
      <c r="B226" s="87" t="s">
        <v>3283</v>
      </c>
      <c r="C226">
        <v>2024</v>
      </c>
      <c r="D226" t="s">
        <v>3284</v>
      </c>
      <c r="F226" s="72" t="s">
        <v>90</v>
      </c>
      <c r="G226" t="s">
        <v>3280</v>
      </c>
      <c r="M226" t="s">
        <v>95</v>
      </c>
      <c r="N226" t="s">
        <v>3285</v>
      </c>
      <c r="S226" s="87" t="s">
        <v>114</v>
      </c>
      <c r="T226" s="72" t="s">
        <v>114</v>
      </c>
      <c r="U226" t="s">
        <v>191</v>
      </c>
      <c r="AC226" s="87" t="s">
        <v>105</v>
      </c>
      <c r="AG226">
        <v>3</v>
      </c>
      <c r="AQ226" t="s">
        <v>155</v>
      </c>
      <c r="AU226" t="s">
        <v>116</v>
      </c>
      <c r="AV226" t="s">
        <v>3286</v>
      </c>
      <c r="AW226">
        <v>2</v>
      </c>
      <c r="AX226" t="s">
        <v>3238</v>
      </c>
      <c r="AZ226" t="s">
        <v>3287</v>
      </c>
      <c r="BA226" t="s">
        <v>116</v>
      </c>
      <c r="BJ226">
        <v>4</v>
      </c>
      <c r="BK226" t="s">
        <v>3304</v>
      </c>
      <c r="BL226" s="87" t="s">
        <v>355</v>
      </c>
      <c r="BM226" t="s">
        <v>3289</v>
      </c>
      <c r="BN226">
        <v>29.393940000000001</v>
      </c>
      <c r="BO226">
        <v>30.89256</v>
      </c>
      <c r="BP226">
        <v>32.391179999999999</v>
      </c>
      <c r="BQ226" t="s">
        <v>594</v>
      </c>
      <c r="BR226">
        <v>38</v>
      </c>
      <c r="BS226">
        <v>29.063359999999999</v>
      </c>
      <c r="BT226">
        <v>30.848490000000002</v>
      </c>
      <c r="BU226">
        <v>32.633609999999997</v>
      </c>
      <c r="BV226" t="s">
        <v>594</v>
      </c>
      <c r="BW226">
        <v>38</v>
      </c>
      <c r="CA226">
        <v>0.76460204099999995</v>
      </c>
      <c r="CB226">
        <v>0.91077806100000003</v>
      </c>
      <c r="CC226">
        <v>5</v>
      </c>
    </row>
    <row r="227" spans="1:91" ht="14.5">
      <c r="A227" t="s">
        <v>3305</v>
      </c>
      <c r="B227" s="87" t="s">
        <v>3305</v>
      </c>
      <c r="C227">
        <v>2023</v>
      </c>
      <c r="D227" t="s">
        <v>3306</v>
      </c>
      <c r="F227" s="72" t="s">
        <v>90</v>
      </c>
      <c r="G227" t="s">
        <v>3280</v>
      </c>
      <c r="I227" t="s">
        <v>3307</v>
      </c>
      <c r="M227" t="s">
        <v>95</v>
      </c>
      <c r="S227" s="87" t="s">
        <v>114</v>
      </c>
      <c r="T227" s="72" t="s">
        <v>114</v>
      </c>
      <c r="U227" t="s">
        <v>141</v>
      </c>
      <c r="AC227" s="87" t="s">
        <v>105</v>
      </c>
      <c r="AG227">
        <v>2</v>
      </c>
      <c r="AQ227" t="s">
        <v>155</v>
      </c>
      <c r="AU227" t="s">
        <v>116</v>
      </c>
      <c r="AV227" t="s">
        <v>3308</v>
      </c>
      <c r="AW227">
        <v>3</v>
      </c>
      <c r="AX227" t="s">
        <v>3309</v>
      </c>
      <c r="AZ227" t="s">
        <v>3310</v>
      </c>
      <c r="BJ227">
        <v>0</v>
      </c>
      <c r="BK227" t="s">
        <v>3311</v>
      </c>
      <c r="BL227" t="s">
        <v>511</v>
      </c>
      <c r="BM227" t="s">
        <v>3312</v>
      </c>
      <c r="BN227">
        <v>5.7131129999999999</v>
      </c>
      <c r="BO227">
        <v>6.0819669999999997</v>
      </c>
      <c r="BP227">
        <v>6.430326</v>
      </c>
      <c r="BQ227" t="s">
        <v>3313</v>
      </c>
      <c r="BR227">
        <v>101</v>
      </c>
      <c r="BS227">
        <v>5.6926230000000002</v>
      </c>
      <c r="BT227">
        <v>6.0614749999999997</v>
      </c>
      <c r="BU227">
        <v>6.4508190000000001</v>
      </c>
      <c r="BV227" t="s">
        <v>3313</v>
      </c>
      <c r="BW227">
        <v>93</v>
      </c>
      <c r="BX227" t="s">
        <v>3312</v>
      </c>
      <c r="CA227">
        <v>0.1829625</v>
      </c>
      <c r="CB227">
        <v>0.19341734699999999</v>
      </c>
      <c r="CC227">
        <v>8</v>
      </c>
    </row>
    <row r="228" spans="1:91" ht="14.5">
      <c r="A228" t="s">
        <v>3305</v>
      </c>
      <c r="B228" s="87" t="s">
        <v>3305</v>
      </c>
      <c r="C228">
        <v>2023</v>
      </c>
      <c r="D228" t="s">
        <v>3306</v>
      </c>
      <c r="F228" s="72" t="s">
        <v>90</v>
      </c>
      <c r="G228" t="s">
        <v>3280</v>
      </c>
      <c r="I228" t="s">
        <v>3307</v>
      </c>
      <c r="M228" t="s">
        <v>95</v>
      </c>
      <c r="S228" s="87" t="s">
        <v>114</v>
      </c>
      <c r="T228" s="72" t="s">
        <v>114</v>
      </c>
      <c r="U228" t="s">
        <v>141</v>
      </c>
      <c r="AC228" s="87" t="s">
        <v>105</v>
      </c>
      <c r="AG228">
        <v>2</v>
      </c>
      <c r="AQ228" t="s">
        <v>155</v>
      </c>
      <c r="AU228" t="s">
        <v>116</v>
      </c>
      <c r="AV228" t="s">
        <v>3308</v>
      </c>
      <c r="AW228">
        <v>3</v>
      </c>
      <c r="AX228" t="s">
        <v>3309</v>
      </c>
      <c r="AZ228" t="s">
        <v>3310</v>
      </c>
      <c r="BJ228">
        <v>0</v>
      </c>
      <c r="BK228" t="s">
        <v>3314</v>
      </c>
      <c r="BL228" t="s">
        <v>511</v>
      </c>
      <c r="BM228" t="s">
        <v>3312</v>
      </c>
      <c r="BN228">
        <v>4.7090170000000002</v>
      </c>
      <c r="BO228">
        <v>5.1598360000000003</v>
      </c>
      <c r="BP228">
        <v>5.6311470000000003</v>
      </c>
      <c r="BQ228" t="s">
        <v>3313</v>
      </c>
      <c r="BR228">
        <v>101</v>
      </c>
      <c r="BS228">
        <v>5.6926230000000002</v>
      </c>
      <c r="BT228">
        <v>6.0614749999999997</v>
      </c>
      <c r="BU228">
        <v>6.4508190000000001</v>
      </c>
      <c r="BV228" t="s">
        <v>3313</v>
      </c>
      <c r="BW228">
        <v>93</v>
      </c>
      <c r="BX228" t="s">
        <v>3312</v>
      </c>
      <c r="CA228">
        <v>0.23523724500000001</v>
      </c>
      <c r="CB228">
        <v>0.19341734699999999</v>
      </c>
      <c r="CC228">
        <v>8</v>
      </c>
    </row>
    <row r="229" spans="1:91" ht="14.5">
      <c r="A229" t="s">
        <v>3305</v>
      </c>
      <c r="B229" s="87" t="s">
        <v>3305</v>
      </c>
      <c r="C229">
        <v>2023</v>
      </c>
      <c r="D229" t="s">
        <v>3306</v>
      </c>
      <c r="F229" s="72" t="s">
        <v>90</v>
      </c>
      <c r="G229" t="s">
        <v>3280</v>
      </c>
      <c r="I229" t="s">
        <v>3307</v>
      </c>
      <c r="M229" t="s">
        <v>95</v>
      </c>
      <c r="S229" s="87" t="s">
        <v>114</v>
      </c>
      <c r="T229" s="72" t="s">
        <v>114</v>
      </c>
      <c r="U229" t="s">
        <v>141</v>
      </c>
      <c r="AC229" s="87" t="s">
        <v>105</v>
      </c>
      <c r="AG229">
        <v>2</v>
      </c>
      <c r="AQ229" t="s">
        <v>155</v>
      </c>
      <c r="AU229" t="s">
        <v>116</v>
      </c>
      <c r="AV229" t="s">
        <v>3308</v>
      </c>
      <c r="AW229">
        <v>3</v>
      </c>
      <c r="AX229" t="s">
        <v>3309</v>
      </c>
      <c r="AZ229" t="s">
        <v>3310</v>
      </c>
      <c r="BJ229">
        <v>0</v>
      </c>
      <c r="BK229" t="s">
        <v>3315</v>
      </c>
      <c r="BL229" t="s">
        <v>511</v>
      </c>
      <c r="BM229" t="s">
        <v>3312</v>
      </c>
      <c r="BN229">
        <v>5.0163929999999999</v>
      </c>
      <c r="BO229">
        <v>5.3237699999999997</v>
      </c>
      <c r="BP229">
        <v>5.7131129999999999</v>
      </c>
      <c r="BQ229" t="s">
        <v>3313</v>
      </c>
      <c r="BR229">
        <v>101</v>
      </c>
      <c r="BS229">
        <v>5.6926230000000002</v>
      </c>
      <c r="BT229">
        <v>6.0614749999999997</v>
      </c>
      <c r="BU229">
        <v>6.4508190000000001</v>
      </c>
      <c r="BV229" t="s">
        <v>3313</v>
      </c>
      <c r="BW229">
        <v>93</v>
      </c>
      <c r="BX229" t="s">
        <v>3312</v>
      </c>
      <c r="CA229">
        <v>0.177734694</v>
      </c>
      <c r="CB229">
        <v>0.19341734699999999</v>
      </c>
      <c r="CC229">
        <v>8</v>
      </c>
    </row>
    <row r="230" spans="1:91" ht="14.5">
      <c r="A230" t="s">
        <v>3305</v>
      </c>
      <c r="B230" s="87" t="s">
        <v>3305</v>
      </c>
      <c r="C230">
        <v>2023</v>
      </c>
      <c r="D230" t="s">
        <v>3306</v>
      </c>
      <c r="F230" s="72" t="s">
        <v>90</v>
      </c>
      <c r="G230" t="s">
        <v>3280</v>
      </c>
      <c r="I230" t="s">
        <v>3307</v>
      </c>
      <c r="M230" t="s">
        <v>95</v>
      </c>
      <c r="S230" s="87" t="s">
        <v>114</v>
      </c>
      <c r="T230" s="72" t="s">
        <v>114</v>
      </c>
      <c r="U230" t="s">
        <v>141</v>
      </c>
      <c r="AC230" s="87" t="s">
        <v>105</v>
      </c>
      <c r="AG230">
        <v>2</v>
      </c>
      <c r="AQ230" t="s">
        <v>155</v>
      </c>
      <c r="AU230" t="s">
        <v>116</v>
      </c>
      <c r="AV230" t="s">
        <v>3308</v>
      </c>
      <c r="AW230">
        <v>3</v>
      </c>
      <c r="AX230" t="s">
        <v>3309</v>
      </c>
      <c r="AZ230" t="s">
        <v>3310</v>
      </c>
      <c r="BJ230">
        <v>6</v>
      </c>
      <c r="BK230" t="s">
        <v>3316</v>
      </c>
      <c r="BL230" t="s">
        <v>511</v>
      </c>
      <c r="BM230" t="s">
        <v>3312</v>
      </c>
      <c r="BN230">
        <v>13.04918</v>
      </c>
      <c r="BO230">
        <v>13.622949999999999</v>
      </c>
      <c r="BP230">
        <v>14.196719999999999</v>
      </c>
      <c r="BQ230" t="s">
        <v>3313</v>
      </c>
      <c r="BR230">
        <v>79</v>
      </c>
      <c r="BS230">
        <v>13.41803</v>
      </c>
      <c r="BT230">
        <v>13.93033</v>
      </c>
      <c r="BU230">
        <v>14.422129999999999</v>
      </c>
      <c r="BV230" t="s">
        <v>3313</v>
      </c>
      <c r="BW230">
        <v>86</v>
      </c>
      <c r="BX230" t="s">
        <v>3312</v>
      </c>
      <c r="CA230">
        <v>0.292739796</v>
      </c>
      <c r="CB230">
        <v>0.25614795899999998</v>
      </c>
      <c r="CC230">
        <v>8</v>
      </c>
    </row>
    <row r="231" spans="1:91" ht="14.5">
      <c r="A231" t="s">
        <v>3305</v>
      </c>
      <c r="B231" s="87" t="s">
        <v>3305</v>
      </c>
      <c r="C231">
        <v>2023</v>
      </c>
      <c r="D231" t="s">
        <v>3306</v>
      </c>
      <c r="F231" s="72" t="s">
        <v>90</v>
      </c>
      <c r="G231" t="s">
        <v>3280</v>
      </c>
      <c r="I231" t="s">
        <v>3307</v>
      </c>
      <c r="M231" t="s">
        <v>95</v>
      </c>
      <c r="S231" s="87" t="s">
        <v>114</v>
      </c>
      <c r="T231" s="72" t="s">
        <v>114</v>
      </c>
      <c r="U231" t="s">
        <v>141</v>
      </c>
      <c r="AC231" s="87" t="s">
        <v>105</v>
      </c>
      <c r="AG231">
        <v>2</v>
      </c>
      <c r="AQ231" t="s">
        <v>155</v>
      </c>
      <c r="AU231" t="s">
        <v>116</v>
      </c>
      <c r="AV231" t="s">
        <v>3308</v>
      </c>
      <c r="AW231">
        <v>3</v>
      </c>
      <c r="AX231" t="s">
        <v>3309</v>
      </c>
      <c r="AZ231" t="s">
        <v>3310</v>
      </c>
      <c r="BJ231">
        <v>6</v>
      </c>
      <c r="BK231" t="s">
        <v>3317</v>
      </c>
      <c r="BL231" t="s">
        <v>511</v>
      </c>
      <c r="BM231" t="s">
        <v>3312</v>
      </c>
      <c r="BN231">
        <v>12.290979999999999</v>
      </c>
      <c r="BO231">
        <v>12.84426</v>
      </c>
      <c r="BP231">
        <v>13.377050000000001</v>
      </c>
      <c r="BQ231" t="s">
        <v>3313</v>
      </c>
      <c r="BR231">
        <v>79</v>
      </c>
      <c r="BS231">
        <v>13.41803</v>
      </c>
      <c r="BT231">
        <v>13.93033</v>
      </c>
      <c r="BU231">
        <v>14.422129999999999</v>
      </c>
      <c r="BV231" t="s">
        <v>3313</v>
      </c>
      <c r="BW231">
        <v>86</v>
      </c>
      <c r="BX231" t="s">
        <v>3312</v>
      </c>
      <c r="CA231">
        <v>0.27705867299999998</v>
      </c>
      <c r="CB231">
        <v>0.25614795899999998</v>
      </c>
      <c r="CC231">
        <v>8</v>
      </c>
    </row>
    <row r="232" spans="1:91" ht="14.5">
      <c r="A232" t="s">
        <v>3305</v>
      </c>
      <c r="B232" s="87" t="s">
        <v>3305</v>
      </c>
      <c r="C232">
        <v>2023</v>
      </c>
      <c r="D232" t="s">
        <v>3306</v>
      </c>
      <c r="F232" s="72" t="s">
        <v>90</v>
      </c>
      <c r="G232" t="s">
        <v>3280</v>
      </c>
      <c r="I232" t="s">
        <v>3307</v>
      </c>
      <c r="M232" t="s">
        <v>95</v>
      </c>
      <c r="S232" s="87" t="s">
        <v>114</v>
      </c>
      <c r="T232" s="72" t="s">
        <v>114</v>
      </c>
      <c r="U232" t="s">
        <v>141</v>
      </c>
      <c r="AC232" s="87" t="s">
        <v>105</v>
      </c>
      <c r="AG232">
        <v>2</v>
      </c>
      <c r="AQ232" t="s">
        <v>155</v>
      </c>
      <c r="AU232" t="s">
        <v>116</v>
      </c>
      <c r="AV232" t="s">
        <v>3308</v>
      </c>
      <c r="AW232">
        <v>3</v>
      </c>
      <c r="AX232" t="s">
        <v>3309</v>
      </c>
      <c r="AZ232" t="s">
        <v>3310</v>
      </c>
      <c r="BJ232">
        <v>6</v>
      </c>
      <c r="BK232" t="s">
        <v>3318</v>
      </c>
      <c r="BL232" t="s">
        <v>511</v>
      </c>
      <c r="BM232" t="s">
        <v>3312</v>
      </c>
      <c r="BN232">
        <v>12.270490000000001</v>
      </c>
      <c r="BO232">
        <v>12.7418</v>
      </c>
      <c r="BP232">
        <v>13.233610000000001</v>
      </c>
      <c r="BQ232" t="s">
        <v>3313</v>
      </c>
      <c r="BR232">
        <v>79</v>
      </c>
      <c r="BS232">
        <v>13.41803</v>
      </c>
      <c r="BT232">
        <v>13.93033</v>
      </c>
      <c r="BU232">
        <v>14.422129999999999</v>
      </c>
      <c r="BV232" t="s">
        <v>3313</v>
      </c>
      <c r="BW232">
        <v>86</v>
      </c>
      <c r="BX232" t="s">
        <v>3312</v>
      </c>
      <c r="CA232">
        <v>0.245693878</v>
      </c>
      <c r="CB232">
        <v>0.25614795899999998</v>
      </c>
      <c r="CC232">
        <v>8</v>
      </c>
    </row>
    <row r="233" spans="1:91" ht="14.5">
      <c r="A233" t="s">
        <v>3326</v>
      </c>
      <c r="B233" s="87" t="s">
        <v>3326</v>
      </c>
      <c r="C233">
        <v>2024</v>
      </c>
      <c r="D233" t="s">
        <v>3327</v>
      </c>
      <c r="F233" s="72" t="s">
        <v>90</v>
      </c>
      <c r="G233" t="s">
        <v>3280</v>
      </c>
      <c r="M233" t="s">
        <v>95</v>
      </c>
      <c r="S233" s="87" t="s">
        <v>114</v>
      </c>
      <c r="T233" s="72" t="s">
        <v>114</v>
      </c>
      <c r="U233" t="s">
        <v>141</v>
      </c>
      <c r="AC233" s="87" t="s">
        <v>105</v>
      </c>
      <c r="AG233">
        <v>2</v>
      </c>
      <c r="AQ233" t="s">
        <v>155</v>
      </c>
      <c r="AU233" t="s">
        <v>116</v>
      </c>
      <c r="AV233" t="s">
        <v>3255</v>
      </c>
      <c r="AW233">
        <v>2</v>
      </c>
      <c r="BJ233">
        <v>0</v>
      </c>
      <c r="BK233" t="s">
        <v>126</v>
      </c>
      <c r="BL233" t="s">
        <v>511</v>
      </c>
      <c r="BM233" t="s">
        <v>3328</v>
      </c>
      <c r="BN233">
        <v>102.6771</v>
      </c>
      <c r="BO233">
        <v>113.3858</v>
      </c>
      <c r="BP233">
        <v>125.9843</v>
      </c>
      <c r="BQ233" t="s">
        <v>3329</v>
      </c>
      <c r="BR233">
        <v>68</v>
      </c>
      <c r="BS233">
        <v>115.9055</v>
      </c>
      <c r="BT233">
        <v>127.2441</v>
      </c>
      <c r="BU233">
        <v>139.8425</v>
      </c>
      <c r="BV233" t="s">
        <v>3329</v>
      </c>
      <c r="BW233">
        <v>63</v>
      </c>
      <c r="CA233">
        <v>12.5985</v>
      </c>
      <c r="CB233">
        <v>12.5984</v>
      </c>
      <c r="CC233" t="s">
        <v>3259</v>
      </c>
    </row>
    <row r="234" spans="1:91" ht="14.5">
      <c r="A234" t="s">
        <v>3326</v>
      </c>
      <c r="B234" s="87" t="s">
        <v>3326</v>
      </c>
      <c r="C234">
        <v>2024</v>
      </c>
      <c r="D234" t="s">
        <v>3327</v>
      </c>
      <c r="F234" s="72" t="s">
        <v>90</v>
      </c>
      <c r="G234" t="s">
        <v>3280</v>
      </c>
      <c r="M234" t="s">
        <v>95</v>
      </c>
      <c r="S234" s="87" t="s">
        <v>114</v>
      </c>
      <c r="T234" s="72" t="s">
        <v>114</v>
      </c>
      <c r="U234" t="s">
        <v>141</v>
      </c>
      <c r="AC234" s="87" t="s">
        <v>105</v>
      </c>
      <c r="AG234">
        <v>2</v>
      </c>
      <c r="AQ234" t="s">
        <v>155</v>
      </c>
      <c r="AU234" t="s">
        <v>116</v>
      </c>
      <c r="AV234" t="s">
        <v>3255</v>
      </c>
      <c r="AW234">
        <v>2</v>
      </c>
      <c r="BJ234">
        <v>7</v>
      </c>
      <c r="BK234" t="s">
        <v>3330</v>
      </c>
      <c r="BL234" t="s">
        <v>511</v>
      </c>
      <c r="BM234" t="s">
        <v>3328</v>
      </c>
      <c r="BN234">
        <v>59.527549999999998</v>
      </c>
      <c r="BO234">
        <v>70.866129999999998</v>
      </c>
      <c r="BP234">
        <v>85.984250000000003</v>
      </c>
      <c r="BQ234" t="s">
        <v>3329</v>
      </c>
      <c r="BR234">
        <v>68</v>
      </c>
      <c r="BS234">
        <v>121.5748</v>
      </c>
      <c r="BT234">
        <v>132.9134</v>
      </c>
      <c r="BU234">
        <v>144.8819</v>
      </c>
      <c r="BV234" t="s">
        <v>3329</v>
      </c>
      <c r="BW234">
        <v>63</v>
      </c>
      <c r="CA234">
        <v>15.118119999999999</v>
      </c>
      <c r="CB234">
        <v>11.968500000000001</v>
      </c>
      <c r="CC234" t="s">
        <v>3259</v>
      </c>
    </row>
    <row r="235" spans="1:91" ht="14.5">
      <c r="B235" s="87" t="s">
        <v>3319</v>
      </c>
      <c r="C235" s="87">
        <v>2025</v>
      </c>
      <c r="D235" s="120" t="s">
        <v>3320</v>
      </c>
      <c r="E235" s="120" t="s">
        <v>3346</v>
      </c>
      <c r="F235" s="72" t="s">
        <v>90</v>
      </c>
      <c r="G235" s="120" t="s">
        <v>3280</v>
      </c>
      <c r="I235" s="87" t="s">
        <v>3321</v>
      </c>
      <c r="K235" s="87"/>
      <c r="L235" s="87"/>
      <c r="M235" t="s">
        <v>95</v>
      </c>
      <c r="N235" s="87"/>
      <c r="O235" s="87"/>
      <c r="P235" s="87"/>
      <c r="Q235" s="87"/>
      <c r="R235" s="87"/>
      <c r="S235" s="87" t="s">
        <v>114</v>
      </c>
      <c r="T235" s="72" t="s">
        <v>114</v>
      </c>
      <c r="U235" s="87" t="s">
        <v>191</v>
      </c>
      <c r="V235" s="87"/>
      <c r="W235" s="87"/>
      <c r="X235" s="87"/>
      <c r="Y235" s="87"/>
      <c r="Z235" s="87"/>
      <c r="AA235" s="87"/>
      <c r="AB235" s="87"/>
      <c r="AC235" s="87" t="s">
        <v>105</v>
      </c>
      <c r="AD235" s="87"/>
      <c r="AE235" s="87"/>
      <c r="AF235" s="87"/>
      <c r="AG235" s="87">
        <v>3</v>
      </c>
      <c r="AH235" s="87"/>
      <c r="AI235" s="87"/>
      <c r="AJ235" s="87"/>
      <c r="AK235" s="87"/>
      <c r="AL235" s="87"/>
      <c r="AM235" s="87"/>
      <c r="AN235" s="87"/>
      <c r="AO235" s="87"/>
      <c r="AP235" s="87"/>
      <c r="AQ235" s="87" t="s">
        <v>155</v>
      </c>
      <c r="AR235" s="87"/>
      <c r="AS235" s="87"/>
      <c r="AT235" s="87"/>
      <c r="AU235" s="87" t="s">
        <v>116</v>
      </c>
      <c r="AV235" s="87" t="s">
        <v>3255</v>
      </c>
      <c r="AW235" s="87">
        <v>2</v>
      </c>
      <c r="AX235" s="87" t="s">
        <v>3322</v>
      </c>
      <c r="AZ235" s="87" t="s">
        <v>3241</v>
      </c>
      <c r="BA235" s="87" t="s">
        <v>116</v>
      </c>
      <c r="BB235" s="87"/>
      <c r="BC235" s="87"/>
      <c r="BD235" s="87"/>
      <c r="BE235" s="87"/>
      <c r="BF235" s="87"/>
      <c r="BG235" s="87"/>
      <c r="BH235" s="87"/>
      <c r="BI235" s="87"/>
      <c r="BJ235" s="87">
        <v>0</v>
      </c>
      <c r="BK235" s="87" t="s">
        <v>3323</v>
      </c>
      <c r="BL235" s="87" t="s">
        <v>355</v>
      </c>
      <c r="BM235" s="87" t="s">
        <v>3324</v>
      </c>
      <c r="BN235" s="134">
        <v>2.7526320000000002</v>
      </c>
      <c r="BO235" s="134">
        <v>2.9510960000000002</v>
      </c>
      <c r="BP235" s="134">
        <v>3.1265350000000001</v>
      </c>
      <c r="BQ235" s="122" t="s">
        <v>594</v>
      </c>
      <c r="BR235" s="122">
        <v>32</v>
      </c>
      <c r="BS235" s="134">
        <v>2.7438600000000002</v>
      </c>
      <c r="BT235" s="134">
        <v>2.8984649999999998</v>
      </c>
      <c r="BU235" s="134">
        <v>3.0015350000000001</v>
      </c>
      <c r="BV235" s="87" t="s">
        <v>594</v>
      </c>
      <c r="BW235" s="87">
        <v>32</v>
      </c>
      <c r="BX235" s="87"/>
      <c r="BY235" s="87"/>
      <c r="BZ235" s="87"/>
      <c r="CA235" s="87">
        <v>4.8960990000000003E-2</v>
      </c>
      <c r="CB235" s="87">
        <v>3.3741433000000001E-2</v>
      </c>
      <c r="CC235" s="87">
        <v>6</v>
      </c>
      <c r="CD235" s="87"/>
      <c r="CM235" s="87"/>
    </row>
    <row r="236" spans="1:91" ht="14.5">
      <c r="B236" s="87" t="s">
        <v>3319</v>
      </c>
      <c r="C236" s="87">
        <v>2025</v>
      </c>
      <c r="D236" s="120" t="s">
        <v>3320</v>
      </c>
      <c r="E236" s="120" t="s">
        <v>3346</v>
      </c>
      <c r="F236" s="72" t="s">
        <v>90</v>
      </c>
      <c r="G236" s="120" t="s">
        <v>3280</v>
      </c>
      <c r="I236" s="87" t="s">
        <v>3321</v>
      </c>
      <c r="K236" s="87"/>
      <c r="L236" s="87"/>
      <c r="M236" t="s">
        <v>95</v>
      </c>
      <c r="N236" s="87"/>
      <c r="O236" s="87"/>
      <c r="P236" s="87"/>
      <c r="Q236" s="87"/>
      <c r="R236" s="87"/>
      <c r="S236" s="87" t="s">
        <v>114</v>
      </c>
      <c r="T236" s="72" t="s">
        <v>114</v>
      </c>
      <c r="U236" s="87" t="s">
        <v>191</v>
      </c>
      <c r="V236" s="87"/>
      <c r="W236" s="87"/>
      <c r="X236" s="87"/>
      <c r="Y236" s="87"/>
      <c r="Z236" s="87"/>
      <c r="AA236" s="87"/>
      <c r="AB236" s="87"/>
      <c r="AC236" s="87" t="s">
        <v>105</v>
      </c>
      <c r="AD236" s="87"/>
      <c r="AE236" s="87"/>
      <c r="AF236" s="87"/>
      <c r="AG236" s="87">
        <v>3</v>
      </c>
      <c r="AH236" s="87"/>
      <c r="AI236" s="87"/>
      <c r="AJ236" s="87"/>
      <c r="AK236" s="87"/>
      <c r="AL236" s="87"/>
      <c r="AM236" s="87"/>
      <c r="AN236" s="87"/>
      <c r="AO236" s="87"/>
      <c r="AP236" s="87"/>
      <c r="AQ236" s="87" t="s">
        <v>155</v>
      </c>
      <c r="AR236" s="87"/>
      <c r="AS236" s="87"/>
      <c r="AT236" s="87"/>
      <c r="AU236" s="87" t="s">
        <v>116</v>
      </c>
      <c r="AV236" s="87" t="s">
        <v>3255</v>
      </c>
      <c r="AW236" s="87">
        <v>2</v>
      </c>
      <c r="AX236" s="87" t="s">
        <v>3322</v>
      </c>
      <c r="AZ236" s="87" t="s">
        <v>3241</v>
      </c>
      <c r="BA236" s="87" t="s">
        <v>116</v>
      </c>
      <c r="BB236" s="87"/>
      <c r="BC236" s="87"/>
      <c r="BD236" s="87"/>
      <c r="BE236" s="87"/>
      <c r="BF236" s="87"/>
      <c r="BG236" s="87"/>
      <c r="BH236" s="87"/>
      <c r="BI236" s="87"/>
      <c r="BJ236" s="87">
        <v>0</v>
      </c>
      <c r="BK236" s="87" t="s">
        <v>3325</v>
      </c>
      <c r="BL236" s="87" t="s">
        <v>355</v>
      </c>
      <c r="BM236" s="87" t="s">
        <v>3324</v>
      </c>
      <c r="BN236" s="134">
        <v>2.72193</v>
      </c>
      <c r="BO236" s="134">
        <v>2.97193</v>
      </c>
      <c r="BP236" s="134">
        <v>3.0442979999999999</v>
      </c>
      <c r="BQ236" s="122" t="s">
        <v>594</v>
      </c>
      <c r="BR236" s="122">
        <v>32</v>
      </c>
      <c r="BS236" s="134">
        <v>2.8699560000000002</v>
      </c>
      <c r="BT236" s="134">
        <v>2.9774120000000002</v>
      </c>
      <c r="BU236" s="134">
        <v>3.2054819999999999</v>
      </c>
      <c r="BV236" s="87" t="s">
        <v>594</v>
      </c>
      <c r="BW236" s="87">
        <v>32</v>
      </c>
      <c r="BX236" s="87"/>
      <c r="BY236" s="87"/>
      <c r="BZ236" s="87"/>
      <c r="CA236" s="87">
        <v>4.2212702999999997E-2</v>
      </c>
      <c r="CB236" s="87">
        <v>4.3935687000000001E-2</v>
      </c>
      <c r="CC236" s="87">
        <v>6</v>
      </c>
      <c r="CD236" s="87"/>
      <c r="CM236" s="87"/>
    </row>
    <row r="237" spans="1:91" ht="14.5">
      <c r="B237" s="87" t="s">
        <v>3319</v>
      </c>
      <c r="C237" s="87">
        <v>2025</v>
      </c>
      <c r="D237" s="120" t="s">
        <v>3320</v>
      </c>
      <c r="E237" s="120" t="s">
        <v>3346</v>
      </c>
      <c r="F237" s="72" t="s">
        <v>90</v>
      </c>
      <c r="G237" s="120" t="s">
        <v>3280</v>
      </c>
      <c r="I237" s="87" t="s">
        <v>3321</v>
      </c>
      <c r="K237" s="87"/>
      <c r="L237" s="87"/>
      <c r="M237" t="s">
        <v>95</v>
      </c>
      <c r="N237" s="87"/>
      <c r="O237" s="87"/>
      <c r="P237" s="87"/>
      <c r="Q237" s="87"/>
      <c r="R237" s="87"/>
      <c r="S237" s="87" t="s">
        <v>114</v>
      </c>
      <c r="T237" s="72" t="s">
        <v>114</v>
      </c>
      <c r="U237" s="87" t="s">
        <v>191</v>
      </c>
      <c r="V237" s="87"/>
      <c r="W237" s="87"/>
      <c r="X237" s="87"/>
      <c r="Y237" s="87"/>
      <c r="Z237" s="87"/>
      <c r="AA237" s="87"/>
      <c r="AB237" s="87"/>
      <c r="AC237" s="87" t="s">
        <v>105</v>
      </c>
      <c r="AD237" s="87"/>
      <c r="AE237" s="87"/>
      <c r="AF237" s="87"/>
      <c r="AG237" s="87">
        <v>3</v>
      </c>
      <c r="AH237" s="87"/>
      <c r="AI237" s="87"/>
      <c r="AJ237" s="87"/>
      <c r="AK237" s="87"/>
      <c r="AL237" s="87"/>
      <c r="AM237" s="87"/>
      <c r="AN237" s="87"/>
      <c r="AO237" s="87"/>
      <c r="AP237" s="87"/>
      <c r="AQ237" s="87" t="s">
        <v>155</v>
      </c>
      <c r="AR237" s="87"/>
      <c r="AS237" s="87"/>
      <c r="AT237" s="87"/>
      <c r="AU237" s="87" t="s">
        <v>116</v>
      </c>
      <c r="AV237" s="87" t="s">
        <v>3255</v>
      </c>
      <c r="AW237" s="87">
        <v>2</v>
      </c>
      <c r="AX237" s="87" t="s">
        <v>3322</v>
      </c>
      <c r="AZ237" s="87" t="s">
        <v>3241</v>
      </c>
      <c r="BA237" s="87" t="s">
        <v>116</v>
      </c>
      <c r="BB237" s="87"/>
      <c r="BC237" s="87"/>
      <c r="BD237" s="87"/>
      <c r="BE237" s="87"/>
      <c r="BF237" s="87"/>
      <c r="BG237" s="87"/>
      <c r="BH237" s="87"/>
      <c r="BI237" s="87"/>
      <c r="BJ237" s="87">
        <v>4</v>
      </c>
      <c r="BK237" s="87" t="s">
        <v>3349</v>
      </c>
      <c r="BL237" s="87" t="s">
        <v>355</v>
      </c>
      <c r="BM237" s="87" t="s">
        <v>3324</v>
      </c>
      <c r="BN237" s="134">
        <v>2.7603070000000001</v>
      </c>
      <c r="BO237" s="134">
        <v>2.829386</v>
      </c>
      <c r="BP237" s="134">
        <v>2.9225880000000002</v>
      </c>
      <c r="BQ237" s="122" t="s">
        <v>594</v>
      </c>
      <c r="BR237" s="122">
        <v>32</v>
      </c>
      <c r="BS237" s="134">
        <v>2.9313600000000002</v>
      </c>
      <c r="BT237" s="134">
        <v>3.0464910000000001</v>
      </c>
      <c r="BU237" s="134">
        <v>3.0903510000000001</v>
      </c>
      <c r="BV237" s="87" t="s">
        <v>594</v>
      </c>
      <c r="BW237" s="87">
        <v>32</v>
      </c>
      <c r="BX237" s="87"/>
      <c r="BY237" s="87"/>
      <c r="BZ237" s="87"/>
      <c r="CA237" s="87">
        <v>2.1249998999999999E-2</v>
      </c>
      <c r="CB237" s="87">
        <v>2.0819187999999999E-2</v>
      </c>
      <c r="CC237" s="87">
        <v>6</v>
      </c>
      <c r="CD237" s="87"/>
      <c r="CM237" s="87"/>
    </row>
    <row r="238" spans="1:91" ht="14.5">
      <c r="B238" s="87" t="s">
        <v>3319</v>
      </c>
      <c r="C238" s="87">
        <v>2025</v>
      </c>
      <c r="D238" s="120" t="s">
        <v>3320</v>
      </c>
      <c r="E238" s="120" t="s">
        <v>3346</v>
      </c>
      <c r="F238" s="72" t="s">
        <v>90</v>
      </c>
      <c r="G238" s="120" t="s">
        <v>3280</v>
      </c>
      <c r="I238" s="87" t="s">
        <v>3321</v>
      </c>
      <c r="K238" s="87"/>
      <c r="L238" s="87"/>
      <c r="M238" t="s">
        <v>95</v>
      </c>
      <c r="N238" s="87"/>
      <c r="O238" s="87"/>
      <c r="P238" s="87"/>
      <c r="Q238" s="87"/>
      <c r="R238" s="87"/>
      <c r="S238" s="87" t="s">
        <v>114</v>
      </c>
      <c r="T238" s="72" t="s">
        <v>114</v>
      </c>
      <c r="U238" s="87" t="s">
        <v>191</v>
      </c>
      <c r="V238" s="87"/>
      <c r="W238" s="87"/>
      <c r="X238" s="87"/>
      <c r="Y238" s="87"/>
      <c r="Z238" s="87"/>
      <c r="AA238" s="87"/>
      <c r="AB238" s="87"/>
      <c r="AC238" s="87" t="s">
        <v>105</v>
      </c>
      <c r="AD238" s="87"/>
      <c r="AE238" s="87"/>
      <c r="AF238" s="87"/>
      <c r="AG238" s="87">
        <v>3</v>
      </c>
      <c r="AH238" s="87"/>
      <c r="AI238" s="87"/>
      <c r="AJ238" s="87"/>
      <c r="AK238" s="87"/>
      <c r="AL238" s="87"/>
      <c r="AM238" s="87"/>
      <c r="AN238" s="87"/>
      <c r="AO238" s="87"/>
      <c r="AP238" s="87"/>
      <c r="AQ238" s="87" t="s">
        <v>155</v>
      </c>
      <c r="AR238" s="87"/>
      <c r="AS238" s="87"/>
      <c r="AT238" s="87"/>
      <c r="AU238" s="87" t="s">
        <v>116</v>
      </c>
      <c r="AV238" s="87" t="s">
        <v>3255</v>
      </c>
      <c r="AW238" s="87">
        <v>2</v>
      </c>
      <c r="AX238" s="87" t="s">
        <v>3322</v>
      </c>
      <c r="AZ238" s="87" t="s">
        <v>3241</v>
      </c>
      <c r="BA238" s="87" t="s">
        <v>116</v>
      </c>
      <c r="BB238" s="87"/>
      <c r="BC238" s="87"/>
      <c r="BD238" s="87"/>
      <c r="BE238" s="87"/>
      <c r="BF238" s="87"/>
      <c r="BG238" s="87"/>
      <c r="BH238" s="87"/>
      <c r="BI238" s="87"/>
      <c r="BJ238" s="87">
        <v>4</v>
      </c>
      <c r="BK238" s="87" t="s">
        <v>3350</v>
      </c>
      <c r="BL238" s="87" t="s">
        <v>355</v>
      </c>
      <c r="BM238" s="87" t="s">
        <v>3324</v>
      </c>
      <c r="BN238" s="134">
        <v>2.8787280000000002</v>
      </c>
      <c r="BO238" s="134">
        <v>2.9489040000000002</v>
      </c>
      <c r="BP238" s="134">
        <v>3.176974</v>
      </c>
      <c r="BQ238" s="122" t="s">
        <v>594</v>
      </c>
      <c r="BR238" s="122">
        <v>32</v>
      </c>
      <c r="BS238" s="134">
        <v>2.8513160000000002</v>
      </c>
      <c r="BT238" s="134">
        <v>2.9763160000000002</v>
      </c>
      <c r="BU238" s="134">
        <v>3.0782889999999998</v>
      </c>
      <c r="BV238" s="87" t="s">
        <v>594</v>
      </c>
      <c r="BW238" s="87">
        <v>32</v>
      </c>
      <c r="BX238" s="87"/>
      <c r="BY238" s="87"/>
      <c r="BZ238" s="87"/>
      <c r="CA238" s="87">
        <v>3.9054031000000003E-2</v>
      </c>
      <c r="CB238" s="87">
        <v>2.9721138000000001E-2</v>
      </c>
      <c r="CC238" s="87">
        <v>6</v>
      </c>
      <c r="CD238" s="87"/>
      <c r="CM238" s="87"/>
    </row>
    <row r="239" spans="1:91" ht="14.5">
      <c r="B239" s="135" t="s">
        <v>3381</v>
      </c>
      <c r="C239" s="87">
        <v>2024</v>
      </c>
      <c r="D239" s="120" t="s">
        <v>3284</v>
      </c>
      <c r="E239" s="120" t="s">
        <v>3343</v>
      </c>
      <c r="F239" s="72" t="s">
        <v>90</v>
      </c>
      <c r="G239" s="120" t="s">
        <v>3280</v>
      </c>
      <c r="H239" s="120"/>
      <c r="I239" s="87" t="s">
        <v>3351</v>
      </c>
      <c r="J239" s="87"/>
      <c r="K239" s="87"/>
      <c r="L239" s="87"/>
      <c r="M239" t="s">
        <v>95</v>
      </c>
      <c r="N239" s="87" t="s">
        <v>3285</v>
      </c>
      <c r="O239" s="87"/>
      <c r="P239" s="87"/>
      <c r="Q239" s="87"/>
      <c r="R239" s="87"/>
      <c r="S239" s="87" t="s">
        <v>114</v>
      </c>
      <c r="T239" s="72" t="s">
        <v>114</v>
      </c>
      <c r="U239" s="87" t="s">
        <v>191</v>
      </c>
      <c r="V239" s="87"/>
      <c r="W239" s="87"/>
      <c r="X239" s="87"/>
      <c r="Y239" s="87"/>
      <c r="Z239" s="87"/>
      <c r="AA239" s="87"/>
      <c r="AB239" s="87"/>
      <c r="AC239" s="87" t="s">
        <v>105</v>
      </c>
      <c r="AD239" s="87"/>
      <c r="AE239" s="87"/>
      <c r="AF239" s="87"/>
      <c r="AG239" s="87">
        <v>3</v>
      </c>
      <c r="AH239" s="87"/>
      <c r="AI239" s="87"/>
      <c r="AJ239" s="87"/>
      <c r="AK239" s="87"/>
      <c r="AL239" s="87"/>
      <c r="AM239" s="87"/>
      <c r="AN239" s="87"/>
      <c r="AO239" s="87"/>
      <c r="AP239" s="87"/>
      <c r="AQ239" s="87" t="s">
        <v>155</v>
      </c>
      <c r="AR239" s="87"/>
      <c r="AS239" s="87"/>
      <c r="AT239" s="87"/>
      <c r="AU239" s="87" t="s">
        <v>116</v>
      </c>
      <c r="AV239" s="87" t="s">
        <v>3286</v>
      </c>
      <c r="AW239" s="87">
        <v>2</v>
      </c>
      <c r="AX239" s="87" t="s">
        <v>3238</v>
      </c>
      <c r="AZ239" s="87" t="s">
        <v>3287</v>
      </c>
      <c r="BA239" s="87" t="s">
        <v>116</v>
      </c>
      <c r="BB239" s="87"/>
      <c r="BC239" s="87"/>
      <c r="BD239" s="87"/>
      <c r="BE239" s="87"/>
      <c r="BF239" s="87"/>
      <c r="BG239" s="87"/>
      <c r="BH239" s="87"/>
      <c r="BI239" s="87"/>
      <c r="BJ239" s="87">
        <v>0</v>
      </c>
      <c r="BK239" s="87" t="s">
        <v>3288</v>
      </c>
      <c r="BL239" s="87" t="s">
        <v>240</v>
      </c>
      <c r="BM239" s="87" t="s">
        <v>3352</v>
      </c>
      <c r="BN239" s="134">
        <v>0.50170000000000003</v>
      </c>
      <c r="BO239" s="134">
        <v>1.2403999999999999</v>
      </c>
      <c r="BP239" s="134">
        <v>1.9791000000000001</v>
      </c>
      <c r="BQ239" t="s">
        <v>594</v>
      </c>
      <c r="BR239" s="122">
        <v>30</v>
      </c>
      <c r="BS239" s="134">
        <v>0.2369</v>
      </c>
      <c r="BT239" s="134">
        <v>0.95469999999999999</v>
      </c>
      <c r="BU239" s="134">
        <v>1.6585000000000001</v>
      </c>
      <c r="BV239" t="s">
        <v>594</v>
      </c>
      <c r="BW239" s="87">
        <v>30</v>
      </c>
      <c r="BX239" s="87"/>
      <c r="BY239" s="87"/>
      <c r="BZ239" s="87"/>
      <c r="CA239">
        <f>(BP239-BN239)/(2*1.96)</f>
        <v>0.37688775510204081</v>
      </c>
      <c r="CB239" s="87">
        <f t="shared" ref="CB239:CB258" si="2">(BU239-BS239)/(2*1.96)</f>
        <v>0.36265306122448987</v>
      </c>
      <c r="CC239" s="87">
        <v>3</v>
      </c>
      <c r="CD239" s="87"/>
      <c r="CM239" s="87"/>
    </row>
    <row r="240" spans="1:91" ht="14.5">
      <c r="B240" s="135" t="s">
        <v>3381</v>
      </c>
      <c r="C240" s="87">
        <v>2024</v>
      </c>
      <c r="D240" s="120" t="s">
        <v>3284</v>
      </c>
      <c r="E240" s="120" t="s">
        <v>3343</v>
      </c>
      <c r="F240" s="72" t="s">
        <v>90</v>
      </c>
      <c r="G240" s="120" t="s">
        <v>3280</v>
      </c>
      <c r="H240" s="120"/>
      <c r="I240" s="87" t="s">
        <v>3351</v>
      </c>
      <c r="J240" s="87"/>
      <c r="K240" s="87"/>
      <c r="L240" s="87"/>
      <c r="M240" t="s">
        <v>95</v>
      </c>
      <c r="N240" s="87" t="s">
        <v>3285</v>
      </c>
      <c r="O240" s="87"/>
      <c r="P240" s="87"/>
      <c r="Q240" s="87"/>
      <c r="R240" s="87"/>
      <c r="S240" s="87" t="s">
        <v>114</v>
      </c>
      <c r="T240" s="72" t="s">
        <v>114</v>
      </c>
      <c r="U240" s="87" t="s">
        <v>191</v>
      </c>
      <c r="V240" s="87"/>
      <c r="W240" s="87"/>
      <c r="X240" s="87"/>
      <c r="Y240" s="87"/>
      <c r="Z240" s="87"/>
      <c r="AA240" s="87"/>
      <c r="AB240" s="87"/>
      <c r="AC240" s="87" t="s">
        <v>105</v>
      </c>
      <c r="AD240" s="87"/>
      <c r="AE240" s="87"/>
      <c r="AF240" s="87"/>
      <c r="AG240" s="87">
        <v>3</v>
      </c>
      <c r="AH240" s="87"/>
      <c r="AI240" s="87"/>
      <c r="AJ240" s="87"/>
      <c r="AK240" s="87"/>
      <c r="AL240" s="87"/>
      <c r="AM240" s="87"/>
      <c r="AN240" s="87"/>
      <c r="AO240" s="87"/>
      <c r="AP240" s="87"/>
      <c r="AQ240" s="87" t="s">
        <v>155</v>
      </c>
      <c r="AR240" s="87"/>
      <c r="AS240" s="87"/>
      <c r="AT240" s="87"/>
      <c r="AU240" s="87" t="s">
        <v>116</v>
      </c>
      <c r="AV240" s="87" t="s">
        <v>3286</v>
      </c>
      <c r="AW240" s="87">
        <v>2</v>
      </c>
      <c r="AX240" s="87" t="s">
        <v>3238</v>
      </c>
      <c r="AZ240" s="87" t="s">
        <v>3287</v>
      </c>
      <c r="BA240" s="87" t="s">
        <v>116</v>
      </c>
      <c r="BB240" s="87"/>
      <c r="BC240" s="87"/>
      <c r="BD240" s="87"/>
      <c r="BE240" s="87"/>
      <c r="BF240" s="87"/>
      <c r="BG240" s="87"/>
      <c r="BH240" s="87"/>
      <c r="BI240" s="87"/>
      <c r="BJ240" s="87">
        <v>4</v>
      </c>
      <c r="BK240" s="87" t="s">
        <v>3290</v>
      </c>
      <c r="BL240" s="87" t="s">
        <v>240</v>
      </c>
      <c r="BM240" s="87" t="s">
        <v>3352</v>
      </c>
      <c r="BN240" s="134">
        <v>-0.36580000000000001</v>
      </c>
      <c r="BO240" s="134">
        <v>-0.68989999999999996</v>
      </c>
      <c r="BP240" s="134">
        <v>-1.3899999999999999E-2</v>
      </c>
      <c r="BQ240" t="s">
        <v>594</v>
      </c>
      <c r="BR240" s="122">
        <v>30</v>
      </c>
      <c r="BS240" s="134">
        <v>0.62719999999999998</v>
      </c>
      <c r="BT240" s="134">
        <v>1.3797999999999999</v>
      </c>
      <c r="BU240" s="134">
        <v>2.1602999999999999</v>
      </c>
      <c r="BV240" t="s">
        <v>594</v>
      </c>
      <c r="BW240" s="87">
        <v>30</v>
      </c>
      <c r="BX240" s="87"/>
      <c r="BZ240" s="87"/>
      <c r="CA240">
        <f t="shared" ref="CA240:CA258" si="3">(BP240-BN240)/(2*1.96)</f>
        <v>8.97704081632653E-2</v>
      </c>
      <c r="CB240" s="87">
        <f t="shared" si="2"/>
        <v>0.39109693877551016</v>
      </c>
      <c r="CC240" s="87">
        <v>3</v>
      </c>
      <c r="CD240" s="87"/>
      <c r="CM240" s="87"/>
    </row>
    <row r="241" spans="2:91" ht="14.5">
      <c r="B241" s="135" t="s">
        <v>3381</v>
      </c>
      <c r="C241">
        <v>2024</v>
      </c>
      <c r="D241" s="120" t="s">
        <v>3284</v>
      </c>
      <c r="E241" s="120" t="s">
        <v>3343</v>
      </c>
      <c r="F241" s="72" t="s">
        <v>90</v>
      </c>
      <c r="G241" s="120" t="s">
        <v>3280</v>
      </c>
      <c r="H241" s="120"/>
      <c r="I241" s="87" t="s">
        <v>3351</v>
      </c>
      <c r="J241" s="87"/>
      <c r="K241" s="87"/>
      <c r="L241" s="87"/>
      <c r="M241" t="s">
        <v>95</v>
      </c>
      <c r="N241" s="87" t="s">
        <v>3285</v>
      </c>
      <c r="O241" s="87"/>
      <c r="P241" s="87"/>
      <c r="Q241" s="87"/>
      <c r="R241" s="87"/>
      <c r="S241" s="87" t="s">
        <v>114</v>
      </c>
      <c r="T241" s="72" t="s">
        <v>114</v>
      </c>
      <c r="U241" s="87" t="s">
        <v>191</v>
      </c>
      <c r="V241" s="87"/>
      <c r="W241" s="87"/>
      <c r="X241" s="87"/>
      <c r="Y241" s="87"/>
      <c r="Z241" s="87"/>
      <c r="AA241" s="87"/>
      <c r="AB241" s="87"/>
      <c r="AC241" s="87" t="s">
        <v>105</v>
      </c>
      <c r="AD241" s="87"/>
      <c r="AE241" s="87"/>
      <c r="AF241" s="87"/>
      <c r="AG241" s="87">
        <v>3</v>
      </c>
      <c r="AH241" s="87"/>
      <c r="AI241" s="87"/>
      <c r="AJ241" s="87"/>
      <c r="AK241" s="87"/>
      <c r="AL241" s="87"/>
      <c r="AM241" s="87"/>
      <c r="AN241" s="87"/>
      <c r="AO241" s="87"/>
      <c r="AP241" s="87"/>
      <c r="AQ241" s="87" t="s">
        <v>155</v>
      </c>
      <c r="AR241" s="87"/>
      <c r="AS241" s="87"/>
      <c r="AT241" s="87"/>
      <c r="AU241" s="87" t="s">
        <v>116</v>
      </c>
      <c r="AV241" s="87" t="s">
        <v>3286</v>
      </c>
      <c r="AW241" s="87">
        <v>2</v>
      </c>
      <c r="AX241" s="87" t="s">
        <v>3238</v>
      </c>
      <c r="AZ241" s="87" t="s">
        <v>3287</v>
      </c>
      <c r="BA241" s="87" t="s">
        <v>116</v>
      </c>
      <c r="BB241" s="87"/>
      <c r="BC241" s="87"/>
      <c r="BD241" s="87"/>
      <c r="BE241" s="87"/>
      <c r="BF241" s="87"/>
      <c r="BG241" s="87"/>
      <c r="BH241" s="87"/>
      <c r="BI241" s="87"/>
      <c r="BJ241" s="87">
        <v>0</v>
      </c>
      <c r="BK241" s="87" t="s">
        <v>3291</v>
      </c>
      <c r="BL241" s="87" t="s">
        <v>240</v>
      </c>
      <c r="BM241" s="87" t="s">
        <v>3352</v>
      </c>
      <c r="BN241" s="134">
        <v>0.99560000000000004</v>
      </c>
      <c r="BO241" s="134">
        <v>1.8396999999999999</v>
      </c>
      <c r="BP241" s="134">
        <v>2.6619999999999999</v>
      </c>
      <c r="BQ241" t="s">
        <v>594</v>
      </c>
      <c r="BR241" s="122">
        <v>30</v>
      </c>
      <c r="BS241" s="134">
        <v>0.2369</v>
      </c>
      <c r="BT241" s="134">
        <v>0.95469999999999999</v>
      </c>
      <c r="BU241" s="134">
        <v>1.6585000000000001</v>
      </c>
      <c r="BV241" t="s">
        <v>594</v>
      </c>
      <c r="BW241" s="87">
        <v>30</v>
      </c>
      <c r="BX241" s="87"/>
      <c r="BY241" s="87"/>
      <c r="BZ241" s="87"/>
      <c r="CA241">
        <f t="shared" si="3"/>
        <v>0.42510204081632652</v>
      </c>
      <c r="CB241" s="87">
        <f t="shared" si="2"/>
        <v>0.36265306122448987</v>
      </c>
      <c r="CC241" s="87">
        <v>3</v>
      </c>
      <c r="CD241" s="87"/>
      <c r="CM241" s="87"/>
    </row>
    <row r="242" spans="2:91" ht="14.5">
      <c r="B242" s="135" t="s">
        <v>3381</v>
      </c>
      <c r="C242">
        <v>2024</v>
      </c>
      <c r="D242" s="120" t="s">
        <v>3284</v>
      </c>
      <c r="E242" s="120" t="s">
        <v>3343</v>
      </c>
      <c r="F242" s="72" t="s">
        <v>90</v>
      </c>
      <c r="G242" s="120" t="s">
        <v>3280</v>
      </c>
      <c r="H242" s="120"/>
      <c r="I242" s="87" t="s">
        <v>3351</v>
      </c>
      <c r="J242" s="87"/>
      <c r="K242" s="87"/>
      <c r="L242" s="87"/>
      <c r="M242" t="s">
        <v>95</v>
      </c>
      <c r="N242" s="87" t="s">
        <v>3285</v>
      </c>
      <c r="O242" s="87"/>
      <c r="P242" s="87"/>
      <c r="Q242" s="87"/>
      <c r="R242" s="87"/>
      <c r="S242" s="87" t="s">
        <v>114</v>
      </c>
      <c r="T242" s="72" t="s">
        <v>114</v>
      </c>
      <c r="U242" s="87" t="s">
        <v>191</v>
      </c>
      <c r="V242" s="87"/>
      <c r="W242" s="87"/>
      <c r="X242" s="87"/>
      <c r="Y242" s="87"/>
      <c r="Z242" s="87"/>
      <c r="AA242" s="87"/>
      <c r="AB242" s="87"/>
      <c r="AC242" s="87" t="s">
        <v>105</v>
      </c>
      <c r="AD242" s="87"/>
      <c r="AE242" s="87"/>
      <c r="AF242" s="87"/>
      <c r="AG242" s="87">
        <v>3</v>
      </c>
      <c r="AH242" s="87"/>
      <c r="AI242" s="87"/>
      <c r="AJ242" s="87"/>
      <c r="AK242" s="87"/>
      <c r="AL242" s="87"/>
      <c r="AM242" s="87"/>
      <c r="AN242" s="87"/>
      <c r="AO242" s="87"/>
      <c r="AP242" s="87"/>
      <c r="AQ242" s="87" t="s">
        <v>155</v>
      </c>
      <c r="AR242" s="87"/>
      <c r="AS242" s="87"/>
      <c r="AT242" s="87"/>
      <c r="AU242" s="87" t="s">
        <v>116</v>
      </c>
      <c r="AV242" s="87" t="s">
        <v>3286</v>
      </c>
      <c r="AW242" s="87">
        <v>2</v>
      </c>
      <c r="AX242" s="87" t="s">
        <v>3238</v>
      </c>
      <c r="AZ242" s="87" t="s">
        <v>3287</v>
      </c>
      <c r="BA242" s="87" t="s">
        <v>116</v>
      </c>
      <c r="BB242" s="87"/>
      <c r="BC242" s="87"/>
      <c r="BD242" s="87"/>
      <c r="BE242" s="87"/>
      <c r="BF242" s="87"/>
      <c r="BG242" s="87"/>
      <c r="BH242" s="87"/>
      <c r="BI242" s="87"/>
      <c r="BJ242" s="87">
        <v>4</v>
      </c>
      <c r="BK242" s="87" t="s">
        <v>3292</v>
      </c>
      <c r="BL242" s="87" t="s">
        <v>240</v>
      </c>
      <c r="BM242" s="87" t="s">
        <v>3352</v>
      </c>
      <c r="BN242" s="134">
        <v>-0.439</v>
      </c>
      <c r="BO242" s="134">
        <v>0.216</v>
      </c>
      <c r="BP242" s="134">
        <v>0.878</v>
      </c>
      <c r="BQ242" t="s">
        <v>594</v>
      </c>
      <c r="BR242" s="122">
        <v>30</v>
      </c>
      <c r="BS242" s="134">
        <v>0.62719999999999998</v>
      </c>
      <c r="BT242" s="134">
        <v>1.3797999999999999</v>
      </c>
      <c r="BU242" s="134">
        <v>2.1602999999999999</v>
      </c>
      <c r="BV242" t="s">
        <v>594</v>
      </c>
      <c r="BW242" s="87">
        <v>30</v>
      </c>
      <c r="BX242" s="87"/>
      <c r="BY242" s="87"/>
      <c r="BZ242" s="87"/>
      <c r="CA242">
        <f t="shared" si="3"/>
        <v>0.33596938775510204</v>
      </c>
      <c r="CB242" s="87">
        <f t="shared" si="2"/>
        <v>0.39109693877551016</v>
      </c>
      <c r="CC242" s="87">
        <v>3</v>
      </c>
      <c r="CD242" s="87"/>
      <c r="CM242" s="87"/>
    </row>
    <row r="243" spans="2:91" ht="14.5">
      <c r="B243" s="135" t="s">
        <v>3381</v>
      </c>
      <c r="C243">
        <v>2024</v>
      </c>
      <c r="D243" s="120" t="s">
        <v>3284</v>
      </c>
      <c r="E243" s="120" t="s">
        <v>3343</v>
      </c>
      <c r="F243" s="72" t="s">
        <v>90</v>
      </c>
      <c r="G243" s="120" t="s">
        <v>3280</v>
      </c>
      <c r="H243" s="120"/>
      <c r="I243" s="87" t="s">
        <v>3351</v>
      </c>
      <c r="J243" s="87"/>
      <c r="K243" s="87"/>
      <c r="L243" s="87"/>
      <c r="M243" t="s">
        <v>95</v>
      </c>
      <c r="N243" s="87" t="s">
        <v>3285</v>
      </c>
      <c r="O243" s="87"/>
      <c r="P243" s="87"/>
      <c r="Q243" s="87"/>
      <c r="R243" s="87"/>
      <c r="S243" s="87" t="s">
        <v>114</v>
      </c>
      <c r="T243" s="72" t="s">
        <v>114</v>
      </c>
      <c r="U243" s="87" t="s">
        <v>191</v>
      </c>
      <c r="V243" s="87"/>
      <c r="W243" s="87"/>
      <c r="X243" s="87"/>
      <c r="Y243" s="87"/>
      <c r="Z243" s="87"/>
      <c r="AA243" s="87"/>
      <c r="AB243" s="87"/>
      <c r="AC243" s="87" t="s">
        <v>105</v>
      </c>
      <c r="AD243" s="87"/>
      <c r="AE243" s="87"/>
      <c r="AF243" s="87"/>
      <c r="AG243" s="87">
        <v>3</v>
      </c>
      <c r="AH243" s="87"/>
      <c r="AI243" s="87"/>
      <c r="AJ243" s="87"/>
      <c r="AK243" s="87"/>
      <c r="AL243" s="87"/>
      <c r="AM243" s="87"/>
      <c r="AN243" s="87"/>
      <c r="AO243" s="87"/>
      <c r="AP243" s="87"/>
      <c r="AQ243" s="87" t="s">
        <v>155</v>
      </c>
      <c r="AR243" s="87"/>
      <c r="AS243" s="87"/>
      <c r="AT243" s="87"/>
      <c r="AU243" s="87" t="s">
        <v>116</v>
      </c>
      <c r="AV243" s="87" t="s">
        <v>3286</v>
      </c>
      <c r="AW243" s="87">
        <v>2</v>
      </c>
      <c r="AX243" s="87" t="s">
        <v>3238</v>
      </c>
      <c r="AZ243" s="87" t="s">
        <v>3287</v>
      </c>
      <c r="BA243" s="87" t="s">
        <v>116</v>
      </c>
      <c r="BB243" s="87"/>
      <c r="BC243" s="87"/>
      <c r="BD243" s="87"/>
      <c r="BE243" s="87"/>
      <c r="BF243" s="87"/>
      <c r="BG243" s="87"/>
      <c r="BH243" s="87"/>
      <c r="BI243" s="87"/>
      <c r="BJ243" s="87">
        <v>0</v>
      </c>
      <c r="BK243" s="87" t="s">
        <v>3293</v>
      </c>
      <c r="BL243" s="87" t="s">
        <v>240</v>
      </c>
      <c r="BM243" s="87" t="s">
        <v>3352</v>
      </c>
      <c r="BN243" s="134">
        <v>-8.3599999999999994E-2</v>
      </c>
      <c r="BO243" s="134">
        <v>0.57140000000000002</v>
      </c>
      <c r="BP243" s="134">
        <v>1.2264999999999999</v>
      </c>
      <c r="BQ243" t="s">
        <v>594</v>
      </c>
      <c r="BR243" s="122">
        <v>30</v>
      </c>
      <c r="BS243" s="134">
        <v>0.2369</v>
      </c>
      <c r="BT243" s="134">
        <v>0.95469999999999999</v>
      </c>
      <c r="BU243" s="134">
        <v>1.6585000000000001</v>
      </c>
      <c r="BV243" t="s">
        <v>594</v>
      </c>
      <c r="BW243" s="87">
        <v>30</v>
      </c>
      <c r="BX243" s="87"/>
      <c r="BY243" s="87"/>
      <c r="BZ243" s="87"/>
      <c r="CA243">
        <f t="shared" si="3"/>
        <v>0.33420918367346936</v>
      </c>
      <c r="CB243" s="87">
        <f t="shared" si="2"/>
        <v>0.36265306122448987</v>
      </c>
      <c r="CC243" s="87">
        <v>3</v>
      </c>
      <c r="CD243" s="87"/>
      <c r="CM243" s="87"/>
    </row>
    <row r="244" spans="2:91" ht="14.5">
      <c r="B244" s="135" t="s">
        <v>3381</v>
      </c>
      <c r="C244">
        <v>2024</v>
      </c>
      <c r="D244" s="120" t="s">
        <v>3284</v>
      </c>
      <c r="E244" s="120" t="s">
        <v>3343</v>
      </c>
      <c r="F244" s="72" t="s">
        <v>90</v>
      </c>
      <c r="G244" s="120" t="s">
        <v>3280</v>
      </c>
      <c r="H244" s="120"/>
      <c r="I244" s="87" t="s">
        <v>3351</v>
      </c>
      <c r="J244" s="87"/>
      <c r="K244" s="87"/>
      <c r="L244" s="87"/>
      <c r="M244" t="s">
        <v>95</v>
      </c>
      <c r="N244" s="87" t="s">
        <v>3285</v>
      </c>
      <c r="O244" s="87"/>
      <c r="P244" s="87"/>
      <c r="Q244" s="87"/>
      <c r="R244" s="87"/>
      <c r="S244" s="87" t="s">
        <v>114</v>
      </c>
      <c r="T244" s="72" t="s">
        <v>114</v>
      </c>
      <c r="U244" s="87" t="s">
        <v>191</v>
      </c>
      <c r="V244" s="87"/>
      <c r="W244" s="87"/>
      <c r="X244" s="87"/>
      <c r="Y244" s="87"/>
      <c r="Z244" s="87"/>
      <c r="AA244" s="87"/>
      <c r="AB244" s="87"/>
      <c r="AC244" s="87" t="s">
        <v>105</v>
      </c>
      <c r="AD244" s="87"/>
      <c r="AE244" s="87"/>
      <c r="AF244" s="87"/>
      <c r="AG244" s="87">
        <v>3</v>
      </c>
      <c r="AH244" s="87"/>
      <c r="AI244" s="87"/>
      <c r="AJ244" s="87"/>
      <c r="AK244" s="87"/>
      <c r="AL244" s="87"/>
      <c r="AM244" s="87"/>
      <c r="AN244" s="87"/>
      <c r="AO244" s="87"/>
      <c r="AP244" s="87"/>
      <c r="AQ244" s="87" t="s">
        <v>155</v>
      </c>
      <c r="AR244" s="87"/>
      <c r="AS244" s="87"/>
      <c r="AT244" s="87"/>
      <c r="AU244" s="87" t="s">
        <v>116</v>
      </c>
      <c r="AV244" s="87" t="s">
        <v>3286</v>
      </c>
      <c r="AW244" s="87">
        <v>2</v>
      </c>
      <c r="AX244" s="87" t="s">
        <v>3238</v>
      </c>
      <c r="AZ244" s="87" t="s">
        <v>3287</v>
      </c>
      <c r="BA244" s="87" t="s">
        <v>116</v>
      </c>
      <c r="BB244" s="87"/>
      <c r="BC244" s="87"/>
      <c r="BD244" s="87"/>
      <c r="BE244" s="87"/>
      <c r="BF244" s="87"/>
      <c r="BG244" s="87"/>
      <c r="BH244" s="87"/>
      <c r="BI244" s="87"/>
      <c r="BJ244" s="87">
        <v>4</v>
      </c>
      <c r="BK244" s="87" t="s">
        <v>3294</v>
      </c>
      <c r="BL244" s="87" t="s">
        <v>240</v>
      </c>
      <c r="BM244" s="87" t="s">
        <v>3352</v>
      </c>
      <c r="BN244" s="134">
        <v>-1.0452999999999999</v>
      </c>
      <c r="BO244" s="134">
        <v>-0.4042</v>
      </c>
      <c r="BP244" s="134">
        <v>0.24390000000000001</v>
      </c>
      <c r="BQ244" t="s">
        <v>594</v>
      </c>
      <c r="BR244" s="122">
        <v>30</v>
      </c>
      <c r="BS244" s="134">
        <v>0.62719999999999998</v>
      </c>
      <c r="BT244" s="134">
        <v>1.3797999999999999</v>
      </c>
      <c r="BU244" s="134">
        <v>2.1602999999999999</v>
      </c>
      <c r="BV244" t="s">
        <v>594</v>
      </c>
      <c r="BW244" s="87">
        <v>30</v>
      </c>
      <c r="BX244" s="87"/>
      <c r="BY244" s="87"/>
      <c r="BZ244" s="87"/>
      <c r="CA244">
        <f t="shared" si="3"/>
        <v>0.32887755102040817</v>
      </c>
      <c r="CB244" s="87">
        <f t="shared" si="2"/>
        <v>0.39109693877551016</v>
      </c>
      <c r="CC244" s="87">
        <v>3</v>
      </c>
      <c r="CD244" s="87"/>
      <c r="CM244" s="87"/>
    </row>
    <row r="245" spans="2:91" ht="14.5">
      <c r="B245" s="135" t="s">
        <v>3381</v>
      </c>
      <c r="C245">
        <v>2024</v>
      </c>
      <c r="D245" s="120" t="s">
        <v>3284</v>
      </c>
      <c r="E245" s="120" t="s">
        <v>3343</v>
      </c>
      <c r="F245" s="72" t="s">
        <v>90</v>
      </c>
      <c r="G245" s="120" t="s">
        <v>3280</v>
      </c>
      <c r="H245" s="120"/>
      <c r="I245" s="87" t="s">
        <v>3351</v>
      </c>
      <c r="J245" s="87"/>
      <c r="K245" s="87"/>
      <c r="L245" s="87"/>
      <c r="M245" t="s">
        <v>95</v>
      </c>
      <c r="N245" s="87" t="s">
        <v>3285</v>
      </c>
      <c r="O245" s="87"/>
      <c r="P245" s="87"/>
      <c r="Q245" s="87"/>
      <c r="R245" s="87"/>
      <c r="S245" s="87" t="s">
        <v>114</v>
      </c>
      <c r="T245" s="72" t="s">
        <v>114</v>
      </c>
      <c r="U245" s="87" t="s">
        <v>191</v>
      </c>
      <c r="V245" s="87"/>
      <c r="W245" s="87"/>
      <c r="X245" s="87"/>
      <c r="Y245" s="87"/>
      <c r="Z245" s="87"/>
      <c r="AA245" s="87"/>
      <c r="AB245" s="87"/>
      <c r="AC245" s="87" t="s">
        <v>105</v>
      </c>
      <c r="AD245" s="87"/>
      <c r="AE245" s="87"/>
      <c r="AF245" s="87"/>
      <c r="AG245" s="87">
        <v>3</v>
      </c>
      <c r="AH245" s="87"/>
      <c r="AI245" s="87"/>
      <c r="AJ245" s="87"/>
      <c r="AK245" s="87"/>
      <c r="AL245" s="87"/>
      <c r="AM245" s="87"/>
      <c r="AN245" s="87"/>
      <c r="AO245" s="87"/>
      <c r="AP245" s="87"/>
      <c r="AQ245" s="87" t="s">
        <v>155</v>
      </c>
      <c r="AR245" s="87"/>
      <c r="AS245" s="87"/>
      <c r="AT245" s="87"/>
      <c r="AU245" s="87" t="s">
        <v>116</v>
      </c>
      <c r="AV245" s="87" t="s">
        <v>3286</v>
      </c>
      <c r="AW245" s="87">
        <v>2</v>
      </c>
      <c r="AX245" s="87" t="s">
        <v>3238</v>
      </c>
      <c r="AZ245" s="87" t="s">
        <v>3287</v>
      </c>
      <c r="BA245" s="87" t="s">
        <v>116</v>
      </c>
      <c r="BB245" s="87"/>
      <c r="BC245" s="87"/>
      <c r="BD245" s="87"/>
      <c r="BE245" s="87"/>
      <c r="BF245" s="87"/>
      <c r="BG245" s="87"/>
      <c r="BH245" s="87"/>
      <c r="BI245" s="87"/>
      <c r="BJ245" s="87">
        <v>0</v>
      </c>
      <c r="BK245" s="87" t="s">
        <v>3295</v>
      </c>
      <c r="BL245" s="87" t="s">
        <v>240</v>
      </c>
      <c r="BM245" s="87" t="s">
        <v>3352</v>
      </c>
      <c r="BN245" s="134">
        <v>-0.1951</v>
      </c>
      <c r="BO245" s="134">
        <v>0.45989999999999998</v>
      </c>
      <c r="BP245" s="134">
        <v>1.1080000000000001</v>
      </c>
      <c r="BQ245" t="s">
        <v>594</v>
      </c>
      <c r="BR245" s="122">
        <v>30</v>
      </c>
      <c r="BS245" s="134">
        <v>0.2369</v>
      </c>
      <c r="BT245" s="134">
        <v>0.95469999999999999</v>
      </c>
      <c r="BU245" s="134">
        <v>1.6585000000000001</v>
      </c>
      <c r="BV245" t="s">
        <v>594</v>
      </c>
      <c r="BW245" s="87">
        <v>30</v>
      </c>
      <c r="BX245" s="87"/>
      <c r="BY245" s="87"/>
      <c r="BZ245" s="87"/>
      <c r="CA245">
        <f t="shared" si="3"/>
        <v>0.33242346938775513</v>
      </c>
      <c r="CB245" s="87">
        <f t="shared" si="2"/>
        <v>0.36265306122448987</v>
      </c>
      <c r="CC245" s="87">
        <v>3</v>
      </c>
      <c r="CD245" s="87"/>
      <c r="CM245" s="87"/>
    </row>
    <row r="246" spans="2:91" ht="14.5">
      <c r="B246" s="135" t="s">
        <v>3381</v>
      </c>
      <c r="C246">
        <v>2024</v>
      </c>
      <c r="D246" s="120" t="s">
        <v>3284</v>
      </c>
      <c r="E246" s="120" t="s">
        <v>3343</v>
      </c>
      <c r="F246" s="72" t="s">
        <v>90</v>
      </c>
      <c r="G246" s="120" t="s">
        <v>3280</v>
      </c>
      <c r="H246" s="120"/>
      <c r="I246" s="87" t="s">
        <v>3351</v>
      </c>
      <c r="J246" s="87"/>
      <c r="K246" s="87"/>
      <c r="L246" s="87"/>
      <c r="M246" t="s">
        <v>95</v>
      </c>
      <c r="N246" s="87" t="s">
        <v>3285</v>
      </c>
      <c r="O246" s="87"/>
      <c r="P246" s="87"/>
      <c r="Q246" s="87"/>
      <c r="R246" s="87"/>
      <c r="S246" s="87" t="s">
        <v>114</v>
      </c>
      <c r="T246" s="72" t="s">
        <v>114</v>
      </c>
      <c r="U246" s="87" t="s">
        <v>191</v>
      </c>
      <c r="V246" s="87"/>
      <c r="W246" s="87"/>
      <c r="X246" s="87"/>
      <c r="Y246" s="87"/>
      <c r="Z246" s="87"/>
      <c r="AA246" s="87"/>
      <c r="AB246" s="87"/>
      <c r="AC246" s="87" t="s">
        <v>105</v>
      </c>
      <c r="AD246" s="87"/>
      <c r="AE246" s="87"/>
      <c r="AF246" s="87"/>
      <c r="AG246" s="87">
        <v>3</v>
      </c>
      <c r="AH246" s="87"/>
      <c r="AI246" s="87"/>
      <c r="AJ246" s="87"/>
      <c r="AK246" s="87"/>
      <c r="AL246" s="87"/>
      <c r="AM246" s="87"/>
      <c r="AN246" s="87"/>
      <c r="AO246" s="87"/>
      <c r="AP246" s="87"/>
      <c r="AQ246" s="87" t="s">
        <v>155</v>
      </c>
      <c r="AR246" s="87"/>
      <c r="AS246" s="87"/>
      <c r="AT246" s="87"/>
      <c r="AU246" s="87" t="s">
        <v>116</v>
      </c>
      <c r="AV246" s="87" t="s">
        <v>3286</v>
      </c>
      <c r="AW246" s="87">
        <v>2</v>
      </c>
      <c r="AX246" s="87" t="s">
        <v>3238</v>
      </c>
      <c r="AZ246" s="87" t="s">
        <v>3287</v>
      </c>
      <c r="BA246" s="87" t="s">
        <v>116</v>
      </c>
      <c r="BB246" s="87"/>
      <c r="BC246" s="87"/>
      <c r="BD246" s="87"/>
      <c r="BE246" s="87"/>
      <c r="BF246" s="87"/>
      <c r="BG246" s="87"/>
      <c r="BH246" s="87"/>
      <c r="BI246" s="87"/>
      <c r="BJ246" s="87">
        <v>4</v>
      </c>
      <c r="BK246" s="87" t="s">
        <v>3296</v>
      </c>
      <c r="BL246" s="87" t="s">
        <v>240</v>
      </c>
      <c r="BM246" s="87" t="s">
        <v>3352</v>
      </c>
      <c r="BN246" s="134">
        <v>-1.0871</v>
      </c>
      <c r="BO246" s="134">
        <v>-0.439</v>
      </c>
      <c r="BP246" s="134">
        <v>0.216</v>
      </c>
      <c r="BQ246" t="s">
        <v>594</v>
      </c>
      <c r="BR246" s="122">
        <v>30</v>
      </c>
      <c r="BS246" s="134">
        <v>0.62719999999999998</v>
      </c>
      <c r="BT246" s="134">
        <v>1.3797999999999999</v>
      </c>
      <c r="BU246" s="134">
        <v>2.1602999999999999</v>
      </c>
      <c r="BV246" t="s">
        <v>594</v>
      </c>
      <c r="BW246" s="87">
        <v>30</v>
      </c>
      <c r="BX246" s="87"/>
      <c r="BY246" s="87"/>
      <c r="BZ246" s="87"/>
      <c r="CA246">
        <f>(BP246-BN246)/(2*1.96)</f>
        <v>0.33242346938775508</v>
      </c>
      <c r="CB246" s="87">
        <f t="shared" si="2"/>
        <v>0.39109693877551016</v>
      </c>
      <c r="CC246" s="87">
        <v>3</v>
      </c>
      <c r="CD246" s="87"/>
      <c r="CM246" s="87"/>
    </row>
    <row r="247" spans="2:91" ht="14.5">
      <c r="B247" s="135" t="s">
        <v>3381</v>
      </c>
      <c r="C247">
        <v>2024</v>
      </c>
      <c r="D247" s="120" t="s">
        <v>3284</v>
      </c>
      <c r="E247" s="120" t="s">
        <v>3343</v>
      </c>
      <c r="F247" s="72" t="s">
        <v>90</v>
      </c>
      <c r="G247" s="120" t="s">
        <v>3280</v>
      </c>
      <c r="H247" s="120"/>
      <c r="I247" s="87" t="s">
        <v>3351</v>
      </c>
      <c r="J247" s="87"/>
      <c r="K247" s="87"/>
      <c r="L247" s="87"/>
      <c r="M247" t="s">
        <v>95</v>
      </c>
      <c r="N247" s="87" t="s">
        <v>3285</v>
      </c>
      <c r="O247" s="87"/>
      <c r="P247" s="87"/>
      <c r="Q247" s="87"/>
      <c r="R247" s="87"/>
      <c r="S247" s="87" t="s">
        <v>114</v>
      </c>
      <c r="T247" s="72" t="s">
        <v>114</v>
      </c>
      <c r="U247" s="87" t="s">
        <v>191</v>
      </c>
      <c r="V247" s="87"/>
      <c r="W247" s="87"/>
      <c r="X247" s="87"/>
      <c r="Y247" s="87"/>
      <c r="Z247" s="87"/>
      <c r="AA247" s="87"/>
      <c r="AB247" s="87"/>
      <c r="AC247" s="87" t="s">
        <v>105</v>
      </c>
      <c r="AD247" s="87"/>
      <c r="AE247" s="87"/>
      <c r="AF247" s="87"/>
      <c r="AG247" s="87">
        <v>3</v>
      </c>
      <c r="AH247" s="87"/>
      <c r="AI247" s="87"/>
      <c r="AJ247" s="87"/>
      <c r="AK247" s="87"/>
      <c r="AL247" s="87"/>
      <c r="AM247" s="87"/>
      <c r="AN247" s="87"/>
      <c r="AO247" s="87"/>
      <c r="AP247" s="87"/>
      <c r="AQ247" s="87" t="s">
        <v>155</v>
      </c>
      <c r="AR247" s="87"/>
      <c r="AS247" s="87"/>
      <c r="AT247" s="87"/>
      <c r="AU247" s="87" t="s">
        <v>116</v>
      </c>
      <c r="AV247" s="87" t="s">
        <v>3286</v>
      </c>
      <c r="AW247" s="87">
        <v>2</v>
      </c>
      <c r="AX247" s="87" t="s">
        <v>3238</v>
      </c>
      <c r="AZ247" s="87" t="s">
        <v>3287</v>
      </c>
      <c r="BA247" s="87" t="s">
        <v>116</v>
      </c>
      <c r="BB247" s="87"/>
      <c r="BC247" s="87"/>
      <c r="BD247" s="87"/>
      <c r="BE247" s="87"/>
      <c r="BF247" s="87"/>
      <c r="BG247" s="87"/>
      <c r="BH247" s="87"/>
      <c r="BI247" s="87"/>
      <c r="BJ247" s="87">
        <v>0</v>
      </c>
      <c r="BK247" s="87" t="s">
        <v>3353</v>
      </c>
      <c r="BL247" s="87" t="s">
        <v>240</v>
      </c>
      <c r="BM247" s="87" t="s">
        <v>3352</v>
      </c>
      <c r="BN247" s="134">
        <v>4.53E-2</v>
      </c>
      <c r="BO247" s="134">
        <v>0.73519999999999996</v>
      </c>
      <c r="BP247" s="134">
        <v>1.4251</v>
      </c>
      <c r="BQ247" t="s">
        <v>594</v>
      </c>
      <c r="BR247" s="122">
        <v>30</v>
      </c>
      <c r="BS247" s="134">
        <v>-0.16020000000000001</v>
      </c>
      <c r="BT247" s="134">
        <v>0.51570000000000005</v>
      </c>
      <c r="BU247" s="134">
        <v>1.1847000000000001</v>
      </c>
      <c r="BV247" t="s">
        <v>594</v>
      </c>
      <c r="BW247" s="87">
        <v>30</v>
      </c>
      <c r="BX247" s="87"/>
      <c r="BY247" s="87"/>
      <c r="BZ247" s="87"/>
      <c r="CA247">
        <f t="shared" si="3"/>
        <v>0.35198979591836738</v>
      </c>
      <c r="CB247" s="87">
        <f t="shared" si="2"/>
        <v>0.34308673469387757</v>
      </c>
      <c r="CC247" s="87">
        <v>3</v>
      </c>
      <c r="CD247" s="87"/>
      <c r="CM247" s="87"/>
    </row>
    <row r="248" spans="2:91" ht="14.5">
      <c r="B248" s="135" t="s">
        <v>3381</v>
      </c>
      <c r="C248">
        <v>2024</v>
      </c>
      <c r="D248" s="120" t="s">
        <v>3284</v>
      </c>
      <c r="E248" s="120" t="s">
        <v>3343</v>
      </c>
      <c r="F248" s="72" t="s">
        <v>90</v>
      </c>
      <c r="G248" s="120" t="s">
        <v>3280</v>
      </c>
      <c r="H248" s="120"/>
      <c r="I248" s="87" t="s">
        <v>3351</v>
      </c>
      <c r="J248" s="87"/>
      <c r="K248" s="87"/>
      <c r="L248" s="87"/>
      <c r="M248" t="s">
        <v>95</v>
      </c>
      <c r="N248" s="87" t="s">
        <v>3285</v>
      </c>
      <c r="O248" s="87"/>
      <c r="P248" s="87"/>
      <c r="Q248" s="87"/>
      <c r="R248" s="87"/>
      <c r="S248" s="87" t="s">
        <v>114</v>
      </c>
      <c r="T248" s="72" t="s">
        <v>114</v>
      </c>
      <c r="U248" s="87" t="s">
        <v>191</v>
      </c>
      <c r="V248" s="87"/>
      <c r="W248" s="87"/>
      <c r="X248" s="87"/>
      <c r="Y248" s="87"/>
      <c r="Z248" s="87"/>
      <c r="AA248" s="87"/>
      <c r="AB248" s="87"/>
      <c r="AC248" s="87" t="s">
        <v>105</v>
      </c>
      <c r="AD248" s="87"/>
      <c r="AE248" s="87"/>
      <c r="AF248" s="87"/>
      <c r="AG248" s="87">
        <v>3</v>
      </c>
      <c r="AH248" s="87"/>
      <c r="AI248" s="87"/>
      <c r="AJ248" s="87"/>
      <c r="AK248" s="87"/>
      <c r="AL248" s="87"/>
      <c r="AM248" s="87"/>
      <c r="AN248" s="87"/>
      <c r="AO248" s="87"/>
      <c r="AP248" s="87"/>
      <c r="AQ248" s="87" t="s">
        <v>155</v>
      </c>
      <c r="AR248" s="87"/>
      <c r="AS248" s="87"/>
      <c r="AT248" s="87"/>
      <c r="AU248" s="87" t="s">
        <v>116</v>
      </c>
      <c r="AV248" s="87" t="s">
        <v>3286</v>
      </c>
      <c r="AW248" s="87">
        <v>2</v>
      </c>
      <c r="AX248" s="87" t="s">
        <v>3238</v>
      </c>
      <c r="AZ248" s="87" t="s">
        <v>3287</v>
      </c>
      <c r="BA248" s="87" t="s">
        <v>116</v>
      </c>
      <c r="BB248" s="87"/>
      <c r="BC248" s="87"/>
      <c r="BD248" s="87"/>
      <c r="BE248" s="87"/>
      <c r="BF248" s="87"/>
      <c r="BG248" s="87"/>
      <c r="BH248" s="87"/>
      <c r="BI248" s="87"/>
      <c r="BJ248" s="87">
        <v>4</v>
      </c>
      <c r="BK248" s="87" t="s">
        <v>3354</v>
      </c>
      <c r="BL248" s="87" t="s">
        <v>240</v>
      </c>
      <c r="BM248" s="87" t="s">
        <v>3352</v>
      </c>
      <c r="BN248" s="134">
        <v>-1.9198999999999999</v>
      </c>
      <c r="BO248" s="134">
        <v>-1.1951000000000001</v>
      </c>
      <c r="BP248" s="134">
        <v>-0.47739999999999999</v>
      </c>
      <c r="BQ248" t="s">
        <v>594</v>
      </c>
      <c r="BR248" s="122">
        <v>30</v>
      </c>
      <c r="BS248" s="134">
        <v>0.2369</v>
      </c>
      <c r="BT248" s="134">
        <v>0.94079999999999997</v>
      </c>
      <c r="BU248" s="134">
        <v>1.6725000000000001</v>
      </c>
      <c r="BV248" t="s">
        <v>594</v>
      </c>
      <c r="BW248" s="87">
        <v>30</v>
      </c>
      <c r="BX248" s="87"/>
      <c r="BY248" s="87"/>
      <c r="BZ248" s="87"/>
      <c r="CA248">
        <f t="shared" si="3"/>
        <v>0.36798469387755101</v>
      </c>
      <c r="CB248" s="87">
        <f t="shared" si="2"/>
        <v>0.36622448979591837</v>
      </c>
      <c r="CC248" s="87">
        <v>3</v>
      </c>
      <c r="CD248" s="87"/>
      <c r="CM248" s="87"/>
    </row>
    <row r="249" spans="2:91" ht="14.5">
      <c r="B249" s="135" t="s">
        <v>3381</v>
      </c>
      <c r="C249">
        <v>2024</v>
      </c>
      <c r="D249" s="120" t="s">
        <v>3284</v>
      </c>
      <c r="E249" s="120" t="s">
        <v>3343</v>
      </c>
      <c r="F249" s="72" t="s">
        <v>90</v>
      </c>
      <c r="G249" s="120" t="s">
        <v>3280</v>
      </c>
      <c r="H249" s="120"/>
      <c r="I249" s="87" t="s">
        <v>3351</v>
      </c>
      <c r="J249" s="87"/>
      <c r="K249" s="87"/>
      <c r="L249" s="87"/>
      <c r="M249" t="s">
        <v>95</v>
      </c>
      <c r="N249" s="87" t="s">
        <v>3285</v>
      </c>
      <c r="O249" s="87"/>
      <c r="P249" s="87"/>
      <c r="Q249" s="87"/>
      <c r="R249" s="87"/>
      <c r="S249" s="87" t="s">
        <v>114</v>
      </c>
      <c r="T249" s="72" t="s">
        <v>114</v>
      </c>
      <c r="U249" s="87" t="s">
        <v>191</v>
      </c>
      <c r="V249" s="87"/>
      <c r="W249" s="87"/>
      <c r="X249" s="87"/>
      <c r="Y249" s="87"/>
      <c r="Z249" s="87"/>
      <c r="AA249" s="87"/>
      <c r="AB249" s="87"/>
      <c r="AC249" s="87" t="s">
        <v>105</v>
      </c>
      <c r="AD249" s="87"/>
      <c r="AE249" s="87"/>
      <c r="AF249" s="87"/>
      <c r="AG249" s="87">
        <v>3</v>
      </c>
      <c r="AH249" s="87"/>
      <c r="AI249" s="87"/>
      <c r="AJ249" s="87"/>
      <c r="AK249" s="87"/>
      <c r="AL249" s="87"/>
      <c r="AM249" s="87"/>
      <c r="AN249" s="87"/>
      <c r="AO249" s="87"/>
      <c r="AP249" s="87"/>
      <c r="AQ249" s="87" t="s">
        <v>155</v>
      </c>
      <c r="AR249" s="87"/>
      <c r="AS249" s="87"/>
      <c r="AT249" s="87"/>
      <c r="AU249" s="87" t="s">
        <v>116</v>
      </c>
      <c r="AV249" s="87" t="s">
        <v>3286</v>
      </c>
      <c r="AW249" s="87">
        <v>2</v>
      </c>
      <c r="AX249" s="87" t="s">
        <v>3238</v>
      </c>
      <c r="AZ249" s="87" t="s">
        <v>3287</v>
      </c>
      <c r="BA249" s="87" t="s">
        <v>116</v>
      </c>
      <c r="BB249" s="87"/>
      <c r="BC249" s="87"/>
      <c r="BD249" s="87"/>
      <c r="BE249" s="87"/>
      <c r="BF249" s="87"/>
      <c r="BG249" s="87"/>
      <c r="BH249" s="87"/>
      <c r="BI249" s="87"/>
      <c r="BJ249" s="87">
        <v>0</v>
      </c>
      <c r="BK249" s="87" t="s">
        <v>3355</v>
      </c>
      <c r="BL249" s="87" t="s">
        <v>240</v>
      </c>
      <c r="BM249" s="87" t="s">
        <v>3352</v>
      </c>
      <c r="BN249" s="134">
        <v>-0.1847</v>
      </c>
      <c r="BO249" s="134">
        <v>0.50519999999999998</v>
      </c>
      <c r="BP249" s="134">
        <v>1.11812</v>
      </c>
      <c r="BQ249" t="s">
        <v>594</v>
      </c>
      <c r="BR249" s="122">
        <v>30</v>
      </c>
      <c r="BS249" s="134">
        <v>-0.16020000000000001</v>
      </c>
      <c r="BT249" s="134">
        <v>0.51570000000000005</v>
      </c>
      <c r="BU249" s="134">
        <v>1.1847000000000001</v>
      </c>
      <c r="BV249" t="s">
        <v>594</v>
      </c>
      <c r="BW249" s="87">
        <v>30</v>
      </c>
      <c r="BX249" s="87"/>
      <c r="BY249" s="87"/>
      <c r="BZ249" s="87"/>
      <c r="CA249">
        <f t="shared" si="3"/>
        <v>0.33235204081632658</v>
      </c>
      <c r="CB249" s="87">
        <f t="shared" si="2"/>
        <v>0.34308673469387757</v>
      </c>
      <c r="CC249" s="87">
        <v>3</v>
      </c>
      <c r="CD249" s="87"/>
      <c r="CM249" s="87"/>
    </row>
    <row r="250" spans="2:91" ht="14.5">
      <c r="B250" s="135" t="s">
        <v>3381</v>
      </c>
      <c r="C250">
        <v>2024</v>
      </c>
      <c r="D250" s="120" t="s">
        <v>3284</v>
      </c>
      <c r="E250" s="120" t="s">
        <v>3343</v>
      </c>
      <c r="F250" s="72" t="s">
        <v>90</v>
      </c>
      <c r="G250" s="120" t="s">
        <v>3280</v>
      </c>
      <c r="H250" s="120"/>
      <c r="I250" s="87" t="s">
        <v>3351</v>
      </c>
      <c r="J250" s="87"/>
      <c r="K250" s="87"/>
      <c r="L250" s="87"/>
      <c r="M250" t="s">
        <v>95</v>
      </c>
      <c r="N250" s="87" t="s">
        <v>3285</v>
      </c>
      <c r="O250" s="87"/>
      <c r="P250" s="87"/>
      <c r="Q250" s="87"/>
      <c r="R250" s="87"/>
      <c r="S250" s="87" t="s">
        <v>114</v>
      </c>
      <c r="T250" s="72" t="s">
        <v>114</v>
      </c>
      <c r="U250" s="87" t="s">
        <v>191</v>
      </c>
      <c r="V250" s="87"/>
      <c r="W250" s="87"/>
      <c r="X250" s="87"/>
      <c r="Y250" s="87"/>
      <c r="Z250" s="87"/>
      <c r="AA250" s="87"/>
      <c r="AB250" s="87"/>
      <c r="AC250" s="87" t="s">
        <v>105</v>
      </c>
      <c r="AD250" s="87"/>
      <c r="AE250" s="87"/>
      <c r="AF250" s="87"/>
      <c r="AG250" s="87">
        <v>3</v>
      </c>
      <c r="AH250" s="87"/>
      <c r="AI250" s="87"/>
      <c r="AJ250" s="87"/>
      <c r="AK250" s="87"/>
      <c r="AL250" s="87"/>
      <c r="AM250" s="87"/>
      <c r="AN250" s="87"/>
      <c r="AO250" s="87"/>
      <c r="AP250" s="87"/>
      <c r="AQ250" s="87" t="s">
        <v>155</v>
      </c>
      <c r="AR250" s="87"/>
      <c r="AS250" s="87"/>
      <c r="AT250" s="87"/>
      <c r="AU250" s="87" t="s">
        <v>116</v>
      </c>
      <c r="AV250" s="87" t="s">
        <v>3286</v>
      </c>
      <c r="AW250" s="87">
        <v>2</v>
      </c>
      <c r="AX250" s="87" t="s">
        <v>3238</v>
      </c>
      <c r="AZ250" s="87" t="s">
        <v>3287</v>
      </c>
      <c r="BA250" s="87" t="s">
        <v>116</v>
      </c>
      <c r="BB250" s="87"/>
      <c r="BC250" s="87"/>
      <c r="BD250" s="87"/>
      <c r="BE250" s="87"/>
      <c r="BF250" s="87"/>
      <c r="BG250" s="87"/>
      <c r="BH250" s="87"/>
      <c r="BI250" s="87"/>
      <c r="BJ250" s="87">
        <v>4</v>
      </c>
      <c r="BK250" s="87" t="s">
        <v>3356</v>
      </c>
      <c r="BL250" s="87" t="s">
        <v>240</v>
      </c>
      <c r="BM250" s="87" t="s">
        <v>3352</v>
      </c>
      <c r="BN250" s="134">
        <v>-1.8362000000000001</v>
      </c>
      <c r="BO250" s="134">
        <v>-1.1114999999999999</v>
      </c>
      <c r="BP250" s="134">
        <v>-0.39369999999999999</v>
      </c>
      <c r="BQ250" t="s">
        <v>594</v>
      </c>
      <c r="BR250" s="122">
        <v>30</v>
      </c>
      <c r="BS250" s="134">
        <v>0.2369</v>
      </c>
      <c r="BT250" s="134">
        <v>0.94079999999999997</v>
      </c>
      <c r="BU250" s="134">
        <v>1.6725000000000001</v>
      </c>
      <c r="BV250" t="s">
        <v>594</v>
      </c>
      <c r="BW250" s="87">
        <v>30</v>
      </c>
      <c r="BX250" s="87"/>
      <c r="BY250" s="87"/>
      <c r="BZ250" s="87"/>
      <c r="CA250">
        <f t="shared" si="3"/>
        <v>0.36798469387755106</v>
      </c>
      <c r="CB250" s="87">
        <f t="shared" si="2"/>
        <v>0.36622448979591837</v>
      </c>
      <c r="CC250" s="87">
        <v>3</v>
      </c>
      <c r="CD250" s="87"/>
      <c r="CM250" s="87"/>
    </row>
    <row r="251" spans="2:91" ht="14" customHeight="1">
      <c r="B251" s="135" t="s">
        <v>3381</v>
      </c>
      <c r="C251">
        <v>2024</v>
      </c>
      <c r="D251" s="120" t="s">
        <v>3284</v>
      </c>
      <c r="E251" s="120" t="s">
        <v>3343</v>
      </c>
      <c r="F251" s="72" t="s">
        <v>90</v>
      </c>
      <c r="G251" s="120" t="s">
        <v>3280</v>
      </c>
      <c r="H251" s="120"/>
      <c r="I251" s="87" t="s">
        <v>3351</v>
      </c>
      <c r="J251" s="87"/>
      <c r="K251" s="87"/>
      <c r="L251" s="87"/>
      <c r="M251" t="s">
        <v>95</v>
      </c>
      <c r="N251" s="87" t="s">
        <v>3285</v>
      </c>
      <c r="O251" s="87"/>
      <c r="P251" s="87"/>
      <c r="Q251" s="87"/>
      <c r="R251" s="87"/>
      <c r="S251" s="87" t="s">
        <v>114</v>
      </c>
      <c r="T251" s="72" t="s">
        <v>114</v>
      </c>
      <c r="U251" s="87" t="s">
        <v>191</v>
      </c>
      <c r="V251" s="87"/>
      <c r="W251" s="87"/>
      <c r="X251" s="87"/>
      <c r="Y251" s="87"/>
      <c r="Z251" s="87"/>
      <c r="AA251" s="87"/>
      <c r="AB251" s="87"/>
      <c r="AC251" s="87" t="s">
        <v>105</v>
      </c>
      <c r="AD251" s="87"/>
      <c r="AE251" s="87"/>
      <c r="AF251" s="87"/>
      <c r="AG251" s="87">
        <v>3</v>
      </c>
      <c r="AH251" s="87"/>
      <c r="AI251" s="87"/>
      <c r="AJ251" s="87"/>
      <c r="AK251" s="87"/>
      <c r="AL251" s="87"/>
      <c r="AM251" s="87"/>
      <c r="AN251" s="87"/>
      <c r="AO251" s="87"/>
      <c r="AP251" s="87"/>
      <c r="AQ251" s="87" t="s">
        <v>155</v>
      </c>
      <c r="AR251" s="87"/>
      <c r="AS251" s="87"/>
      <c r="AT251" s="87"/>
      <c r="AU251" s="87" t="s">
        <v>116</v>
      </c>
      <c r="AV251" s="87" t="s">
        <v>3286</v>
      </c>
      <c r="AW251" s="87">
        <v>2</v>
      </c>
      <c r="AX251" s="87" t="s">
        <v>3238</v>
      </c>
      <c r="AZ251" s="87" t="s">
        <v>3287</v>
      </c>
      <c r="BA251" s="87" t="s">
        <v>116</v>
      </c>
      <c r="BB251" s="87"/>
      <c r="BC251" s="87"/>
      <c r="BD251" s="87"/>
      <c r="BE251" s="87"/>
      <c r="BF251" s="87"/>
      <c r="BG251" s="87"/>
      <c r="BH251" s="87"/>
      <c r="BI251" s="87"/>
      <c r="BJ251" s="87">
        <v>0</v>
      </c>
      <c r="BK251" s="87" t="s">
        <v>3357</v>
      </c>
      <c r="BL251" s="87" t="s">
        <v>240</v>
      </c>
      <c r="BM251" s="87" t="s">
        <v>3352</v>
      </c>
      <c r="BN251" s="134">
        <v>-8.7099999999999997E-2</v>
      </c>
      <c r="BO251" s="134">
        <v>0.56789999999999996</v>
      </c>
      <c r="BP251" s="134">
        <v>1.2369000000000001</v>
      </c>
      <c r="BQ251" t="s">
        <v>594</v>
      </c>
      <c r="BR251" s="122">
        <v>30</v>
      </c>
      <c r="BS251" s="134">
        <v>-0.16020000000000001</v>
      </c>
      <c r="BT251" s="134">
        <v>0.51570000000000005</v>
      </c>
      <c r="BU251" s="134">
        <v>1.1847000000000001</v>
      </c>
      <c r="BV251" t="s">
        <v>594</v>
      </c>
      <c r="BW251" s="87">
        <v>30</v>
      </c>
      <c r="BX251" s="87"/>
      <c r="BY251" s="87"/>
      <c r="BZ251" s="87"/>
      <c r="CA251">
        <f t="shared" si="3"/>
        <v>0.33775510204081632</v>
      </c>
      <c r="CB251" s="87">
        <f t="shared" si="2"/>
        <v>0.34308673469387757</v>
      </c>
      <c r="CC251" s="87">
        <v>3</v>
      </c>
      <c r="CD251" s="87"/>
    </row>
    <row r="252" spans="2:91" ht="14" customHeight="1">
      <c r="B252" s="135" t="s">
        <v>3381</v>
      </c>
      <c r="C252">
        <v>2024</v>
      </c>
      <c r="D252" s="120" t="s">
        <v>3284</v>
      </c>
      <c r="E252" s="120" t="s">
        <v>3343</v>
      </c>
      <c r="F252" s="72" t="s">
        <v>90</v>
      </c>
      <c r="G252" s="120" t="s">
        <v>3280</v>
      </c>
      <c r="H252" s="120"/>
      <c r="I252" s="87" t="s">
        <v>3351</v>
      </c>
      <c r="J252" s="87"/>
      <c r="K252" s="87"/>
      <c r="L252" s="87"/>
      <c r="M252" t="s">
        <v>95</v>
      </c>
      <c r="N252" s="87" t="s">
        <v>3285</v>
      </c>
      <c r="O252" s="87"/>
      <c r="P252" s="87"/>
      <c r="Q252" s="87"/>
      <c r="R252" s="87"/>
      <c r="S252" s="87" t="s">
        <v>114</v>
      </c>
      <c r="T252" s="72" t="s">
        <v>114</v>
      </c>
      <c r="U252" s="87" t="s">
        <v>191</v>
      </c>
      <c r="V252" s="87"/>
      <c r="W252" s="87"/>
      <c r="X252" s="87"/>
      <c r="Y252" s="87"/>
      <c r="Z252" s="87"/>
      <c r="AA252" s="87"/>
      <c r="AB252" s="87"/>
      <c r="AC252" s="87" t="s">
        <v>105</v>
      </c>
      <c r="AD252" s="87"/>
      <c r="AE252" s="87"/>
      <c r="AF252" s="87"/>
      <c r="AG252" s="87">
        <v>3</v>
      </c>
      <c r="AH252" s="87"/>
      <c r="AI252" s="87"/>
      <c r="AJ252" s="87"/>
      <c r="AK252" s="87"/>
      <c r="AL252" s="87"/>
      <c r="AM252" s="87"/>
      <c r="AN252" s="87"/>
      <c r="AO252" s="87"/>
      <c r="AP252" s="87"/>
      <c r="AQ252" s="87" t="s">
        <v>155</v>
      </c>
      <c r="AR252" s="87"/>
      <c r="AS252" s="87"/>
      <c r="AT252" s="87"/>
      <c r="AU252" s="87" t="s">
        <v>116</v>
      </c>
      <c r="AV252" s="87" t="s">
        <v>3286</v>
      </c>
      <c r="AW252" s="87">
        <v>2</v>
      </c>
      <c r="AX252" s="87" t="s">
        <v>3238</v>
      </c>
      <c r="AZ252" s="87" t="s">
        <v>3287</v>
      </c>
      <c r="BA252" s="87" t="s">
        <v>116</v>
      </c>
      <c r="BB252" s="87"/>
      <c r="BC252" s="87"/>
      <c r="BD252" s="87"/>
      <c r="BE252" s="87"/>
      <c r="BF252" s="87"/>
      <c r="BG252" s="87"/>
      <c r="BH252" s="87"/>
      <c r="BI252" s="87"/>
      <c r="BJ252" s="87">
        <v>4</v>
      </c>
      <c r="BK252" s="87" t="s">
        <v>3358</v>
      </c>
      <c r="BL252" s="87" t="s">
        <v>240</v>
      </c>
      <c r="BM252" s="87" t="s">
        <v>3352</v>
      </c>
      <c r="BN252" s="134">
        <v>-1.0488</v>
      </c>
      <c r="BO252" s="134">
        <v>-0.1007</v>
      </c>
      <c r="BP252" s="134">
        <v>0.2334</v>
      </c>
      <c r="BQ252" t="s">
        <v>594</v>
      </c>
      <c r="BR252" s="122">
        <v>30</v>
      </c>
      <c r="BS252" s="134">
        <v>0.2369</v>
      </c>
      <c r="BT252" s="134">
        <v>0.94079999999999997</v>
      </c>
      <c r="BU252" s="134">
        <v>1.6725000000000001</v>
      </c>
      <c r="BV252" t="s">
        <v>594</v>
      </c>
      <c r="BW252" s="87">
        <v>30</v>
      </c>
      <c r="BX252" s="87"/>
      <c r="BY252" s="87"/>
      <c r="BZ252" s="87"/>
      <c r="CA252">
        <f t="shared" si="3"/>
        <v>0.32709183673469389</v>
      </c>
      <c r="CB252" s="87">
        <f t="shared" si="2"/>
        <v>0.36622448979591837</v>
      </c>
      <c r="CC252" s="87">
        <v>3</v>
      </c>
      <c r="CD252" s="87"/>
    </row>
    <row r="253" spans="2:91" ht="14" customHeight="1">
      <c r="B253" s="135" t="s">
        <v>3381</v>
      </c>
      <c r="C253">
        <v>2024</v>
      </c>
      <c r="D253" s="120" t="s">
        <v>3284</v>
      </c>
      <c r="E253" s="120" t="s">
        <v>3343</v>
      </c>
      <c r="F253" s="72" t="s">
        <v>90</v>
      </c>
      <c r="G253" s="120" t="s">
        <v>3280</v>
      </c>
      <c r="H253" s="120"/>
      <c r="I253" s="87" t="s">
        <v>3351</v>
      </c>
      <c r="J253" s="87"/>
      <c r="K253" s="87"/>
      <c r="L253" s="87"/>
      <c r="M253" t="s">
        <v>95</v>
      </c>
      <c r="N253" s="87" t="s">
        <v>3285</v>
      </c>
      <c r="O253" s="87"/>
      <c r="P253" s="87"/>
      <c r="Q253" s="87"/>
      <c r="R253" s="87"/>
      <c r="S253" s="87" t="s">
        <v>114</v>
      </c>
      <c r="T253" s="72" t="s">
        <v>114</v>
      </c>
      <c r="U253" s="87" t="s">
        <v>191</v>
      </c>
      <c r="V253" s="87"/>
      <c r="W253" s="87"/>
      <c r="X253" s="87"/>
      <c r="Y253" s="87"/>
      <c r="Z253" s="87"/>
      <c r="AA253" s="87"/>
      <c r="AB253" s="87"/>
      <c r="AC253" s="87" t="s">
        <v>105</v>
      </c>
      <c r="AD253" s="87"/>
      <c r="AE253" s="87"/>
      <c r="AF253" s="87"/>
      <c r="AG253" s="87">
        <v>3</v>
      </c>
      <c r="AH253" s="87"/>
      <c r="AI253" s="87"/>
      <c r="AJ253" s="87"/>
      <c r="AK253" s="87"/>
      <c r="AL253" s="87"/>
      <c r="AM253" s="87"/>
      <c r="AN253" s="87"/>
      <c r="AO253" s="87"/>
      <c r="AP253" s="87"/>
      <c r="AQ253" s="87" t="s">
        <v>155</v>
      </c>
      <c r="AR253" s="87"/>
      <c r="AS253" s="87"/>
      <c r="AT253" s="87"/>
      <c r="AU253" s="87" t="s">
        <v>116</v>
      </c>
      <c r="AV253" s="87" t="s">
        <v>3286</v>
      </c>
      <c r="AW253" s="87">
        <v>2</v>
      </c>
      <c r="AX253" s="87" t="s">
        <v>3238</v>
      </c>
      <c r="AZ253" s="87" t="s">
        <v>3287</v>
      </c>
      <c r="BA253" s="87" t="s">
        <v>116</v>
      </c>
      <c r="BB253" s="87"/>
      <c r="BC253" s="87"/>
      <c r="BD253" s="87"/>
      <c r="BE253" s="87"/>
      <c r="BF253" s="87"/>
      <c r="BG253" s="87"/>
      <c r="BH253" s="87"/>
      <c r="BI253" s="87"/>
      <c r="BJ253" s="87">
        <v>0</v>
      </c>
      <c r="BK253" s="87" t="s">
        <v>3359</v>
      </c>
      <c r="BL253" s="87" t="s">
        <v>240</v>
      </c>
      <c r="BM253" s="87" t="s">
        <v>3352</v>
      </c>
      <c r="BN253" s="134">
        <v>0.48430000000000001</v>
      </c>
      <c r="BO253" s="134">
        <v>1.2091000000000001</v>
      </c>
      <c r="BP253" s="134">
        <v>1.9338</v>
      </c>
      <c r="BQ253" t="s">
        <v>594</v>
      </c>
      <c r="BR253" s="122">
        <v>30</v>
      </c>
      <c r="BS253" s="134">
        <v>-0.16020000000000001</v>
      </c>
      <c r="BT253" s="134">
        <v>0.51570000000000005</v>
      </c>
      <c r="BU253" s="134">
        <v>1.1847000000000001</v>
      </c>
      <c r="BV253" t="s">
        <v>594</v>
      </c>
      <c r="BW253" s="87">
        <v>30</v>
      </c>
      <c r="BX253" s="87"/>
      <c r="BY253" s="87"/>
      <c r="BZ253" s="87"/>
      <c r="CA253">
        <f t="shared" si="3"/>
        <v>0.36977040816326534</v>
      </c>
      <c r="CB253" s="87">
        <f t="shared" si="2"/>
        <v>0.34308673469387757</v>
      </c>
      <c r="CC253" s="87">
        <v>3</v>
      </c>
      <c r="CD253" s="87"/>
    </row>
    <row r="254" spans="2:91" ht="14" customHeight="1">
      <c r="B254" s="135" t="s">
        <v>3381</v>
      </c>
      <c r="C254">
        <v>2024</v>
      </c>
      <c r="D254" s="120" t="s">
        <v>3284</v>
      </c>
      <c r="E254" s="120" t="s">
        <v>3343</v>
      </c>
      <c r="F254" s="72" t="s">
        <v>90</v>
      </c>
      <c r="G254" s="120" t="s">
        <v>3280</v>
      </c>
      <c r="H254" s="120"/>
      <c r="I254" s="87" t="s">
        <v>3351</v>
      </c>
      <c r="J254" s="87"/>
      <c r="K254" s="87"/>
      <c r="L254" s="87"/>
      <c r="M254" t="s">
        <v>95</v>
      </c>
      <c r="N254" s="87" t="s">
        <v>3285</v>
      </c>
      <c r="O254" s="87"/>
      <c r="P254" s="87"/>
      <c r="Q254" s="87"/>
      <c r="R254" s="87"/>
      <c r="S254" s="87" t="s">
        <v>114</v>
      </c>
      <c r="T254" s="72" t="s">
        <v>114</v>
      </c>
      <c r="U254" s="87" t="s">
        <v>191</v>
      </c>
      <c r="V254" s="87"/>
      <c r="W254" s="87"/>
      <c r="X254" s="87"/>
      <c r="Y254" s="87"/>
      <c r="Z254" s="87"/>
      <c r="AA254" s="87"/>
      <c r="AB254" s="87"/>
      <c r="AC254" s="87" t="s">
        <v>105</v>
      </c>
      <c r="AD254" s="87"/>
      <c r="AE254" s="87"/>
      <c r="AF254" s="87"/>
      <c r="AG254" s="87">
        <v>3</v>
      </c>
      <c r="AH254" s="87"/>
      <c r="AI254" s="87"/>
      <c r="AJ254" s="87"/>
      <c r="AK254" s="87"/>
      <c r="AL254" s="87"/>
      <c r="AM254" s="87"/>
      <c r="AN254" s="87"/>
      <c r="AO254" s="87"/>
      <c r="AP254" s="87"/>
      <c r="AQ254" s="87" t="s">
        <v>155</v>
      </c>
      <c r="AR254" s="87"/>
      <c r="AS254" s="87"/>
      <c r="AT254" s="87"/>
      <c r="AU254" s="87" t="s">
        <v>116</v>
      </c>
      <c r="AV254" s="87" t="s">
        <v>3286</v>
      </c>
      <c r="AW254" s="87">
        <v>2</v>
      </c>
      <c r="AX254" s="87" t="s">
        <v>3238</v>
      </c>
      <c r="AZ254" s="87" t="s">
        <v>3287</v>
      </c>
      <c r="BA254" s="87" t="s">
        <v>116</v>
      </c>
      <c r="BB254" s="87"/>
      <c r="BC254" s="87"/>
      <c r="BD254" s="87"/>
      <c r="BE254" s="87"/>
      <c r="BF254" s="87"/>
      <c r="BG254" s="87"/>
      <c r="BH254" s="87"/>
      <c r="BI254" s="87"/>
      <c r="BJ254" s="87">
        <v>4</v>
      </c>
      <c r="BK254" s="87" t="s">
        <v>3360</v>
      </c>
      <c r="BL254" s="87" t="s">
        <v>240</v>
      </c>
      <c r="BM254" s="87" t="s">
        <v>3352</v>
      </c>
      <c r="BN254" s="134">
        <v>-0.34489999999999998</v>
      </c>
      <c r="BO254" s="134">
        <v>0.31709999999999999</v>
      </c>
      <c r="BP254" s="134">
        <v>0.97209999999999996</v>
      </c>
      <c r="BQ254" t="s">
        <v>594</v>
      </c>
      <c r="BR254" s="122">
        <v>30</v>
      </c>
      <c r="BS254" s="134">
        <v>0.2369</v>
      </c>
      <c r="BT254" s="134">
        <v>0.94079999999999997</v>
      </c>
      <c r="BU254" s="134">
        <v>1.6725000000000001</v>
      </c>
      <c r="BV254" t="s">
        <v>594</v>
      </c>
      <c r="BW254" s="87">
        <v>30</v>
      </c>
      <c r="BX254" s="87"/>
      <c r="BY254" s="87"/>
      <c r="BZ254" s="87"/>
      <c r="CA254">
        <f>(BP254-BN254)/(2*1.96)</f>
        <v>0.33596938775510204</v>
      </c>
      <c r="CB254" s="87">
        <f t="shared" si="2"/>
        <v>0.36622448979591837</v>
      </c>
      <c r="CC254" s="87">
        <v>3</v>
      </c>
      <c r="CD254" s="87"/>
    </row>
    <row r="255" spans="2:91" ht="14" customHeight="1">
      <c r="B255" s="135" t="s">
        <v>3382</v>
      </c>
      <c r="C255" s="87">
        <v>2025</v>
      </c>
      <c r="D255" s="120" t="s">
        <v>3320</v>
      </c>
      <c r="E255" s="120" t="s">
        <v>3346</v>
      </c>
      <c r="F255" s="72" t="s">
        <v>90</v>
      </c>
      <c r="G255" s="120" t="s">
        <v>3280</v>
      </c>
      <c r="H255" s="120"/>
      <c r="I255" s="87" t="s">
        <v>3351</v>
      </c>
      <c r="J255" s="87"/>
      <c r="K255" s="87"/>
      <c r="L255" s="87"/>
      <c r="M255" t="s">
        <v>95</v>
      </c>
      <c r="N255" s="87"/>
      <c r="O255" s="87"/>
      <c r="P255" s="87"/>
      <c r="Q255" s="87"/>
      <c r="R255" s="87"/>
      <c r="S255" s="87" t="s">
        <v>114</v>
      </c>
      <c r="T255" s="72" t="s">
        <v>114</v>
      </c>
      <c r="U255" s="87" t="s">
        <v>191</v>
      </c>
      <c r="V255" s="87"/>
      <c r="W255" s="87"/>
      <c r="X255" s="87"/>
      <c r="Y255" s="87"/>
      <c r="Z255" s="87"/>
      <c r="AA255" s="87"/>
      <c r="AB255" s="87"/>
      <c r="AC255" s="87" t="s">
        <v>105</v>
      </c>
      <c r="AD255" s="87"/>
      <c r="AE255" s="87"/>
      <c r="AF255" s="87"/>
      <c r="AG255" s="87">
        <v>3</v>
      </c>
      <c r="AH255" s="87"/>
      <c r="AI255" s="87"/>
      <c r="AJ255" s="87"/>
      <c r="AK255" s="87"/>
      <c r="AL255" s="87"/>
      <c r="AM255" s="87"/>
      <c r="AN255" s="87"/>
      <c r="AO255" s="87"/>
      <c r="AP255" s="87"/>
      <c r="AQ255" s="87" t="s">
        <v>155</v>
      </c>
      <c r="AR255" s="87"/>
      <c r="AS255" s="87"/>
      <c r="AT255" s="87"/>
      <c r="AU255" s="87" t="s">
        <v>116</v>
      </c>
      <c r="AV255" s="87" t="s">
        <v>3255</v>
      </c>
      <c r="AW255" s="87">
        <v>2</v>
      </c>
      <c r="AX255" s="87" t="s">
        <v>3322</v>
      </c>
      <c r="AZ255" s="87" t="s">
        <v>3241</v>
      </c>
      <c r="BA255" s="87" t="s">
        <v>116</v>
      </c>
      <c r="BB255" s="87"/>
      <c r="BC255" s="87"/>
      <c r="BD255" s="87"/>
      <c r="BE255" s="87"/>
      <c r="BF255" s="87"/>
      <c r="BG255" s="87"/>
      <c r="BH255" s="87"/>
      <c r="BI255" s="87"/>
      <c r="BJ255" s="87">
        <v>0</v>
      </c>
      <c r="BK255" s="87" t="s">
        <v>3323</v>
      </c>
      <c r="BL255" s="87" t="s">
        <v>240</v>
      </c>
      <c r="BM255" s="87" t="s">
        <v>3361</v>
      </c>
      <c r="BN255" s="134">
        <v>2.4211</v>
      </c>
      <c r="BO255" s="134">
        <v>14.526300000000001</v>
      </c>
      <c r="BP255" s="134">
        <v>18.2105</v>
      </c>
      <c r="BQ255" s="122" t="s">
        <v>594</v>
      </c>
      <c r="BR255" s="122">
        <v>8</v>
      </c>
      <c r="BS255" s="134">
        <v>13.1579</v>
      </c>
      <c r="BT255" s="134">
        <v>25.157900000000001</v>
      </c>
      <c r="BU255" s="134">
        <v>39.8947</v>
      </c>
      <c r="BV255" s="122" t="s">
        <v>594</v>
      </c>
      <c r="BW255" s="87">
        <v>8</v>
      </c>
      <c r="BX255" s="87"/>
      <c r="BY255" s="87"/>
      <c r="BZ255" s="87"/>
      <c r="CA255">
        <f t="shared" si="3"/>
        <v>4.0279081632653062</v>
      </c>
      <c r="CB255" s="87">
        <f t="shared" si="2"/>
        <v>6.8206122448979603</v>
      </c>
      <c r="CC255" s="87">
        <v>3</v>
      </c>
      <c r="CD255" s="87"/>
    </row>
    <row r="256" spans="2:91" ht="14" customHeight="1">
      <c r="B256" s="135" t="s">
        <v>3382</v>
      </c>
      <c r="C256" s="87">
        <v>2025</v>
      </c>
      <c r="D256" s="120" t="s">
        <v>3320</v>
      </c>
      <c r="E256" s="120" t="s">
        <v>3346</v>
      </c>
      <c r="F256" s="72" t="s">
        <v>90</v>
      </c>
      <c r="G256" s="120" t="s">
        <v>3280</v>
      </c>
      <c r="H256" s="120"/>
      <c r="I256" s="87" t="s">
        <v>3351</v>
      </c>
      <c r="J256" s="87"/>
      <c r="K256" s="87"/>
      <c r="L256" s="87"/>
      <c r="M256" t="s">
        <v>95</v>
      </c>
      <c r="N256" s="87"/>
      <c r="O256" s="87"/>
      <c r="P256" s="87"/>
      <c r="Q256" s="87"/>
      <c r="R256" s="87"/>
      <c r="S256" s="87" t="s">
        <v>114</v>
      </c>
      <c r="T256" s="72" t="s">
        <v>114</v>
      </c>
      <c r="U256" s="87" t="s">
        <v>191</v>
      </c>
      <c r="V256" s="87"/>
      <c r="W256" s="87"/>
      <c r="X256" s="87"/>
      <c r="Y256" s="87"/>
      <c r="Z256" s="87"/>
      <c r="AA256" s="87"/>
      <c r="AB256" s="87"/>
      <c r="AC256" s="87" t="s">
        <v>105</v>
      </c>
      <c r="AD256" s="87"/>
      <c r="AE256" s="87"/>
      <c r="AF256" s="87"/>
      <c r="AG256" s="87">
        <v>3</v>
      </c>
      <c r="AH256" s="87"/>
      <c r="AI256" s="87"/>
      <c r="AJ256" s="87"/>
      <c r="AK256" s="87"/>
      <c r="AL256" s="87"/>
      <c r="AM256" s="87"/>
      <c r="AN256" s="87"/>
      <c r="AO256" s="87"/>
      <c r="AP256" s="87"/>
      <c r="AQ256" s="87" t="s">
        <v>155</v>
      </c>
      <c r="AR256" s="87"/>
      <c r="AS256" s="87"/>
      <c r="AT256" s="87"/>
      <c r="AU256" s="87" t="s">
        <v>116</v>
      </c>
      <c r="AV256" s="87" t="s">
        <v>3255</v>
      </c>
      <c r="AW256" s="87">
        <v>2</v>
      </c>
      <c r="AX256" s="87" t="s">
        <v>3322</v>
      </c>
      <c r="AZ256" s="87" t="s">
        <v>3241</v>
      </c>
      <c r="BA256" s="87" t="s">
        <v>116</v>
      </c>
      <c r="BB256" s="87"/>
      <c r="BC256" s="87"/>
      <c r="BD256" s="87"/>
      <c r="BE256" s="87"/>
      <c r="BF256" s="87"/>
      <c r="BG256" s="87"/>
      <c r="BH256" s="87"/>
      <c r="BI256" s="87"/>
      <c r="BJ256" s="87">
        <v>0</v>
      </c>
      <c r="BK256" s="87" t="s">
        <v>3325</v>
      </c>
      <c r="BL256" s="87" t="s">
        <v>240</v>
      </c>
      <c r="BM256" s="87" t="s">
        <v>3361</v>
      </c>
      <c r="BN256" s="134">
        <v>7.2632000000000003</v>
      </c>
      <c r="BO256" s="134">
        <v>15.0526</v>
      </c>
      <c r="BP256" s="134">
        <v>21.157900000000001</v>
      </c>
      <c r="BQ256" s="122" t="s">
        <v>594</v>
      </c>
      <c r="BR256" s="122">
        <v>8</v>
      </c>
      <c r="BS256" s="134">
        <v>16.0001</v>
      </c>
      <c r="BT256" s="134">
        <v>18.526299999999999</v>
      </c>
      <c r="BU256" s="134">
        <v>21.052600000000002</v>
      </c>
      <c r="BV256" s="122" t="s">
        <v>594</v>
      </c>
      <c r="BW256" s="87">
        <v>8</v>
      </c>
      <c r="BX256" s="87"/>
      <c r="BY256" s="87"/>
      <c r="BZ256" s="87"/>
      <c r="CA256">
        <f t="shared" si="3"/>
        <v>3.5445663265306124</v>
      </c>
      <c r="CB256" s="87">
        <f t="shared" si="2"/>
        <v>1.2889030612244903</v>
      </c>
      <c r="CC256" s="87">
        <v>3</v>
      </c>
      <c r="CD256" s="87"/>
    </row>
    <row r="257" spans="2:82" ht="14" customHeight="1">
      <c r="B257" s="135" t="s">
        <v>3382</v>
      </c>
      <c r="C257" s="87">
        <v>2025</v>
      </c>
      <c r="D257" s="120" t="s">
        <v>3320</v>
      </c>
      <c r="E257" s="120" t="s">
        <v>3346</v>
      </c>
      <c r="F257" s="72" t="s">
        <v>90</v>
      </c>
      <c r="G257" s="120" t="s">
        <v>3280</v>
      </c>
      <c r="H257" s="120"/>
      <c r="I257" s="87" t="s">
        <v>3351</v>
      </c>
      <c r="J257" s="87"/>
      <c r="K257" s="87"/>
      <c r="L257" s="87"/>
      <c r="M257" t="s">
        <v>95</v>
      </c>
      <c r="N257" s="87"/>
      <c r="O257" s="87"/>
      <c r="P257" s="87"/>
      <c r="Q257" s="87"/>
      <c r="R257" s="87"/>
      <c r="S257" s="87" t="s">
        <v>114</v>
      </c>
      <c r="T257" s="72" t="s">
        <v>114</v>
      </c>
      <c r="U257" s="87" t="s">
        <v>191</v>
      </c>
      <c r="V257" s="87"/>
      <c r="W257" s="87"/>
      <c r="X257" s="87"/>
      <c r="Y257" s="87"/>
      <c r="Z257" s="87"/>
      <c r="AA257" s="87"/>
      <c r="AB257" s="87"/>
      <c r="AC257" s="87" t="s">
        <v>105</v>
      </c>
      <c r="AD257" s="87"/>
      <c r="AE257" s="87"/>
      <c r="AF257" s="87"/>
      <c r="AG257" s="87">
        <v>3</v>
      </c>
      <c r="AH257" s="87"/>
      <c r="AI257" s="87"/>
      <c r="AJ257" s="87"/>
      <c r="AK257" s="87"/>
      <c r="AL257" s="87"/>
      <c r="AM257" s="87"/>
      <c r="AN257" s="87"/>
      <c r="AO257" s="87"/>
      <c r="AP257" s="87"/>
      <c r="AQ257" s="87" t="s">
        <v>155</v>
      </c>
      <c r="AR257" s="87"/>
      <c r="AS257" s="87"/>
      <c r="AT257" s="87"/>
      <c r="AU257" s="87" t="s">
        <v>116</v>
      </c>
      <c r="AV257" s="87" t="s">
        <v>3255</v>
      </c>
      <c r="AW257" s="87">
        <v>2</v>
      </c>
      <c r="AX257" s="87" t="s">
        <v>3322</v>
      </c>
      <c r="AZ257" s="87" t="s">
        <v>3241</v>
      </c>
      <c r="BA257" s="87" t="s">
        <v>116</v>
      </c>
      <c r="BB257" s="87"/>
      <c r="BC257" s="87"/>
      <c r="BD257" s="87"/>
      <c r="BE257" s="87"/>
      <c r="BF257" s="87"/>
      <c r="BG257" s="87"/>
      <c r="BH257" s="87"/>
      <c r="BI257" s="87"/>
      <c r="BJ257" s="87">
        <v>4</v>
      </c>
      <c r="BK257" s="87" t="s">
        <v>3349</v>
      </c>
      <c r="BL257" s="87" t="s">
        <v>240</v>
      </c>
      <c r="BM257" s="87" t="s">
        <v>3361</v>
      </c>
      <c r="BN257" s="134">
        <v>23.8947</v>
      </c>
      <c r="BO257" s="134">
        <v>27.473700000000001</v>
      </c>
      <c r="BP257" s="134">
        <v>34.947400000000002</v>
      </c>
      <c r="BQ257" s="122" t="s">
        <v>594</v>
      </c>
      <c r="BR257" s="122">
        <v>8</v>
      </c>
      <c r="BS257" s="134">
        <v>14.1053</v>
      </c>
      <c r="BT257" s="134">
        <v>21.578900000000001</v>
      </c>
      <c r="BU257" s="134">
        <v>32.315800000000003</v>
      </c>
      <c r="BV257" s="122" t="s">
        <v>594</v>
      </c>
      <c r="BW257" s="87">
        <v>8</v>
      </c>
      <c r="BX257" s="87"/>
      <c r="BY257" s="87"/>
      <c r="BZ257" s="87"/>
      <c r="CA257">
        <f t="shared" si="3"/>
        <v>2.8195663265306128</v>
      </c>
      <c r="CB257" s="87">
        <f t="shared" si="2"/>
        <v>4.6455357142857148</v>
      </c>
      <c r="CC257" s="87">
        <v>3</v>
      </c>
      <c r="CD257" s="87"/>
    </row>
    <row r="258" spans="2:82" ht="14" customHeight="1">
      <c r="B258" s="135" t="s">
        <v>3382</v>
      </c>
      <c r="C258" s="87">
        <v>2025</v>
      </c>
      <c r="D258" s="120" t="s">
        <v>3320</v>
      </c>
      <c r="E258" s="120" t="s">
        <v>3346</v>
      </c>
      <c r="F258" s="72" t="s">
        <v>90</v>
      </c>
      <c r="G258" s="120" t="s">
        <v>3280</v>
      </c>
      <c r="H258" s="120"/>
      <c r="I258" s="87" t="s">
        <v>3351</v>
      </c>
      <c r="J258" s="87"/>
      <c r="K258" s="87"/>
      <c r="L258" s="87"/>
      <c r="M258" t="s">
        <v>95</v>
      </c>
      <c r="N258" s="87"/>
      <c r="O258" s="87"/>
      <c r="P258" s="87"/>
      <c r="Q258" s="87"/>
      <c r="R258" s="87"/>
      <c r="S258" s="87" t="s">
        <v>114</v>
      </c>
      <c r="T258" s="72" t="s">
        <v>114</v>
      </c>
      <c r="U258" s="87" t="s">
        <v>191</v>
      </c>
      <c r="V258" s="87"/>
      <c r="W258" s="87"/>
      <c r="X258" s="87"/>
      <c r="Y258" s="87"/>
      <c r="Z258" s="87"/>
      <c r="AA258" s="87"/>
      <c r="AB258" s="87"/>
      <c r="AC258" s="87" t="s">
        <v>105</v>
      </c>
      <c r="AD258" s="87"/>
      <c r="AE258" s="87"/>
      <c r="AF258" s="87"/>
      <c r="AG258" s="87">
        <v>3</v>
      </c>
      <c r="AH258" s="87"/>
      <c r="AI258" s="87"/>
      <c r="AJ258" s="87"/>
      <c r="AK258" s="87"/>
      <c r="AL258" s="87"/>
      <c r="AM258" s="87"/>
      <c r="AN258" s="87"/>
      <c r="AO258" s="87"/>
      <c r="AP258" s="87"/>
      <c r="AQ258" s="87" t="s">
        <v>155</v>
      </c>
      <c r="AR258" s="87"/>
      <c r="AS258" s="87"/>
      <c r="AT258" s="87"/>
      <c r="AU258" s="87" t="s">
        <v>116</v>
      </c>
      <c r="AV258" s="87" t="s">
        <v>3255</v>
      </c>
      <c r="AW258" s="87">
        <v>2</v>
      </c>
      <c r="AX258" s="87" t="s">
        <v>3322</v>
      </c>
      <c r="AZ258" s="87" t="s">
        <v>3241</v>
      </c>
      <c r="BA258" s="87" t="s">
        <v>116</v>
      </c>
      <c r="BB258" s="87"/>
      <c r="BC258" s="87"/>
      <c r="BD258" s="87"/>
      <c r="BE258" s="87"/>
      <c r="BF258" s="87"/>
      <c r="BG258" s="87"/>
      <c r="BH258" s="87"/>
      <c r="BI258" s="87"/>
      <c r="BJ258" s="87">
        <v>4</v>
      </c>
      <c r="BK258" s="87" t="s">
        <v>3350</v>
      </c>
      <c r="BL258" s="87" t="s">
        <v>240</v>
      </c>
      <c r="BM258" s="87" t="s">
        <v>3361</v>
      </c>
      <c r="BN258" s="134">
        <v>13.1579</v>
      </c>
      <c r="BO258" s="134">
        <v>23.473700000000001</v>
      </c>
      <c r="BP258" s="134">
        <v>29.052600000000002</v>
      </c>
      <c r="BQ258" s="122" t="s">
        <v>594</v>
      </c>
      <c r="BR258" s="122">
        <v>8</v>
      </c>
      <c r="BS258" s="134">
        <v>17.263200000000001</v>
      </c>
      <c r="BT258" s="134">
        <v>25.052600000000002</v>
      </c>
      <c r="BU258" s="134">
        <v>39.157899999999998</v>
      </c>
      <c r="BV258" s="122" t="s">
        <v>594</v>
      </c>
      <c r="BW258" s="87">
        <v>8</v>
      </c>
      <c r="BX258" s="87"/>
      <c r="BY258" s="87"/>
      <c r="BZ258" s="87"/>
      <c r="CA258">
        <f t="shared" si="3"/>
        <v>4.0547704081632663</v>
      </c>
      <c r="CB258" s="87">
        <f t="shared" si="2"/>
        <v>5.5853826530612238</v>
      </c>
      <c r="CC258" s="87">
        <v>3</v>
      </c>
      <c r="CD258" s="87"/>
    </row>
    <row r="259" spans="2:82" ht="14" customHeight="1">
      <c r="B259" s="135" t="s">
        <v>3326</v>
      </c>
      <c r="C259">
        <v>2024</v>
      </c>
      <c r="D259" s="120" t="s">
        <v>3327</v>
      </c>
      <c r="E259" s="120" t="s">
        <v>3340</v>
      </c>
      <c r="F259" s="72" t="s">
        <v>90</v>
      </c>
      <c r="G259" s="120" t="s">
        <v>3280</v>
      </c>
      <c r="H259" s="120"/>
      <c r="I259" s="87" t="s">
        <v>3362</v>
      </c>
      <c r="J259" s="87"/>
      <c r="K259" s="87"/>
      <c r="L259" s="87"/>
      <c r="M259" t="s">
        <v>95</v>
      </c>
      <c r="N259" s="87"/>
      <c r="O259" s="87"/>
      <c r="P259" s="87"/>
      <c r="Q259" s="87"/>
      <c r="R259" s="87"/>
      <c r="S259" s="87" t="s">
        <v>114</v>
      </c>
      <c r="T259" s="72" t="s">
        <v>114</v>
      </c>
      <c r="U259" s="87" t="s">
        <v>141</v>
      </c>
      <c r="V259" s="87"/>
      <c r="W259" s="87"/>
      <c r="X259" s="87"/>
      <c r="Y259" s="87"/>
      <c r="Z259" s="87"/>
      <c r="AA259" s="87"/>
      <c r="AB259" s="87"/>
      <c r="AC259" s="87" t="s">
        <v>105</v>
      </c>
      <c r="AD259" s="87"/>
      <c r="AE259" s="87"/>
      <c r="AF259" s="87"/>
      <c r="AG259" s="87">
        <v>2</v>
      </c>
      <c r="AH259" s="87"/>
      <c r="AI259" s="87"/>
      <c r="AJ259" s="87"/>
      <c r="AK259" s="87"/>
      <c r="AL259" s="87"/>
      <c r="AM259" s="87"/>
      <c r="AN259" s="87"/>
      <c r="AO259" s="87"/>
      <c r="AP259" s="87"/>
      <c r="AQ259" s="87" t="s">
        <v>155</v>
      </c>
      <c r="AR259" s="87"/>
      <c r="AS259" s="87"/>
      <c r="AT259" s="87"/>
      <c r="AU259" s="87" t="s">
        <v>116</v>
      </c>
      <c r="AV259" s="87" t="s">
        <v>3255</v>
      </c>
      <c r="AW259" s="87">
        <v>2</v>
      </c>
      <c r="AX259" s="87"/>
      <c r="AZ259" s="87"/>
      <c r="BA259" s="87"/>
      <c r="BB259" s="87"/>
      <c r="BC259" s="87"/>
      <c r="BD259" s="87"/>
      <c r="BE259" s="87"/>
      <c r="BF259" s="87"/>
      <c r="BG259" s="87"/>
      <c r="BH259" s="87"/>
      <c r="BI259" s="87"/>
      <c r="BJ259" s="87">
        <v>0</v>
      </c>
      <c r="BK259" s="87" t="s">
        <v>126</v>
      </c>
      <c r="BL259" s="87" t="s">
        <v>355</v>
      </c>
      <c r="BM259" s="87" t="s">
        <v>3257</v>
      </c>
      <c r="BN259" s="134">
        <v>102.57429999999999</v>
      </c>
      <c r="BO259" s="134">
        <v>111.48520000000001</v>
      </c>
      <c r="BP259" s="134">
        <v>124.8515</v>
      </c>
      <c r="BQ259" t="s">
        <v>3329</v>
      </c>
      <c r="BR259" s="122">
        <v>68</v>
      </c>
      <c r="BS259" s="134">
        <v>115.04949999999999</v>
      </c>
      <c r="BT259" s="134">
        <v>126.9307</v>
      </c>
      <c r="BU259" s="134">
        <v>139.703</v>
      </c>
      <c r="BV259" t="s">
        <v>3329</v>
      </c>
      <c r="BW259" s="87">
        <v>69</v>
      </c>
      <c r="BX259" s="87"/>
      <c r="BY259" s="87"/>
      <c r="BZ259" s="87"/>
      <c r="CA259" s="87">
        <f>BP259-BO259</f>
        <v>13.366299999999995</v>
      </c>
      <c r="CB259" s="87">
        <f>BU259-BT259</f>
        <v>12.772300000000001</v>
      </c>
      <c r="CC259" s="87" t="s">
        <v>3259</v>
      </c>
      <c r="CD259" s="87"/>
    </row>
    <row r="260" spans="2:82" ht="14" customHeight="1">
      <c r="B260" s="135" t="s">
        <v>3326</v>
      </c>
      <c r="C260">
        <v>2024</v>
      </c>
      <c r="D260" s="120" t="s">
        <v>3327</v>
      </c>
      <c r="E260" s="120" t="s">
        <v>3340</v>
      </c>
      <c r="F260" s="72" t="s">
        <v>90</v>
      </c>
      <c r="G260" s="120" t="s">
        <v>3280</v>
      </c>
      <c r="H260" s="120"/>
      <c r="I260" s="87" t="s">
        <v>3362</v>
      </c>
      <c r="J260" s="87"/>
      <c r="K260" s="87"/>
      <c r="L260" s="87"/>
      <c r="M260" t="s">
        <v>95</v>
      </c>
      <c r="N260" s="87"/>
      <c r="O260" s="87"/>
      <c r="P260" s="87"/>
      <c r="Q260" s="87"/>
      <c r="R260" s="87"/>
      <c r="S260" s="87" t="s">
        <v>114</v>
      </c>
      <c r="T260" s="72" t="s">
        <v>114</v>
      </c>
      <c r="U260" s="87" t="s">
        <v>141</v>
      </c>
      <c r="V260" s="87"/>
      <c r="W260" s="87"/>
      <c r="X260" s="87"/>
      <c r="Y260" s="87"/>
      <c r="Z260" s="87"/>
      <c r="AA260" s="87"/>
      <c r="AB260" s="87"/>
      <c r="AC260" s="87" t="s">
        <v>105</v>
      </c>
      <c r="AD260" s="87"/>
      <c r="AE260" s="87"/>
      <c r="AF260" s="87"/>
      <c r="AG260" s="87">
        <v>2</v>
      </c>
      <c r="AH260" s="87"/>
      <c r="AI260" s="87"/>
      <c r="AJ260" s="87"/>
      <c r="AK260" s="87"/>
      <c r="AL260" s="87"/>
      <c r="AM260" s="87"/>
      <c r="AN260" s="87"/>
      <c r="AO260" s="87"/>
      <c r="AP260" s="87"/>
      <c r="AQ260" s="87" t="s">
        <v>155</v>
      </c>
      <c r="AR260" s="87"/>
      <c r="AS260" s="87"/>
      <c r="AT260" s="87"/>
      <c r="AU260" s="87" t="s">
        <v>116</v>
      </c>
      <c r="AV260" s="87" t="s">
        <v>3255</v>
      </c>
      <c r="AW260" s="87">
        <v>2</v>
      </c>
      <c r="AX260" s="87"/>
      <c r="AZ260" s="87"/>
      <c r="BA260" s="87"/>
      <c r="BB260" s="87"/>
      <c r="BC260" s="87"/>
      <c r="BD260" s="87"/>
      <c r="BE260" s="87"/>
      <c r="BF260" s="87"/>
      <c r="BG260" s="87"/>
      <c r="BH260" s="87"/>
      <c r="BI260" s="87"/>
      <c r="BJ260" s="87">
        <v>7</v>
      </c>
      <c r="BK260" s="87" t="s">
        <v>3330</v>
      </c>
      <c r="BL260" s="87" t="s">
        <v>355</v>
      </c>
      <c r="BM260" s="87" t="s">
        <v>3257</v>
      </c>
      <c r="BN260" s="134">
        <v>58.316800000000001</v>
      </c>
      <c r="BO260" s="134">
        <v>70.792100000000005</v>
      </c>
      <c r="BP260" s="134">
        <v>85.346500000000006</v>
      </c>
      <c r="BQ260" t="s">
        <v>3329</v>
      </c>
      <c r="BR260" s="122">
        <v>63</v>
      </c>
      <c r="BS260" s="134">
        <v>120.6931</v>
      </c>
      <c r="BT260" s="134">
        <v>132.57429999999999</v>
      </c>
      <c r="BU260" s="134">
        <v>144.4554</v>
      </c>
      <c r="BV260" t="s">
        <v>3329</v>
      </c>
      <c r="BW260" s="87">
        <v>61</v>
      </c>
      <c r="BX260" s="87"/>
      <c r="BY260" s="87"/>
      <c r="BZ260" s="87"/>
      <c r="CA260" s="87">
        <f t="shared" ref="CA260:CA272" si="4">BP260-BO260</f>
        <v>14.554400000000001</v>
      </c>
      <c r="CB260" s="87">
        <f t="shared" ref="CB260:CB272" si="5">BU260-BT260</f>
        <v>11.881100000000004</v>
      </c>
      <c r="CC260" s="87" t="s">
        <v>3259</v>
      </c>
      <c r="CD260" s="87"/>
    </row>
    <row r="261" spans="2:82" ht="14" customHeight="1">
      <c r="B261" s="135" t="s">
        <v>3363</v>
      </c>
      <c r="C261" s="87">
        <v>2025</v>
      </c>
      <c r="D261" s="120" t="s">
        <v>3335</v>
      </c>
      <c r="E261" s="120" t="s">
        <v>3347</v>
      </c>
      <c r="F261" s="72" t="s">
        <v>90</v>
      </c>
      <c r="G261" s="120" t="s">
        <v>3280</v>
      </c>
      <c r="H261" s="87"/>
      <c r="I261" s="87" t="s">
        <v>3364</v>
      </c>
      <c r="J261" s="87"/>
      <c r="K261" s="87"/>
      <c r="L261" s="87"/>
      <c r="M261" t="s">
        <v>95</v>
      </c>
      <c r="N261" s="87"/>
      <c r="O261" s="87"/>
      <c r="P261" s="87"/>
      <c r="Q261" s="87"/>
      <c r="R261" s="87"/>
      <c r="S261" s="87" t="s">
        <v>114</v>
      </c>
      <c r="T261" s="72" t="s">
        <v>114</v>
      </c>
      <c r="U261" s="87" t="s">
        <v>191</v>
      </c>
      <c r="V261" s="87"/>
      <c r="W261" s="87"/>
      <c r="X261" s="87"/>
      <c r="Y261" s="87"/>
      <c r="Z261" s="87"/>
      <c r="AA261" s="87"/>
      <c r="AB261" s="87"/>
      <c r="AC261" s="87" t="s">
        <v>105</v>
      </c>
      <c r="AD261" s="87"/>
      <c r="AE261" s="87"/>
      <c r="AF261" s="87"/>
      <c r="AG261" s="87">
        <v>3</v>
      </c>
      <c r="AH261" s="87"/>
      <c r="AI261" s="87"/>
      <c r="AJ261" s="87"/>
      <c r="AK261" s="87"/>
      <c r="AL261" s="87"/>
      <c r="AM261" s="87"/>
      <c r="AN261" s="87"/>
      <c r="AO261" s="87"/>
      <c r="AP261" s="87"/>
      <c r="AQ261" s="87" t="s">
        <v>155</v>
      </c>
      <c r="AR261" s="87"/>
      <c r="AS261" s="87"/>
      <c r="AT261" s="87"/>
      <c r="AU261" s="87" t="s">
        <v>116</v>
      </c>
      <c r="AV261" s="87" t="s">
        <v>3255</v>
      </c>
      <c r="AW261" s="87">
        <v>2</v>
      </c>
      <c r="AX261" s="87" t="s">
        <v>3379</v>
      </c>
      <c r="BA261" s="87"/>
      <c r="BB261" s="87"/>
      <c r="BC261" s="87"/>
      <c r="BD261" s="87" t="s">
        <v>3380</v>
      </c>
      <c r="BE261" s="87"/>
      <c r="BF261" s="87"/>
      <c r="BG261" s="87"/>
      <c r="BH261" s="87"/>
      <c r="BI261" s="87"/>
      <c r="BJ261" s="87">
        <v>0</v>
      </c>
      <c r="BK261" s="87" t="s">
        <v>3365</v>
      </c>
      <c r="BL261" s="87" t="s">
        <v>3366</v>
      </c>
      <c r="BM261" s="87" t="s">
        <v>200</v>
      </c>
      <c r="BN261" s="87">
        <v>9.4699999999999993E-3</v>
      </c>
      <c r="BO261" s="87">
        <v>1.1270000000000001E-2</v>
      </c>
      <c r="BP261" s="87">
        <v>1.3050000000000001E-2</v>
      </c>
      <c r="BQ261" s="87" t="s">
        <v>3329</v>
      </c>
      <c r="BR261" s="87">
        <v>11</v>
      </c>
      <c r="BS261" s="87">
        <v>9.2540000000000001E-3</v>
      </c>
      <c r="BT261" s="87">
        <v>1.06E-2</v>
      </c>
      <c r="BU261" s="87">
        <v>1.1946E-2</v>
      </c>
      <c r="BV261" s="87" t="s">
        <v>3329</v>
      </c>
      <c r="BW261" s="87">
        <v>20</v>
      </c>
      <c r="BX261" s="87" t="s">
        <v>200</v>
      </c>
      <c r="BY261" s="87"/>
      <c r="BZ261" s="87"/>
      <c r="CA261" s="87">
        <f t="shared" si="4"/>
        <v>1.7800000000000003E-3</v>
      </c>
      <c r="CB261" s="87">
        <f t="shared" si="5"/>
        <v>1.346E-3</v>
      </c>
      <c r="CC261" s="87" t="s">
        <v>3378</v>
      </c>
      <c r="CD261" s="87"/>
    </row>
    <row r="262" spans="2:82" ht="14" customHeight="1">
      <c r="B262" s="135" t="s">
        <v>3363</v>
      </c>
      <c r="C262" s="87">
        <v>2025</v>
      </c>
      <c r="D262" s="120" t="s">
        <v>3335</v>
      </c>
      <c r="E262" s="120" t="s">
        <v>3347</v>
      </c>
      <c r="F262" s="72" t="s">
        <v>90</v>
      </c>
      <c r="G262" s="120" t="s">
        <v>3280</v>
      </c>
      <c r="H262" s="87"/>
      <c r="I262" s="87" t="s">
        <v>3364</v>
      </c>
      <c r="J262" s="87"/>
      <c r="K262" s="87"/>
      <c r="L262" s="87"/>
      <c r="M262" t="s">
        <v>95</v>
      </c>
      <c r="N262" s="87"/>
      <c r="O262" s="87"/>
      <c r="P262" s="87"/>
      <c r="Q262" s="87"/>
      <c r="R262" s="87"/>
      <c r="S262" s="87" t="s">
        <v>114</v>
      </c>
      <c r="T262" s="72" t="s">
        <v>114</v>
      </c>
      <c r="U262" s="87" t="s">
        <v>191</v>
      </c>
      <c r="V262" s="87"/>
      <c r="W262" s="87"/>
      <c r="X262" s="87"/>
      <c r="Y262" s="87"/>
      <c r="Z262" s="87"/>
      <c r="AA262" s="87"/>
      <c r="AB262" s="87"/>
      <c r="AC262" s="87" t="s">
        <v>105</v>
      </c>
      <c r="AD262" s="87"/>
      <c r="AE262" s="87"/>
      <c r="AF262" s="87"/>
      <c r="AG262" s="87">
        <v>3</v>
      </c>
      <c r="AH262" s="87"/>
      <c r="AI262" s="87"/>
      <c r="AJ262" s="87"/>
      <c r="AK262" s="87"/>
      <c r="AL262" s="87"/>
      <c r="AM262" s="87"/>
      <c r="AN262" s="87"/>
      <c r="AO262" s="87"/>
      <c r="AP262" s="87"/>
      <c r="AQ262" s="87" t="s">
        <v>155</v>
      </c>
      <c r="AR262" s="87"/>
      <c r="AS262" s="87"/>
      <c r="AT262" s="87"/>
      <c r="AU262" s="87" t="s">
        <v>116</v>
      </c>
      <c r="AV262" s="87" t="s">
        <v>3255</v>
      </c>
      <c r="AW262" s="87">
        <v>2</v>
      </c>
      <c r="AX262" s="87" t="s">
        <v>3379</v>
      </c>
      <c r="AZ262" s="87"/>
      <c r="BA262" s="87"/>
      <c r="BB262" s="87"/>
      <c r="BC262" s="87"/>
      <c r="BD262" s="87" t="s">
        <v>3380</v>
      </c>
      <c r="BE262" s="87"/>
      <c r="BF262" s="87"/>
      <c r="BG262" s="87"/>
      <c r="BH262" s="87"/>
      <c r="BI262" s="87"/>
      <c r="BJ262" s="87">
        <v>0</v>
      </c>
      <c r="BK262" s="87" t="s">
        <v>3367</v>
      </c>
      <c r="BL262" s="87" t="s">
        <v>3366</v>
      </c>
      <c r="BM262" s="87" t="s">
        <v>200</v>
      </c>
      <c r="BN262" s="87">
        <v>6.7999999999999996E-3</v>
      </c>
      <c r="BO262" s="87">
        <v>7.6E-3</v>
      </c>
      <c r="BP262" s="87">
        <v>8.3999999999999995E-3</v>
      </c>
      <c r="BQ262" s="87" t="s">
        <v>3329</v>
      </c>
      <c r="BR262" s="87">
        <v>20</v>
      </c>
      <c r="BS262" s="87">
        <v>3.0000000000000001E-3</v>
      </c>
      <c r="BT262" s="87">
        <v>9.9000000000000008E-3</v>
      </c>
      <c r="BU262" s="87">
        <v>1.059E-2</v>
      </c>
      <c r="BV262" s="87" t="s">
        <v>3329</v>
      </c>
      <c r="BW262" s="87">
        <v>21</v>
      </c>
      <c r="BX262" s="87" t="s">
        <v>200</v>
      </c>
      <c r="BY262" s="87"/>
      <c r="BZ262" s="87"/>
      <c r="CA262" s="87">
        <f t="shared" si="4"/>
        <v>7.999999999999995E-4</v>
      </c>
      <c r="CB262" s="87">
        <f t="shared" si="5"/>
        <v>6.8999999999999964E-4</v>
      </c>
      <c r="CC262" s="87" t="s">
        <v>3378</v>
      </c>
      <c r="CD262" s="87"/>
    </row>
    <row r="263" spans="2:82" ht="14" customHeight="1">
      <c r="B263" s="135" t="s">
        <v>3363</v>
      </c>
      <c r="C263" s="87">
        <v>2025</v>
      </c>
      <c r="D263" s="120" t="s">
        <v>3335</v>
      </c>
      <c r="E263" s="120" t="s">
        <v>3347</v>
      </c>
      <c r="F263" s="72" t="s">
        <v>90</v>
      </c>
      <c r="G263" s="120" t="s">
        <v>3280</v>
      </c>
      <c r="H263" s="87"/>
      <c r="I263" s="87" t="s">
        <v>3364</v>
      </c>
      <c r="J263" s="87"/>
      <c r="K263" s="87"/>
      <c r="L263" s="87"/>
      <c r="M263" t="s">
        <v>95</v>
      </c>
      <c r="N263" s="87"/>
      <c r="O263" s="87"/>
      <c r="P263" s="87"/>
      <c r="Q263" s="87"/>
      <c r="R263" s="87"/>
      <c r="S263" s="87" t="s">
        <v>114</v>
      </c>
      <c r="T263" s="72" t="s">
        <v>114</v>
      </c>
      <c r="U263" s="87" t="s">
        <v>191</v>
      </c>
      <c r="V263" s="87"/>
      <c r="W263" s="87"/>
      <c r="X263" s="87"/>
      <c r="Y263" s="87"/>
      <c r="Z263" s="87"/>
      <c r="AA263" s="87"/>
      <c r="AB263" s="87"/>
      <c r="AC263" s="87" t="s">
        <v>105</v>
      </c>
      <c r="AD263" s="87"/>
      <c r="AE263" s="87"/>
      <c r="AF263" s="87"/>
      <c r="AG263" s="87">
        <v>3</v>
      </c>
      <c r="AH263" s="87"/>
      <c r="AI263" s="87"/>
      <c r="AJ263" s="87"/>
      <c r="AK263" s="87"/>
      <c r="AL263" s="87"/>
      <c r="AM263" s="87"/>
      <c r="AN263" s="87"/>
      <c r="AO263" s="87"/>
      <c r="AP263" s="87"/>
      <c r="AQ263" s="87" t="s">
        <v>155</v>
      </c>
      <c r="AR263" s="87"/>
      <c r="AS263" s="87"/>
      <c r="AT263" s="87"/>
      <c r="AU263" s="87" t="s">
        <v>116</v>
      </c>
      <c r="AV263" s="87" t="s">
        <v>3255</v>
      </c>
      <c r="AW263" s="87">
        <v>2</v>
      </c>
      <c r="AX263" s="87" t="s">
        <v>3379</v>
      </c>
      <c r="AZ263" s="87"/>
      <c r="BA263" s="87"/>
      <c r="BB263" s="87"/>
      <c r="BC263" s="87"/>
      <c r="BD263" s="87" t="s">
        <v>3380</v>
      </c>
      <c r="BE263" s="87"/>
      <c r="BF263" s="87"/>
      <c r="BG263" s="87"/>
      <c r="BH263" s="87"/>
      <c r="BI263" s="87"/>
      <c r="BJ263" s="87">
        <v>0</v>
      </c>
      <c r="BK263" s="87" t="s">
        <v>3368</v>
      </c>
      <c r="BL263" s="87" t="s">
        <v>3366</v>
      </c>
      <c r="BM263" s="87" t="s">
        <v>200</v>
      </c>
      <c r="BN263" s="87">
        <v>1.12E-2</v>
      </c>
      <c r="BO263" s="87">
        <v>1.26E-2</v>
      </c>
      <c r="BP263" s="87">
        <v>1.4E-2</v>
      </c>
      <c r="BQ263" s="87" t="s">
        <v>3329</v>
      </c>
      <c r="BR263" s="87">
        <v>17</v>
      </c>
      <c r="BS263" s="87">
        <v>9.2540000000000001E-3</v>
      </c>
      <c r="BT263" s="87">
        <v>1.06E-2</v>
      </c>
      <c r="BU263" s="87">
        <v>1.1946E-2</v>
      </c>
      <c r="BV263" s="87" t="s">
        <v>3329</v>
      </c>
      <c r="BW263" s="87">
        <v>20</v>
      </c>
      <c r="BX263" s="87" t="s">
        <v>200</v>
      </c>
      <c r="BY263" s="87"/>
      <c r="BZ263" s="87"/>
      <c r="CA263" s="87">
        <f t="shared" si="4"/>
        <v>1.4000000000000002E-3</v>
      </c>
      <c r="CB263" s="87">
        <f t="shared" si="5"/>
        <v>1.346E-3</v>
      </c>
      <c r="CC263" s="87" t="s">
        <v>3378</v>
      </c>
      <c r="CD263" s="87"/>
    </row>
    <row r="264" spans="2:82" ht="14" customHeight="1">
      <c r="B264" s="135" t="s">
        <v>3363</v>
      </c>
      <c r="C264" s="87">
        <v>2025</v>
      </c>
      <c r="D264" s="120" t="s">
        <v>3335</v>
      </c>
      <c r="E264" s="120" t="s">
        <v>3347</v>
      </c>
      <c r="F264" s="72" t="s">
        <v>90</v>
      </c>
      <c r="G264" s="120" t="s">
        <v>3280</v>
      </c>
      <c r="H264" s="87"/>
      <c r="I264" s="87" t="s">
        <v>3364</v>
      </c>
      <c r="J264" s="87"/>
      <c r="K264" s="87"/>
      <c r="L264" s="87"/>
      <c r="M264" t="s">
        <v>95</v>
      </c>
      <c r="N264" s="87"/>
      <c r="O264" s="87"/>
      <c r="P264" s="87"/>
      <c r="Q264" s="87"/>
      <c r="R264" s="87"/>
      <c r="S264" s="87" t="s">
        <v>114</v>
      </c>
      <c r="T264" s="72" t="s">
        <v>114</v>
      </c>
      <c r="U264" s="87" t="s">
        <v>191</v>
      </c>
      <c r="V264" s="87"/>
      <c r="W264" s="87"/>
      <c r="X264" s="87"/>
      <c r="Y264" s="87"/>
      <c r="Z264" s="87"/>
      <c r="AA264" s="87"/>
      <c r="AB264" s="87"/>
      <c r="AC264" s="87" t="s">
        <v>105</v>
      </c>
      <c r="AD264" s="87"/>
      <c r="AE264" s="87"/>
      <c r="AF264" s="87"/>
      <c r="AG264" s="87">
        <v>3</v>
      </c>
      <c r="AH264" s="87"/>
      <c r="AI264" s="87"/>
      <c r="AJ264" s="87"/>
      <c r="AK264" s="87"/>
      <c r="AL264" s="87"/>
      <c r="AM264" s="87"/>
      <c r="AN264" s="87"/>
      <c r="AO264" s="87"/>
      <c r="AP264" s="87"/>
      <c r="AQ264" s="87" t="s">
        <v>155</v>
      </c>
      <c r="AR264" s="87"/>
      <c r="AS264" s="87"/>
      <c r="AT264" s="87"/>
      <c r="AU264" s="87" t="s">
        <v>116</v>
      </c>
      <c r="AV264" s="87" t="s">
        <v>3255</v>
      </c>
      <c r="AW264" s="87">
        <v>2</v>
      </c>
      <c r="AX264" s="87" t="s">
        <v>3379</v>
      </c>
      <c r="AZ264" s="87"/>
      <c r="BA264" s="87"/>
      <c r="BB264" s="87"/>
      <c r="BC264" s="87"/>
      <c r="BD264" s="87" t="s">
        <v>3380</v>
      </c>
      <c r="BE264" s="87"/>
      <c r="BF264" s="87"/>
      <c r="BG264" s="87"/>
      <c r="BH264" s="87"/>
      <c r="BI264" s="87"/>
      <c r="BJ264" s="87">
        <v>0</v>
      </c>
      <c r="BK264" s="87" t="s">
        <v>3369</v>
      </c>
      <c r="BL264" s="87" t="s">
        <v>3366</v>
      </c>
      <c r="BM264" s="87" t="s">
        <v>200</v>
      </c>
      <c r="BN264" s="87">
        <v>7.3000000000000001E-3</v>
      </c>
      <c r="BO264" s="87">
        <v>8.3999999999999995E-3</v>
      </c>
      <c r="BP264" s="87">
        <v>9.4999999999999998E-3</v>
      </c>
      <c r="BQ264" s="87" t="s">
        <v>3329</v>
      </c>
      <c r="BR264" s="87">
        <v>26</v>
      </c>
      <c r="BS264" s="87">
        <v>3.0000000000000001E-3</v>
      </c>
      <c r="BT264" s="87">
        <v>9.9000000000000008E-3</v>
      </c>
      <c r="BU264" s="87">
        <v>1.059E-2</v>
      </c>
      <c r="BV264" s="87" t="s">
        <v>3329</v>
      </c>
      <c r="BW264" s="87">
        <v>21</v>
      </c>
      <c r="BX264" s="87" t="s">
        <v>200</v>
      </c>
      <c r="BY264" s="87"/>
      <c r="BZ264" s="87"/>
      <c r="CA264" s="87">
        <f t="shared" si="4"/>
        <v>1.1000000000000003E-3</v>
      </c>
      <c r="CB264" s="87">
        <f t="shared" si="5"/>
        <v>6.8999999999999964E-4</v>
      </c>
      <c r="CC264" s="87" t="s">
        <v>3378</v>
      </c>
      <c r="CD264" s="87"/>
    </row>
    <row r="265" spans="2:82" ht="14" customHeight="1">
      <c r="B265" s="135" t="s">
        <v>3363</v>
      </c>
      <c r="C265" s="87">
        <v>2025</v>
      </c>
      <c r="D265" s="120" t="s">
        <v>3335</v>
      </c>
      <c r="E265" s="120" t="s">
        <v>3347</v>
      </c>
      <c r="F265" s="72" t="s">
        <v>90</v>
      </c>
      <c r="G265" s="120" t="s">
        <v>3280</v>
      </c>
      <c r="H265" s="87"/>
      <c r="I265" s="87" t="s">
        <v>3364</v>
      </c>
      <c r="J265" s="87"/>
      <c r="K265" s="87"/>
      <c r="L265" s="87"/>
      <c r="M265" t="s">
        <v>95</v>
      </c>
      <c r="N265" s="87"/>
      <c r="O265" s="87"/>
      <c r="P265" s="87"/>
      <c r="Q265" s="87"/>
      <c r="R265" s="87"/>
      <c r="S265" s="87" t="s">
        <v>114</v>
      </c>
      <c r="T265" s="72" t="s">
        <v>114</v>
      </c>
      <c r="U265" s="87" t="s">
        <v>191</v>
      </c>
      <c r="V265" s="87"/>
      <c r="W265" s="87"/>
      <c r="X265" s="87"/>
      <c r="Y265" s="87"/>
      <c r="Z265" s="87"/>
      <c r="AA265" s="87"/>
      <c r="AB265" s="87"/>
      <c r="AC265" s="87" t="s">
        <v>105</v>
      </c>
      <c r="AD265" s="87"/>
      <c r="AE265" s="87"/>
      <c r="AF265" s="87"/>
      <c r="AG265" s="87">
        <v>3</v>
      </c>
      <c r="AH265" s="87"/>
      <c r="AI265" s="87"/>
      <c r="AJ265" s="87"/>
      <c r="AK265" s="87"/>
      <c r="AL265" s="87"/>
      <c r="AM265" s="87"/>
      <c r="AN265" s="87"/>
      <c r="AO265" s="87"/>
      <c r="AP265" s="87"/>
      <c r="AQ265" s="87" t="s">
        <v>155</v>
      </c>
      <c r="AR265" s="87"/>
      <c r="AS265" s="87"/>
      <c r="AT265" s="87"/>
      <c r="AU265" s="87" t="s">
        <v>116</v>
      </c>
      <c r="AV265" s="87" t="s">
        <v>3255</v>
      </c>
      <c r="AW265" s="87">
        <v>2</v>
      </c>
      <c r="AX265" s="87" t="s">
        <v>3379</v>
      </c>
      <c r="AZ265" s="87"/>
      <c r="BA265" s="87"/>
      <c r="BB265" s="87"/>
      <c r="BC265" s="87"/>
      <c r="BD265" s="87" t="s">
        <v>3380</v>
      </c>
      <c r="BE265" s="87"/>
      <c r="BF265" s="87"/>
      <c r="BG265" s="87"/>
      <c r="BH265" s="87"/>
      <c r="BI265" s="87"/>
      <c r="BJ265" s="87">
        <v>0</v>
      </c>
      <c r="BK265" s="87" t="s">
        <v>3370</v>
      </c>
      <c r="BL265" s="87" t="s">
        <v>3366</v>
      </c>
      <c r="BM265" s="87" t="s">
        <v>200</v>
      </c>
      <c r="BN265" s="87">
        <v>7.77E-3</v>
      </c>
      <c r="BO265" s="87">
        <v>0.01</v>
      </c>
      <c r="BP265" s="87">
        <v>1.223E-2</v>
      </c>
      <c r="BQ265" s="87" t="s">
        <v>3329</v>
      </c>
      <c r="BR265" s="87">
        <v>19</v>
      </c>
      <c r="BS265" s="87">
        <v>9.2540000000000001E-3</v>
      </c>
      <c r="BT265" s="87">
        <v>1.06E-2</v>
      </c>
      <c r="BU265" s="87">
        <v>1.1946E-2</v>
      </c>
      <c r="BV265" s="87" t="s">
        <v>3329</v>
      </c>
      <c r="BW265" s="87">
        <v>20</v>
      </c>
      <c r="BX265" s="87" t="s">
        <v>200</v>
      </c>
      <c r="BY265" s="87"/>
      <c r="BZ265" s="87"/>
      <c r="CA265" s="87">
        <f t="shared" si="4"/>
        <v>2.2299999999999993E-3</v>
      </c>
      <c r="CB265" s="87">
        <f t="shared" si="5"/>
        <v>1.346E-3</v>
      </c>
      <c r="CC265" s="87" t="s">
        <v>3378</v>
      </c>
      <c r="CD265" s="87"/>
    </row>
    <row r="266" spans="2:82" ht="14" customHeight="1">
      <c r="B266" s="135" t="s">
        <v>3363</v>
      </c>
      <c r="C266" s="87">
        <v>2025</v>
      </c>
      <c r="D266" s="120" t="s">
        <v>3335</v>
      </c>
      <c r="E266" s="120" t="s">
        <v>3347</v>
      </c>
      <c r="F266" s="72" t="s">
        <v>90</v>
      </c>
      <c r="G266" s="120" t="s">
        <v>3280</v>
      </c>
      <c r="H266" s="87"/>
      <c r="I266" s="87" t="s">
        <v>3364</v>
      </c>
      <c r="J266" s="87"/>
      <c r="K266" s="87"/>
      <c r="L266" s="87"/>
      <c r="M266" t="s">
        <v>95</v>
      </c>
      <c r="N266" s="87"/>
      <c r="O266" s="87"/>
      <c r="P266" s="87"/>
      <c r="Q266" s="87"/>
      <c r="R266" s="87"/>
      <c r="S266" s="87" t="s">
        <v>114</v>
      </c>
      <c r="T266" s="72" t="s">
        <v>114</v>
      </c>
      <c r="U266" s="87" t="s">
        <v>191</v>
      </c>
      <c r="V266" s="87"/>
      <c r="W266" s="87"/>
      <c r="X266" s="87"/>
      <c r="Y266" s="87"/>
      <c r="Z266" s="87"/>
      <c r="AA266" s="87"/>
      <c r="AB266" s="87"/>
      <c r="AC266" s="87" t="s">
        <v>105</v>
      </c>
      <c r="AD266" s="87"/>
      <c r="AE266" s="87"/>
      <c r="AF266" s="87"/>
      <c r="AG266" s="87">
        <v>3</v>
      </c>
      <c r="AH266" s="87"/>
      <c r="AI266" s="87"/>
      <c r="AJ266" s="87"/>
      <c r="AK266" s="87"/>
      <c r="AL266" s="87"/>
      <c r="AM266" s="87"/>
      <c r="AN266" s="87"/>
      <c r="AO266" s="87"/>
      <c r="AP266" s="87"/>
      <c r="AQ266" s="87" t="s">
        <v>155</v>
      </c>
      <c r="AR266" s="87"/>
      <c r="AS266" s="87"/>
      <c r="AT266" s="87"/>
      <c r="AU266" s="87" t="s">
        <v>116</v>
      </c>
      <c r="AV266" s="87" t="s">
        <v>3255</v>
      </c>
      <c r="AW266" s="87">
        <v>2</v>
      </c>
      <c r="AX266" s="87" t="s">
        <v>3379</v>
      </c>
      <c r="AZ266" s="87"/>
      <c r="BA266" s="87"/>
      <c r="BB266" s="87"/>
      <c r="BC266" s="87"/>
      <c r="BD266" s="87" t="s">
        <v>3380</v>
      </c>
      <c r="BE266" s="87"/>
      <c r="BF266" s="87"/>
      <c r="BG266" s="87"/>
      <c r="BH266" s="87"/>
      <c r="BI266" s="87"/>
      <c r="BJ266" s="87">
        <v>0</v>
      </c>
      <c r="BK266" s="87" t="s">
        <v>3371</v>
      </c>
      <c r="BL266" s="87" t="s">
        <v>3366</v>
      </c>
      <c r="BM266" s="87" t="s">
        <v>200</v>
      </c>
      <c r="BN266" s="87">
        <v>2.8999999999999998E-3</v>
      </c>
      <c r="BO266" s="87">
        <v>5.7999999999999996E-3</v>
      </c>
      <c r="BP266" s="87">
        <v>8.6999999999999994E-3</v>
      </c>
      <c r="BQ266" s="87" t="s">
        <v>3329</v>
      </c>
      <c r="BR266" s="87">
        <v>19</v>
      </c>
      <c r="BS266" s="87">
        <v>3.0000000000000001E-3</v>
      </c>
      <c r="BT266" s="87">
        <v>9.9000000000000008E-3</v>
      </c>
      <c r="BU266" s="87">
        <v>1.059E-2</v>
      </c>
      <c r="BV266" s="87" t="s">
        <v>3329</v>
      </c>
      <c r="BW266" s="87">
        <v>21</v>
      </c>
      <c r="BX266" s="87" t="s">
        <v>200</v>
      </c>
      <c r="BY266" s="87"/>
      <c r="BZ266" s="87"/>
      <c r="CA266" s="87">
        <f t="shared" si="4"/>
        <v>2.8999999999999998E-3</v>
      </c>
      <c r="CB266" s="87">
        <f t="shared" si="5"/>
        <v>6.8999999999999964E-4</v>
      </c>
      <c r="CC266" s="87" t="s">
        <v>3378</v>
      </c>
      <c r="CD266" s="87"/>
    </row>
    <row r="267" spans="2:82" ht="14" customHeight="1">
      <c r="B267" s="135" t="s">
        <v>3363</v>
      </c>
      <c r="C267" s="87">
        <v>2025</v>
      </c>
      <c r="D267" s="120" t="s">
        <v>3335</v>
      </c>
      <c r="E267" s="120" t="s">
        <v>3347</v>
      </c>
      <c r="F267" s="72" t="s">
        <v>90</v>
      </c>
      <c r="G267" s="120" t="s">
        <v>3280</v>
      </c>
      <c r="H267" s="87"/>
      <c r="I267" s="87" t="s">
        <v>3364</v>
      </c>
      <c r="J267" s="87"/>
      <c r="K267" s="87"/>
      <c r="L267" s="87"/>
      <c r="M267" t="s">
        <v>95</v>
      </c>
      <c r="N267" s="87"/>
      <c r="O267" s="87"/>
      <c r="P267" s="87"/>
      <c r="Q267" s="87"/>
      <c r="R267" s="87"/>
      <c r="S267" s="87" t="s">
        <v>114</v>
      </c>
      <c r="T267" s="72" t="s">
        <v>114</v>
      </c>
      <c r="U267" s="87" t="s">
        <v>191</v>
      </c>
      <c r="V267" s="87"/>
      <c r="W267" s="87"/>
      <c r="X267" s="87"/>
      <c r="Y267" s="87"/>
      <c r="Z267" s="87"/>
      <c r="AA267" s="87"/>
      <c r="AB267" s="87"/>
      <c r="AC267" s="87" t="s">
        <v>105</v>
      </c>
      <c r="AD267" s="87"/>
      <c r="AE267" s="87"/>
      <c r="AF267" s="87"/>
      <c r="AG267" s="87">
        <v>3</v>
      </c>
      <c r="AH267" s="87"/>
      <c r="AI267" s="87"/>
      <c r="AJ267" s="87"/>
      <c r="AK267" s="87"/>
      <c r="AL267" s="87"/>
      <c r="AM267" s="87"/>
      <c r="AN267" s="87"/>
      <c r="AO267" s="87"/>
      <c r="AP267" s="87"/>
      <c r="AQ267" s="87" t="s">
        <v>155</v>
      </c>
      <c r="AR267" s="87"/>
      <c r="AS267" s="87"/>
      <c r="AT267" s="87"/>
      <c r="AU267" s="87" t="s">
        <v>116</v>
      </c>
      <c r="AV267" s="87" t="s">
        <v>3255</v>
      </c>
      <c r="AW267" s="87">
        <v>2</v>
      </c>
      <c r="AX267" s="87" t="s">
        <v>3379</v>
      </c>
      <c r="AZ267" s="87"/>
      <c r="BA267" s="87"/>
      <c r="BB267" s="87"/>
      <c r="BC267" s="87"/>
      <c r="BD267" s="87" t="s">
        <v>3380</v>
      </c>
      <c r="BE267" s="87"/>
      <c r="BF267" s="87"/>
      <c r="BG267" s="87"/>
      <c r="BH267" s="87"/>
      <c r="BI267" s="87"/>
      <c r="BJ267" s="87">
        <v>4</v>
      </c>
      <c r="BK267" s="87" t="s">
        <v>3372</v>
      </c>
      <c r="BL267" s="87" t="s">
        <v>3366</v>
      </c>
      <c r="BM267" s="87" t="s">
        <v>200</v>
      </c>
      <c r="BN267" s="87">
        <v>1.3129999999999999E-2</v>
      </c>
      <c r="BO267" s="87">
        <v>1.553E-2</v>
      </c>
      <c r="BP267" s="87">
        <v>1.7930000000000001E-2</v>
      </c>
      <c r="BQ267" s="87" t="s">
        <v>3329</v>
      </c>
      <c r="BR267" s="87">
        <v>19</v>
      </c>
      <c r="BS267" s="87">
        <v>8.6999999999999994E-3</v>
      </c>
      <c r="BT267" s="87">
        <v>1.11E-2</v>
      </c>
      <c r="BU267" s="87">
        <v>1.35E-2</v>
      </c>
      <c r="BV267" s="87" t="s">
        <v>3329</v>
      </c>
      <c r="BW267" s="87">
        <v>17</v>
      </c>
      <c r="BX267" s="87" t="s">
        <v>200</v>
      </c>
      <c r="BY267" s="87"/>
      <c r="BZ267" s="87"/>
      <c r="CA267" s="87">
        <f t="shared" si="4"/>
        <v>2.4000000000000011E-3</v>
      </c>
      <c r="CB267" s="87">
        <f t="shared" si="5"/>
        <v>2.3999999999999994E-3</v>
      </c>
      <c r="CC267" s="87" t="s">
        <v>3378</v>
      </c>
      <c r="CD267" s="87"/>
    </row>
    <row r="268" spans="2:82" ht="14" customHeight="1">
      <c r="B268" s="135" t="s">
        <v>3363</v>
      </c>
      <c r="C268" s="87">
        <v>2025</v>
      </c>
      <c r="D268" s="120" t="s">
        <v>3335</v>
      </c>
      <c r="E268" s="120" t="s">
        <v>3347</v>
      </c>
      <c r="F268" s="72" t="s">
        <v>90</v>
      </c>
      <c r="G268" s="120" t="s">
        <v>3280</v>
      </c>
      <c r="H268" s="87"/>
      <c r="I268" s="87" t="s">
        <v>3364</v>
      </c>
      <c r="J268" s="87"/>
      <c r="K268" s="87"/>
      <c r="L268" s="87"/>
      <c r="M268" t="s">
        <v>95</v>
      </c>
      <c r="N268" s="87"/>
      <c r="O268" s="87"/>
      <c r="P268" s="87"/>
      <c r="Q268" s="87"/>
      <c r="R268" s="87"/>
      <c r="S268" s="87" t="s">
        <v>114</v>
      </c>
      <c r="T268" s="72" t="s">
        <v>114</v>
      </c>
      <c r="U268" s="87" t="s">
        <v>191</v>
      </c>
      <c r="V268" s="87"/>
      <c r="W268" s="87"/>
      <c r="X268" s="87"/>
      <c r="Y268" s="87"/>
      <c r="Z268" s="87"/>
      <c r="AA268" s="87"/>
      <c r="AB268" s="87"/>
      <c r="AC268" s="87" t="s">
        <v>105</v>
      </c>
      <c r="AD268" s="87"/>
      <c r="AE268" s="87"/>
      <c r="AF268" s="87"/>
      <c r="AG268" s="87">
        <v>3</v>
      </c>
      <c r="AH268" s="87"/>
      <c r="AI268" s="87"/>
      <c r="AJ268" s="87"/>
      <c r="AK268" s="87"/>
      <c r="AL268" s="87"/>
      <c r="AM268" s="87"/>
      <c r="AN268" s="87"/>
      <c r="AO268" s="87"/>
      <c r="AP268" s="87"/>
      <c r="AQ268" s="87" t="s">
        <v>155</v>
      </c>
      <c r="AR268" s="87"/>
      <c r="AS268" s="87"/>
      <c r="AT268" s="87"/>
      <c r="AU268" s="87" t="s">
        <v>116</v>
      </c>
      <c r="AV268" s="87" t="s">
        <v>3255</v>
      </c>
      <c r="AW268" s="87">
        <v>2</v>
      </c>
      <c r="AX268" s="87" t="s">
        <v>3379</v>
      </c>
      <c r="AZ268" s="87"/>
      <c r="BA268" s="87"/>
      <c r="BB268" s="87"/>
      <c r="BC268" s="87"/>
      <c r="BD268" s="87" t="s">
        <v>3380</v>
      </c>
      <c r="BE268" s="87"/>
      <c r="BF268" s="87"/>
      <c r="BG268" s="87"/>
      <c r="BH268" s="87"/>
      <c r="BI268" s="87"/>
      <c r="BJ268" s="87">
        <v>4</v>
      </c>
      <c r="BK268" s="87" t="s">
        <v>3373</v>
      </c>
      <c r="BL268" s="87" t="s">
        <v>3366</v>
      </c>
      <c r="BM268" s="87" t="s">
        <v>200</v>
      </c>
      <c r="BN268" s="87">
        <v>6.3E-3</v>
      </c>
      <c r="BO268" s="87">
        <v>8.3999999999999995E-3</v>
      </c>
      <c r="BP268" s="87">
        <v>1.0500000000000001E-2</v>
      </c>
      <c r="BQ268" s="87" t="s">
        <v>3329</v>
      </c>
      <c r="BR268" s="87">
        <v>29</v>
      </c>
      <c r="BS268" s="87">
        <v>1.04E-2</v>
      </c>
      <c r="BT268" s="87">
        <v>1.1299999999999999E-2</v>
      </c>
      <c r="BU268" s="87">
        <v>1.2200000000000001E-2</v>
      </c>
      <c r="BV268" s="87" t="s">
        <v>3329</v>
      </c>
      <c r="BW268" s="87">
        <v>31</v>
      </c>
      <c r="BX268" s="87" t="s">
        <v>200</v>
      </c>
      <c r="BY268" s="87"/>
      <c r="BZ268" s="87"/>
      <c r="CA268" s="87">
        <f t="shared" si="4"/>
        <v>2.1000000000000012E-3</v>
      </c>
      <c r="CB268" s="87">
        <f t="shared" si="5"/>
        <v>9.0000000000000149E-4</v>
      </c>
      <c r="CC268" s="87" t="s">
        <v>3378</v>
      </c>
      <c r="CD268" s="87"/>
    </row>
    <row r="269" spans="2:82" ht="14" customHeight="1">
      <c r="B269" s="135" t="s">
        <v>3363</v>
      </c>
      <c r="C269" s="87">
        <v>2025</v>
      </c>
      <c r="D269" s="120" t="s">
        <v>3335</v>
      </c>
      <c r="E269" s="120" t="s">
        <v>3347</v>
      </c>
      <c r="F269" s="72" t="s">
        <v>90</v>
      </c>
      <c r="G269" s="120" t="s">
        <v>3280</v>
      </c>
      <c r="H269" s="87"/>
      <c r="I269" s="87" t="s">
        <v>3364</v>
      </c>
      <c r="J269" s="87"/>
      <c r="K269" s="87"/>
      <c r="L269" s="87"/>
      <c r="M269" t="s">
        <v>95</v>
      </c>
      <c r="N269" s="87"/>
      <c r="O269" s="87"/>
      <c r="P269" s="87"/>
      <c r="Q269" s="87"/>
      <c r="R269" s="87"/>
      <c r="S269" s="87" t="s">
        <v>114</v>
      </c>
      <c r="T269" s="72" t="s">
        <v>114</v>
      </c>
      <c r="U269" s="87" t="s">
        <v>191</v>
      </c>
      <c r="V269" s="87"/>
      <c r="W269" s="87"/>
      <c r="X269" s="87"/>
      <c r="Y269" s="87"/>
      <c r="Z269" s="87"/>
      <c r="AA269" s="87"/>
      <c r="AB269" s="87"/>
      <c r="AC269" s="87" t="s">
        <v>105</v>
      </c>
      <c r="AD269" s="87"/>
      <c r="AE269" s="87"/>
      <c r="AF269" s="87"/>
      <c r="AG269" s="87">
        <v>3</v>
      </c>
      <c r="AH269" s="87"/>
      <c r="AI269" s="87"/>
      <c r="AJ269" s="87"/>
      <c r="AK269" s="87"/>
      <c r="AL269" s="87"/>
      <c r="AM269" s="87"/>
      <c r="AN269" s="87"/>
      <c r="AO269" s="87"/>
      <c r="AP269" s="87"/>
      <c r="AQ269" s="87" t="s">
        <v>155</v>
      </c>
      <c r="AR269" s="87"/>
      <c r="AS269" s="87"/>
      <c r="AT269" s="87"/>
      <c r="AU269" s="87" t="s">
        <v>116</v>
      </c>
      <c r="AV269" s="87" t="s">
        <v>3255</v>
      </c>
      <c r="AW269" s="87">
        <v>2</v>
      </c>
      <c r="AX269" s="87" t="s">
        <v>3379</v>
      </c>
      <c r="AZ269" s="87"/>
      <c r="BA269" s="87"/>
      <c r="BB269" s="87"/>
      <c r="BC269" s="87"/>
      <c r="BD269" s="87" t="s">
        <v>3380</v>
      </c>
      <c r="BE269" s="87"/>
      <c r="BF269" s="87"/>
      <c r="BG269" s="87"/>
      <c r="BH269" s="87"/>
      <c r="BI269" s="87"/>
      <c r="BJ269" s="87">
        <v>4</v>
      </c>
      <c r="BK269" s="87" t="s">
        <v>3374</v>
      </c>
      <c r="BL269" s="87" t="s">
        <v>3366</v>
      </c>
      <c r="BM269" s="87" t="s">
        <v>200</v>
      </c>
      <c r="BN269" s="87">
        <v>1.34E-2</v>
      </c>
      <c r="BO269" s="87">
        <v>1.5699999999999999E-2</v>
      </c>
      <c r="BP269" s="87">
        <v>1.7999999999999999E-2</v>
      </c>
      <c r="BQ269" s="87" t="s">
        <v>3329</v>
      </c>
      <c r="BR269" s="87">
        <v>18</v>
      </c>
      <c r="BS269" s="87">
        <v>8.6999999999999994E-3</v>
      </c>
      <c r="BT269" s="87">
        <v>1.11E-2</v>
      </c>
      <c r="BU269" s="87">
        <v>1.35E-2</v>
      </c>
      <c r="BV269" s="87" t="s">
        <v>3329</v>
      </c>
      <c r="BW269" s="87">
        <v>17</v>
      </c>
      <c r="BX269" s="87" t="s">
        <v>200</v>
      </c>
      <c r="BY269" s="87"/>
      <c r="BZ269" s="87"/>
      <c r="CA269" s="87">
        <f t="shared" si="4"/>
        <v>2.3E-3</v>
      </c>
      <c r="CB269" s="87">
        <f t="shared" si="5"/>
        <v>2.3999999999999994E-3</v>
      </c>
      <c r="CC269" s="87" t="s">
        <v>3378</v>
      </c>
      <c r="CD269" s="87"/>
    </row>
    <row r="270" spans="2:82" ht="14" customHeight="1">
      <c r="B270" s="135" t="s">
        <v>3363</v>
      </c>
      <c r="C270" s="87">
        <v>2025</v>
      </c>
      <c r="D270" s="120" t="s">
        <v>3335</v>
      </c>
      <c r="E270" s="120" t="s">
        <v>3347</v>
      </c>
      <c r="F270" s="72" t="s">
        <v>90</v>
      </c>
      <c r="G270" s="120" t="s">
        <v>3280</v>
      </c>
      <c r="H270" s="87"/>
      <c r="I270" s="87" t="s">
        <v>3364</v>
      </c>
      <c r="J270" s="87"/>
      <c r="K270" s="87"/>
      <c r="L270" s="87"/>
      <c r="M270" t="s">
        <v>95</v>
      </c>
      <c r="N270" s="87"/>
      <c r="O270" s="87"/>
      <c r="P270" s="87"/>
      <c r="Q270" s="87"/>
      <c r="R270" s="87"/>
      <c r="S270" s="87" t="s">
        <v>114</v>
      </c>
      <c r="T270" s="72" t="s">
        <v>114</v>
      </c>
      <c r="U270" s="87" t="s">
        <v>191</v>
      </c>
      <c r="V270" s="87"/>
      <c r="W270" s="87"/>
      <c r="X270" s="87"/>
      <c r="Y270" s="87"/>
      <c r="Z270" s="87"/>
      <c r="AA270" s="87"/>
      <c r="AB270" s="87"/>
      <c r="AC270" s="87" t="s">
        <v>105</v>
      </c>
      <c r="AD270" s="87"/>
      <c r="AE270" s="87"/>
      <c r="AF270" s="87"/>
      <c r="AG270" s="87">
        <v>3</v>
      </c>
      <c r="AH270" s="87"/>
      <c r="AI270" s="87"/>
      <c r="AJ270" s="87"/>
      <c r="AK270" s="87"/>
      <c r="AL270" s="87"/>
      <c r="AM270" s="87"/>
      <c r="AN270" s="87"/>
      <c r="AO270" s="87"/>
      <c r="AP270" s="87"/>
      <c r="AQ270" s="87" t="s">
        <v>155</v>
      </c>
      <c r="AR270" s="87"/>
      <c r="AS270" s="87"/>
      <c r="AT270" s="87"/>
      <c r="AU270" s="87" t="s">
        <v>116</v>
      </c>
      <c r="AV270" s="87" t="s">
        <v>3255</v>
      </c>
      <c r="AW270" s="87">
        <v>2</v>
      </c>
      <c r="AX270" s="87" t="s">
        <v>3379</v>
      </c>
      <c r="AZ270" s="87"/>
      <c r="BA270" s="87"/>
      <c r="BD270" s="87" t="s">
        <v>3380</v>
      </c>
      <c r="BE270" s="87"/>
      <c r="BF270" s="87"/>
      <c r="BG270" s="87"/>
      <c r="BH270" s="87"/>
      <c r="BI270" s="87"/>
      <c r="BJ270" s="87">
        <v>4</v>
      </c>
      <c r="BK270" s="87" t="s">
        <v>3375</v>
      </c>
      <c r="BL270" s="87" t="s">
        <v>3366</v>
      </c>
      <c r="BM270" s="87" t="s">
        <v>200</v>
      </c>
      <c r="BN270" s="87">
        <v>7.7999999999999996E-3</v>
      </c>
      <c r="BO270" s="87">
        <v>9.7000000000000003E-3</v>
      </c>
      <c r="BP270" s="87">
        <v>1.1599999999999999E-2</v>
      </c>
      <c r="BQ270" s="87" t="s">
        <v>3329</v>
      </c>
      <c r="BR270" s="87">
        <v>31</v>
      </c>
      <c r="BS270" s="87">
        <v>1.04E-2</v>
      </c>
      <c r="BT270" s="87">
        <v>1.1299999999999999E-2</v>
      </c>
      <c r="BU270" s="87">
        <v>1.2200000000000001E-2</v>
      </c>
      <c r="BV270" s="87" t="s">
        <v>3329</v>
      </c>
      <c r="BW270" s="87">
        <v>31</v>
      </c>
      <c r="BX270" s="87" t="s">
        <v>200</v>
      </c>
      <c r="BY270" s="87"/>
      <c r="BZ270" s="87"/>
      <c r="CA270" s="87">
        <f t="shared" si="4"/>
        <v>1.8999999999999989E-3</v>
      </c>
      <c r="CB270" s="87">
        <f t="shared" si="5"/>
        <v>9.0000000000000149E-4</v>
      </c>
      <c r="CC270" s="87" t="s">
        <v>3378</v>
      </c>
      <c r="CD270" s="87"/>
    </row>
    <row r="271" spans="2:82" ht="14" customHeight="1">
      <c r="B271" s="135" t="s">
        <v>3363</v>
      </c>
      <c r="C271" s="87">
        <v>2025</v>
      </c>
      <c r="D271" s="120" t="s">
        <v>3335</v>
      </c>
      <c r="E271" s="120" t="s">
        <v>3347</v>
      </c>
      <c r="F271" s="72" t="s">
        <v>90</v>
      </c>
      <c r="G271" s="120" t="s">
        <v>3280</v>
      </c>
      <c r="H271" s="87"/>
      <c r="I271" s="87" t="s">
        <v>3364</v>
      </c>
      <c r="J271" s="87"/>
      <c r="K271" s="87"/>
      <c r="L271" s="87"/>
      <c r="M271" t="s">
        <v>95</v>
      </c>
      <c r="N271" s="87"/>
      <c r="O271" s="87"/>
      <c r="P271" s="87"/>
      <c r="Q271" s="87"/>
      <c r="R271" s="87"/>
      <c r="S271" s="87" t="s">
        <v>114</v>
      </c>
      <c r="T271" s="72" t="s">
        <v>114</v>
      </c>
      <c r="U271" s="87" t="s">
        <v>191</v>
      </c>
      <c r="V271" s="87"/>
      <c r="W271" s="87"/>
      <c r="X271" s="87"/>
      <c r="Y271" s="87"/>
      <c r="Z271" s="87"/>
      <c r="AA271" s="87"/>
      <c r="AB271" s="87"/>
      <c r="AC271" s="87" t="s">
        <v>105</v>
      </c>
      <c r="AD271" s="87"/>
      <c r="AE271" s="87"/>
      <c r="AF271" s="87"/>
      <c r="AG271" s="87">
        <v>3</v>
      </c>
      <c r="AH271" s="87"/>
      <c r="AI271" s="87"/>
      <c r="AJ271" s="87"/>
      <c r="AK271" s="87"/>
      <c r="AL271" s="87"/>
      <c r="AM271" s="87"/>
      <c r="AN271" s="87"/>
      <c r="AO271" s="87"/>
      <c r="AP271" s="87"/>
      <c r="AQ271" s="87" t="s">
        <v>155</v>
      </c>
      <c r="AR271" s="87"/>
      <c r="AS271" s="87"/>
      <c r="AT271" s="87"/>
      <c r="AU271" s="87" t="s">
        <v>116</v>
      </c>
      <c r="AV271" s="87" t="s">
        <v>3255</v>
      </c>
      <c r="AW271" s="87">
        <v>2</v>
      </c>
      <c r="AX271" s="87" t="s">
        <v>3379</v>
      </c>
      <c r="AZ271" s="87"/>
      <c r="BA271" s="87"/>
      <c r="BB271" s="87"/>
      <c r="BC271" s="87"/>
      <c r="BD271" s="87" t="s">
        <v>3380</v>
      </c>
      <c r="BE271" s="87"/>
      <c r="BF271" s="87"/>
      <c r="BG271" s="87"/>
      <c r="BH271" s="87"/>
      <c r="BI271" s="87"/>
      <c r="BJ271" s="87">
        <v>4</v>
      </c>
      <c r="BK271" s="87" t="s">
        <v>3376</v>
      </c>
      <c r="BL271" s="87" t="s">
        <v>3366</v>
      </c>
      <c r="BM271" s="87" t="s">
        <v>200</v>
      </c>
      <c r="BN271" s="87">
        <v>0.1268</v>
      </c>
      <c r="BO271" s="87">
        <v>0.1283</v>
      </c>
      <c r="BP271" s="87">
        <v>0.1298</v>
      </c>
      <c r="BQ271" s="87" t="s">
        <v>3329</v>
      </c>
      <c r="BR271" s="87">
        <v>19</v>
      </c>
      <c r="BS271" s="87">
        <v>8.6999999999999994E-3</v>
      </c>
      <c r="BT271" s="87">
        <v>1.11E-2</v>
      </c>
      <c r="BU271" s="87">
        <v>1.35E-2</v>
      </c>
      <c r="BV271" s="87" t="s">
        <v>3329</v>
      </c>
      <c r="BW271" s="87">
        <v>17</v>
      </c>
      <c r="BX271" s="87" t="s">
        <v>200</v>
      </c>
      <c r="BY271" s="87"/>
      <c r="BZ271" s="87"/>
      <c r="CA271" s="87">
        <f t="shared" si="4"/>
        <v>1.5000000000000013E-3</v>
      </c>
      <c r="CB271" s="87">
        <f t="shared" si="5"/>
        <v>2.3999999999999994E-3</v>
      </c>
      <c r="CC271" s="87" t="s">
        <v>3378</v>
      </c>
      <c r="CD271" s="87"/>
    </row>
    <row r="272" spans="2:82" ht="14" customHeight="1">
      <c r="B272" s="135" t="s">
        <v>3363</v>
      </c>
      <c r="C272" s="87">
        <v>2025</v>
      </c>
      <c r="D272" s="120" t="s">
        <v>3335</v>
      </c>
      <c r="E272" s="120" t="s">
        <v>3347</v>
      </c>
      <c r="F272" s="72" t="s">
        <v>90</v>
      </c>
      <c r="G272" s="120" t="s">
        <v>3280</v>
      </c>
      <c r="H272" s="87"/>
      <c r="I272" s="87" t="s">
        <v>3364</v>
      </c>
      <c r="J272" s="87"/>
      <c r="K272" s="87"/>
      <c r="L272" s="87"/>
      <c r="M272" t="s">
        <v>95</v>
      </c>
      <c r="N272" s="87"/>
      <c r="O272" s="87"/>
      <c r="P272" s="87"/>
      <c r="Q272" s="87"/>
      <c r="R272" s="87"/>
      <c r="S272" s="87" t="s">
        <v>114</v>
      </c>
      <c r="T272" s="72" t="s">
        <v>114</v>
      </c>
      <c r="U272" s="87" t="s">
        <v>191</v>
      </c>
      <c r="V272" s="87"/>
      <c r="W272" s="87"/>
      <c r="X272" s="87"/>
      <c r="Y272" s="87"/>
      <c r="Z272" s="87"/>
      <c r="AA272" s="87"/>
      <c r="AB272" s="87"/>
      <c r="AC272" s="87" t="s">
        <v>105</v>
      </c>
      <c r="AD272" s="87"/>
      <c r="AE272" s="87"/>
      <c r="AF272" s="87"/>
      <c r="AG272" s="87">
        <v>3</v>
      </c>
      <c r="AH272" s="87"/>
      <c r="AI272" s="87"/>
      <c r="AJ272" s="87"/>
      <c r="AK272" s="87"/>
      <c r="AL272" s="87"/>
      <c r="AM272" s="87"/>
      <c r="AN272" s="87"/>
      <c r="AO272" s="87"/>
      <c r="AP272" s="87"/>
      <c r="AQ272" s="87" t="s">
        <v>155</v>
      </c>
      <c r="AR272" s="87"/>
      <c r="AS272" s="87"/>
      <c r="AT272" s="87"/>
      <c r="AU272" s="87" t="s">
        <v>116</v>
      </c>
      <c r="AV272" s="87" t="s">
        <v>3255</v>
      </c>
      <c r="AW272" s="87">
        <v>2</v>
      </c>
      <c r="AX272" s="87" t="s">
        <v>3379</v>
      </c>
      <c r="AZ272" s="87"/>
      <c r="BA272" s="87"/>
      <c r="BB272" s="87"/>
      <c r="BC272" s="87"/>
      <c r="BD272" s="87" t="s">
        <v>3380</v>
      </c>
      <c r="BE272" s="87"/>
      <c r="BF272" s="87"/>
      <c r="BG272" s="87"/>
      <c r="BH272" s="87"/>
      <c r="BI272" s="87"/>
      <c r="BJ272" s="87">
        <v>4</v>
      </c>
      <c r="BK272" s="87" t="s">
        <v>3377</v>
      </c>
      <c r="BL272" s="87" t="s">
        <v>3366</v>
      </c>
      <c r="BM272" s="87" t="s">
        <v>200</v>
      </c>
      <c r="BN272" s="87">
        <v>5.5999999999999999E-3</v>
      </c>
      <c r="BO272" s="87">
        <v>7.7000000000000002E-3</v>
      </c>
      <c r="BP272" s="87">
        <v>9.7999999999999997E-3</v>
      </c>
      <c r="BQ272" s="87" t="s">
        <v>3329</v>
      </c>
      <c r="BR272" s="87">
        <v>29</v>
      </c>
      <c r="BS272" s="87">
        <v>1.04E-2</v>
      </c>
      <c r="BT272" s="87">
        <v>1.1299999999999999E-2</v>
      </c>
      <c r="BU272" s="87">
        <v>1.2200000000000001E-2</v>
      </c>
      <c r="BV272" s="87" t="s">
        <v>3329</v>
      </c>
      <c r="BW272" s="87">
        <v>31</v>
      </c>
      <c r="BX272" s="87" t="s">
        <v>200</v>
      </c>
      <c r="BY272" s="87"/>
      <c r="BZ272" s="87"/>
      <c r="CA272" s="87">
        <f t="shared" si="4"/>
        <v>2.0999999999999994E-3</v>
      </c>
      <c r="CB272" s="87">
        <f t="shared" si="5"/>
        <v>9.0000000000000149E-4</v>
      </c>
      <c r="CC272" s="87" t="s">
        <v>3378</v>
      </c>
      <c r="CD272" s="87"/>
    </row>
    <row r="273" spans="43:53" ht="14" customHeight="1">
      <c r="AQ273" s="87"/>
      <c r="AR273" s="87"/>
      <c r="AS273" s="87"/>
      <c r="AT273" s="87"/>
      <c r="AU273" s="87"/>
      <c r="AV273" s="87"/>
      <c r="AW273" s="87"/>
      <c r="AX273" s="87"/>
      <c r="AZ273" s="87"/>
      <c r="BA273" s="87"/>
    </row>
  </sheetData>
  <autoFilter ref="A2:CG272" xr:uid="{785C8920-6A43-4DFB-831E-99CC7046C5ED}"/>
  <mergeCells count="1">
    <mergeCell ref="AC1:AI1"/>
  </mergeCells>
  <phoneticPr fontId="3" type="noConversion"/>
  <conditionalFormatting sqref="S118:S125 U118:AB125 S127:S130 U127:Z130 AB127:AB130">
    <cfRule type="containsBlanks" dxfId="6" priority="6">
      <formula>LEN(TRIM(S118))=0</formula>
    </cfRule>
  </conditionalFormatting>
  <conditionalFormatting sqref="AC127:AI127 AC128:AF130">
    <cfRule type="containsBlanks" dxfId="5" priority="5">
      <formula>LEN(TRIM(AC127))=0</formula>
    </cfRule>
  </conditionalFormatting>
  <conditionalFormatting sqref="CG3:CG184">
    <cfRule type="containsText" dxfId="4" priority="2" operator="containsText" text="yes">
      <formula>NOT(ISERROR(SEARCH("yes",CG3)))</formula>
    </cfRule>
    <cfRule type="containsText" dxfId="3" priority="3" operator="containsText" text="no">
      <formula>NOT(ISERROR(SEARCH("no",CG3)))</formula>
    </cfRule>
  </conditionalFormatting>
  <conditionalFormatting sqref="CG118:CG125">
    <cfRule type="uniqueValues" dxfId="2" priority="1"/>
  </conditionalFormatting>
  <dataValidations count="7">
    <dataValidation type="list" allowBlank="1" showInputMessage="1" showErrorMessage="1" sqref="O127:P130 O118:P125 O177:P184 K177:L184" xr:uid="{53D6B965-4BCD-4410-8E98-36322D2828F2}">
      <formula1>"Y, N"</formula1>
    </dataValidation>
    <dataValidation type="list" allowBlank="1" showInputMessage="1" showErrorMessage="1" sqref="Z127:Z130 Z118:Z125" xr:uid="{6DAE9A9C-63A2-469A-AA77-252931FDE3ED}">
      <formula1>" insect, fish, amphibian, reptile, bird, mammal, asst"</formula1>
    </dataValidation>
    <dataValidation type="list" allowBlank="1" showInputMessage="1" showErrorMessage="1" sqref="S118:S125 AH127 S127:S130" xr:uid="{71233128-ED4D-4428-849E-6401BE43E31E}">
      <formula1>"Y, N, NA"</formula1>
    </dataValidation>
    <dataValidation type="list" allowBlank="1" showInputMessage="1" showErrorMessage="1" sqref="V127:V130 V118:V125" xr:uid="{8726261C-2C57-41A2-B7F3-2037674E3CD6}">
      <formula1>"none, responses, both, fpe"</formula1>
    </dataValidation>
    <dataValidation type="list" allowBlank="1" showInputMessage="1" showErrorMessage="1" sqref="U127:U130 U118:U125" xr:uid="{2B7F9EB8-A956-4DFC-9F51-576C8BD1A8E3}">
      <formula1>"m, t, fw"</formula1>
    </dataValidation>
    <dataValidation type="whole" allowBlank="1" showInputMessage="1" showErrorMessage="1" sqref="C177:C184" xr:uid="{F64ADD57-173C-4E47-9575-AC84B038F321}">
      <formula1>1990</formula1>
      <formula2>2019</formula2>
    </dataValidation>
    <dataValidation type="list" allowBlank="1" showInputMessage="1" showErrorMessage="1" sqref="M177:M184" xr:uid="{6DDB4DFD-9EA2-437A-8393-26F4D3B3F120}">
      <formula1>"NCE, TMIE, TMIE-nd"</formula1>
    </dataValidation>
  </dataValidation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646CC-71BB-4DBA-8659-6B742C1C832C}">
  <sheetPr filterMode="1"/>
  <dimension ref="A1:CM35"/>
  <sheetViews>
    <sheetView topLeftCell="A2" workbookViewId="0">
      <pane xSplit="4" ySplit="1" topLeftCell="BN28" activePane="bottomRight" state="frozen"/>
      <selection activeCell="B2" sqref="B2"/>
      <selection pane="topRight" activeCell="E2" sqref="E2"/>
      <selection pane="bottomLeft" activeCell="B3" sqref="B3"/>
      <selection pane="bottomRight" activeCell="BN28" sqref="BN28"/>
    </sheetView>
  </sheetViews>
  <sheetFormatPr defaultColWidth="8.81640625" defaultRowHeight="14.5"/>
  <cols>
    <col min="1" max="1" width="9.1796875" style="3" customWidth="1"/>
    <col min="2" max="2" width="12.453125" style="3" customWidth="1"/>
    <col min="3" max="3" width="11.453125" style="3" customWidth="1"/>
    <col min="4" max="4" width="20.54296875" style="3" customWidth="1"/>
    <col min="5" max="5" width="10.453125" style="3" customWidth="1"/>
    <col min="6" max="6" width="13.54296875" style="3" customWidth="1"/>
    <col min="7" max="7" width="7.81640625" style="3" customWidth="1"/>
    <col min="8" max="8" width="14.1796875" style="3" customWidth="1"/>
    <col min="9" max="9" width="74.81640625" style="3" customWidth="1"/>
    <col min="10" max="10" width="99.1796875" style="3" customWidth="1"/>
    <col min="11" max="11" width="12.453125" style="3" customWidth="1"/>
    <col min="12" max="12" width="13.1796875" style="3" customWidth="1"/>
    <col min="13" max="13" width="11.81640625" style="3" customWidth="1"/>
    <col min="14" max="14" width="58.54296875" style="3" customWidth="1"/>
    <col min="15" max="16" width="8.81640625" style="3" customWidth="1"/>
    <col min="17" max="17" width="28.453125" style="3" customWidth="1"/>
    <col min="18" max="18" width="14.54296875" style="3" customWidth="1"/>
    <col min="19" max="23" width="8.81640625" style="3" customWidth="1"/>
    <col min="24" max="24" width="23.81640625" style="3" customWidth="1"/>
    <col min="25" max="25" width="23.1796875" style="3" customWidth="1"/>
    <col min="26" max="26" width="22.54296875" style="3" customWidth="1"/>
    <col min="27" max="27" width="29.453125" style="3" customWidth="1"/>
    <col min="28" max="28" width="20.1796875" style="3" customWidth="1"/>
    <col min="29" max="29" width="8.81640625" style="3" customWidth="1"/>
    <col min="30" max="30" width="31.453125" style="3" customWidth="1"/>
    <col min="31" max="31" width="28.81640625" style="3" customWidth="1"/>
    <col min="32" max="32" width="19.453125" style="3" customWidth="1"/>
    <col min="33" max="33" width="13.81640625" style="3" customWidth="1"/>
    <col min="34" max="34" width="8.81640625" style="3" customWidth="1"/>
    <col min="35" max="35" width="21.1796875" style="3" customWidth="1"/>
    <col min="36" max="40" width="8.81640625" style="3" customWidth="1"/>
    <col min="41" max="41" width="27.1796875" style="3" customWidth="1"/>
    <col min="42" max="42" width="8.81640625" style="3" customWidth="1"/>
    <col min="43" max="43" width="21.81640625" style="3" customWidth="1"/>
    <col min="44" max="47" width="8.81640625" style="3"/>
    <col min="48" max="48" width="27.1796875" style="3" customWidth="1"/>
    <col min="49" max="49" width="8.81640625" style="3"/>
    <col min="50" max="50" width="25.54296875" style="3" customWidth="1"/>
    <col min="51" max="51" width="25.1796875" style="3" customWidth="1"/>
    <col min="52" max="53" width="8.81640625" style="3"/>
    <col min="54" max="54" width="16.81640625" style="3" customWidth="1"/>
    <col min="55" max="55" width="8.81640625" style="3"/>
    <col min="56" max="56" width="26.1796875" style="3" customWidth="1"/>
    <col min="57" max="57" width="18.1796875" style="3" customWidth="1"/>
    <col min="58" max="59" width="8.81640625" style="3"/>
    <col min="60" max="60" width="31.81640625" style="3" customWidth="1"/>
    <col min="61" max="61" width="8.81640625" style="3"/>
    <col min="62" max="62" width="23.81640625" style="3" customWidth="1"/>
    <col min="63" max="63" width="16.453125" style="3" customWidth="1"/>
    <col min="64" max="65" width="8.81640625" style="3"/>
    <col min="66" max="66" width="34.54296875" style="3" customWidth="1"/>
    <col min="67" max="68" width="8.81640625" style="3"/>
    <col min="69" max="69" width="27.1796875" style="3" customWidth="1"/>
    <col min="70" max="70" width="8.81640625" style="3" customWidth="1"/>
    <col min="71" max="71" width="8.54296875" style="3" customWidth="1"/>
    <col min="72" max="72" width="11.1796875" style="3" bestFit="1" customWidth="1"/>
    <col min="73" max="80" width="8.81640625" style="3"/>
    <col min="81" max="81" width="11.1796875" style="3" bestFit="1" customWidth="1"/>
    <col min="82" max="82" width="10.54296875" style="3" customWidth="1"/>
    <col min="83" max="84" width="25.453125" style="3" customWidth="1"/>
    <col min="85" max="85" width="8.453125" style="3" customWidth="1"/>
    <col min="86" max="86" width="11" style="3" customWidth="1"/>
    <col min="87" max="87" width="8.81640625" style="3"/>
    <col min="88" max="89" width="0" style="3" hidden="1" customWidth="1"/>
    <col min="90" max="90" width="40.453125" style="3" customWidth="1"/>
    <col min="91" max="16384" width="8.81640625" style="3"/>
  </cols>
  <sheetData>
    <row r="1" spans="1:91" ht="62.75" hidden="1" customHeight="1">
      <c r="B1" s="3" t="s">
        <v>0</v>
      </c>
      <c r="E1" s="3" t="s">
        <v>1</v>
      </c>
      <c r="J1" s="3" t="s">
        <v>2</v>
      </c>
      <c r="K1" s="63"/>
      <c r="L1" s="63"/>
      <c r="M1" s="63"/>
      <c r="N1" s="63"/>
      <c r="O1" s="63"/>
      <c r="P1" s="63"/>
      <c r="Q1" s="63"/>
      <c r="R1" s="63"/>
      <c r="S1" s="63"/>
      <c r="T1" s="63"/>
      <c r="U1" s="63"/>
      <c r="V1" s="63"/>
      <c r="W1" s="63"/>
      <c r="X1" s="63"/>
      <c r="Y1" s="63"/>
      <c r="Z1" s="63"/>
      <c r="AA1" s="63"/>
      <c r="AB1" s="63"/>
      <c r="AC1" s="143" t="s">
        <v>3</v>
      </c>
      <c r="AD1" s="143"/>
      <c r="AE1" s="143"/>
      <c r="AF1" s="143"/>
      <c r="AG1" s="143"/>
      <c r="AH1" s="143"/>
      <c r="AI1" s="14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c r="BN1" s="63"/>
      <c r="BO1" s="63"/>
      <c r="BP1" s="3" t="s">
        <v>4</v>
      </c>
      <c r="BT1" s="3" t="s">
        <v>5</v>
      </c>
      <c r="BY1" s="3" t="s">
        <v>6</v>
      </c>
    </row>
    <row r="2" spans="1:91" ht="43.5">
      <c r="A2" s="3" t="s">
        <v>344</v>
      </c>
      <c r="B2" s="3" t="s">
        <v>7</v>
      </c>
      <c r="C2" s="3" t="s">
        <v>8</v>
      </c>
      <c r="D2" s="3" t="s">
        <v>9</v>
      </c>
      <c r="E2" s="3" t="s">
        <v>10</v>
      </c>
      <c r="F2" s="3" t="s">
        <v>11</v>
      </c>
      <c r="G2" s="3" t="s">
        <v>12</v>
      </c>
      <c r="H2" s="3" t="s">
        <v>13</v>
      </c>
      <c r="I2" s="3" t="s">
        <v>14</v>
      </c>
      <c r="J2" s="3" t="s">
        <v>15</v>
      </c>
      <c r="K2" s="39" t="s">
        <v>16</v>
      </c>
      <c r="L2" s="39" t="s">
        <v>17</v>
      </c>
      <c r="M2" s="39" t="s">
        <v>18</v>
      </c>
      <c r="N2" s="39" t="s">
        <v>19</v>
      </c>
      <c r="O2" s="39" t="s">
        <v>20</v>
      </c>
      <c r="P2" s="39" t="s">
        <v>21</v>
      </c>
      <c r="Q2" s="39" t="s">
        <v>22</v>
      </c>
      <c r="R2" s="39" t="s">
        <v>23</v>
      </c>
      <c r="S2" s="39" t="s">
        <v>24</v>
      </c>
      <c r="T2" s="39" t="s">
        <v>3203</v>
      </c>
      <c r="U2" s="39" t="s">
        <v>25</v>
      </c>
      <c r="V2" s="39" t="s">
        <v>26</v>
      </c>
      <c r="W2" s="39" t="s">
        <v>27</v>
      </c>
      <c r="X2" s="39" t="s">
        <v>28</v>
      </c>
      <c r="Y2" s="39" t="s">
        <v>29</v>
      </c>
      <c r="Z2" s="39" t="s">
        <v>30</v>
      </c>
      <c r="AA2" s="39" t="s">
        <v>31</v>
      </c>
      <c r="AB2" s="39" t="s">
        <v>32</v>
      </c>
      <c r="AC2" s="39" t="s">
        <v>33</v>
      </c>
      <c r="AD2" s="39" t="s">
        <v>34</v>
      </c>
      <c r="AE2" s="39" t="s">
        <v>35</v>
      </c>
      <c r="AF2" s="39" t="s">
        <v>36</v>
      </c>
      <c r="AG2" s="39" t="s">
        <v>37</v>
      </c>
      <c r="AH2" s="39" t="s">
        <v>38</v>
      </c>
      <c r="AI2" s="39" t="s">
        <v>39</v>
      </c>
      <c r="AJ2" s="39" t="s">
        <v>40</v>
      </c>
      <c r="AK2" s="39" t="s">
        <v>41</v>
      </c>
      <c r="AL2" s="39" t="s">
        <v>42</v>
      </c>
      <c r="AM2" s="39" t="s">
        <v>43</v>
      </c>
      <c r="AN2" s="39" t="s">
        <v>44</v>
      </c>
      <c r="AO2" s="39" t="s">
        <v>45</v>
      </c>
      <c r="AP2" s="39" t="s">
        <v>46</v>
      </c>
      <c r="AQ2" s="39" t="s">
        <v>47</v>
      </c>
      <c r="AR2" s="39" t="s">
        <v>48</v>
      </c>
      <c r="AS2" s="39" t="s">
        <v>49</v>
      </c>
      <c r="AT2" s="39" t="s">
        <v>50</v>
      </c>
      <c r="AU2" s="39" t="s">
        <v>51</v>
      </c>
      <c r="AV2" s="39" t="s">
        <v>52</v>
      </c>
      <c r="AW2" s="39" t="s">
        <v>53</v>
      </c>
      <c r="AX2" s="39" t="s">
        <v>54</v>
      </c>
      <c r="AY2" s="39" t="s">
        <v>55</v>
      </c>
      <c r="AZ2" s="39" t="s">
        <v>56</v>
      </c>
      <c r="BA2" s="39" t="s">
        <v>57</v>
      </c>
      <c r="BB2" s="39" t="s">
        <v>58</v>
      </c>
      <c r="BC2" s="39" t="s">
        <v>59</v>
      </c>
      <c r="BD2" s="39" t="s">
        <v>60</v>
      </c>
      <c r="BE2" s="39" t="s">
        <v>61</v>
      </c>
      <c r="BF2" s="39" t="s">
        <v>62</v>
      </c>
      <c r="BG2" s="39" t="s">
        <v>63</v>
      </c>
      <c r="BH2" s="39" t="s">
        <v>64</v>
      </c>
      <c r="BI2" s="39" t="s">
        <v>65</v>
      </c>
      <c r="BJ2" s="39" t="s">
        <v>66</v>
      </c>
      <c r="BK2" s="39" t="s">
        <v>67</v>
      </c>
      <c r="BL2" s="39" t="s">
        <v>68</v>
      </c>
      <c r="BM2" s="39" t="s">
        <v>69</v>
      </c>
      <c r="BN2" s="39" t="s">
        <v>70</v>
      </c>
      <c r="BO2" s="39" t="s">
        <v>71</v>
      </c>
      <c r="BP2" s="3" t="s">
        <v>72</v>
      </c>
      <c r="BQ2" s="3" t="s">
        <v>73</v>
      </c>
      <c r="BR2" s="3" t="s">
        <v>74</v>
      </c>
      <c r="BS2" s="3" t="s">
        <v>345</v>
      </c>
      <c r="BT2" s="3" t="s">
        <v>75</v>
      </c>
      <c r="BU2" s="3" t="s">
        <v>76</v>
      </c>
      <c r="BV2" s="3" t="s">
        <v>77</v>
      </c>
      <c r="BW2" s="3" t="s">
        <v>78</v>
      </c>
      <c r="BX2" s="3" t="s">
        <v>79</v>
      </c>
      <c r="BY2" s="3" t="s">
        <v>80</v>
      </c>
      <c r="BZ2" s="3" t="s">
        <v>81</v>
      </c>
      <c r="CA2" s="3" t="s">
        <v>82</v>
      </c>
      <c r="CB2" s="3" t="s">
        <v>83</v>
      </c>
      <c r="CC2" s="3" t="s">
        <v>84</v>
      </c>
      <c r="CD2" s="3" t="s">
        <v>85</v>
      </c>
      <c r="CE2" s="3" t="s">
        <v>2867</v>
      </c>
      <c r="CF2" s="3" t="s">
        <v>2868</v>
      </c>
      <c r="CG2" s="3" t="s">
        <v>2865</v>
      </c>
      <c r="CH2" s="3" t="s">
        <v>2866</v>
      </c>
      <c r="CI2" s="3" t="s">
        <v>86</v>
      </c>
      <c r="CJ2" s="3" t="s">
        <v>3177</v>
      </c>
      <c r="CL2" s="3" t="s">
        <v>87</v>
      </c>
      <c r="CM2" s="3" t="s">
        <v>3182</v>
      </c>
    </row>
    <row r="3" spans="1:91" ht="87" hidden="1">
      <c r="A3" s="3">
        <v>7</v>
      </c>
      <c r="B3" s="3" t="s">
        <v>204</v>
      </c>
      <c r="C3" s="3">
        <v>2014</v>
      </c>
      <c r="D3" s="3" t="s">
        <v>205</v>
      </c>
      <c r="E3" s="3">
        <v>44711</v>
      </c>
      <c r="F3" s="3" t="s">
        <v>90</v>
      </c>
      <c r="G3" s="3" t="s">
        <v>353</v>
      </c>
      <c r="I3" s="3" t="s">
        <v>207</v>
      </c>
      <c r="J3" s="3" t="s">
        <v>326</v>
      </c>
      <c r="K3" s="58" t="s">
        <v>97</v>
      </c>
      <c r="L3" s="58" t="s">
        <v>97</v>
      </c>
      <c r="M3" s="58" t="s">
        <v>95</v>
      </c>
      <c r="N3" s="58" t="s">
        <v>208</v>
      </c>
      <c r="O3" s="58" t="s">
        <v>97</v>
      </c>
      <c r="P3" s="58" t="s">
        <v>97</v>
      </c>
      <c r="Q3" s="58"/>
      <c r="R3" s="58"/>
      <c r="S3" s="58" t="s">
        <v>90</v>
      </c>
      <c r="T3" s="58" t="s">
        <v>114</v>
      </c>
      <c r="U3" s="58" t="s">
        <v>191</v>
      </c>
      <c r="V3" s="58" t="s">
        <v>99</v>
      </c>
      <c r="W3" s="58">
        <v>1</v>
      </c>
      <c r="X3" s="58" t="s">
        <v>209</v>
      </c>
      <c r="Y3" s="58" t="s">
        <v>210</v>
      </c>
      <c r="Z3" s="58" t="s">
        <v>102</v>
      </c>
      <c r="AA3" s="58" t="s">
        <v>211</v>
      </c>
      <c r="AB3" s="58" t="s">
        <v>212</v>
      </c>
      <c r="AC3" s="58" t="s">
        <v>105</v>
      </c>
      <c r="AD3" s="58" t="s">
        <v>213</v>
      </c>
      <c r="AE3" s="58" t="s">
        <v>214</v>
      </c>
      <c r="AF3" s="58" t="s">
        <v>108</v>
      </c>
      <c r="AG3" s="58">
        <v>1</v>
      </c>
      <c r="AH3" s="58" t="s">
        <v>160</v>
      </c>
      <c r="AI3" s="58" t="s">
        <v>155</v>
      </c>
      <c r="AJ3" s="58" t="s">
        <v>110</v>
      </c>
      <c r="AK3" s="58">
        <v>2</v>
      </c>
      <c r="AL3" s="58" t="s">
        <v>99</v>
      </c>
      <c r="AM3" s="58" t="s">
        <v>94</v>
      </c>
      <c r="AN3" s="58" t="s">
        <v>94</v>
      </c>
      <c r="AO3" s="58" t="s">
        <v>111</v>
      </c>
      <c r="AP3" s="58" t="s">
        <v>111</v>
      </c>
      <c r="AQ3" s="58" t="s">
        <v>155</v>
      </c>
      <c r="AR3" s="58" t="s">
        <v>119</v>
      </c>
      <c r="AS3" s="58" t="s">
        <v>114</v>
      </c>
      <c r="AT3" s="58" t="s">
        <v>120</v>
      </c>
      <c r="AU3" s="58" t="s">
        <v>116</v>
      </c>
      <c r="AV3" s="58" t="s">
        <v>215</v>
      </c>
      <c r="AW3" s="58">
        <v>5</v>
      </c>
      <c r="AX3" s="58"/>
      <c r="AY3" s="58"/>
      <c r="AZ3" s="58"/>
      <c r="BA3" s="58"/>
      <c r="BB3" s="58"/>
      <c r="BC3" s="58"/>
      <c r="BD3" s="58"/>
      <c r="BE3" s="58"/>
      <c r="BF3" s="58"/>
      <c r="BG3" s="58"/>
      <c r="BH3" s="58"/>
      <c r="BI3" s="58"/>
      <c r="BJ3" s="58"/>
      <c r="BK3" s="58"/>
      <c r="BL3" s="58"/>
      <c r="BM3" s="58"/>
      <c r="BN3" s="58"/>
      <c r="BO3" s="58"/>
      <c r="BP3" s="3">
        <v>0</v>
      </c>
      <c r="BQ3" s="3" t="s">
        <v>354</v>
      </c>
      <c r="BR3" s="3" t="s">
        <v>355</v>
      </c>
      <c r="BS3" s="3" t="s">
        <v>217</v>
      </c>
      <c r="BT3" s="3">
        <v>0</v>
      </c>
      <c r="BU3" s="3">
        <v>6.4200000000000004E-3</v>
      </c>
      <c r="BV3" s="3">
        <v>1.41E-2</v>
      </c>
      <c r="BW3" s="3" t="s">
        <v>129</v>
      </c>
      <c r="BX3" s="3">
        <v>10</v>
      </c>
      <c r="BY3" s="3">
        <v>1.5299999999999999E-2</v>
      </c>
      <c r="BZ3" s="3">
        <v>0.02</v>
      </c>
      <c r="CA3" s="3">
        <v>2.4799999999999999E-2</v>
      </c>
      <c r="CB3" s="3" t="s">
        <v>129</v>
      </c>
      <c r="CC3" s="3">
        <v>10</v>
      </c>
      <c r="CD3" s="3" t="s">
        <v>219</v>
      </c>
      <c r="CE3" s="3">
        <v>0.02</v>
      </c>
      <c r="CF3" s="3">
        <v>2.4799999999999999E-2</v>
      </c>
      <c r="CG3" s="3">
        <v>7.6799999999999993E-3</v>
      </c>
      <c r="CH3" s="3">
        <v>4.7999999999999987E-3</v>
      </c>
      <c r="CI3" s="3" t="s">
        <v>202</v>
      </c>
      <c r="CL3" s="3" t="s">
        <v>3197</v>
      </c>
      <c r="CM3" s="3" t="s">
        <v>3095</v>
      </c>
    </row>
    <row r="4" spans="1:91" ht="87" hidden="1">
      <c r="A4" s="3">
        <v>7</v>
      </c>
      <c r="B4" s="3" t="s">
        <v>204</v>
      </c>
      <c r="C4" s="3">
        <v>2014</v>
      </c>
      <c r="D4" s="3" t="s">
        <v>205</v>
      </c>
      <c r="E4" s="3">
        <v>44711</v>
      </c>
      <c r="F4" s="3" t="s">
        <v>90</v>
      </c>
      <c r="G4" s="3" t="s">
        <v>353</v>
      </c>
      <c r="I4" s="3" t="s">
        <v>207</v>
      </c>
      <c r="J4" s="3" t="s">
        <v>326</v>
      </c>
      <c r="K4" s="58" t="s">
        <v>97</v>
      </c>
      <c r="L4" s="58" t="s">
        <v>97</v>
      </c>
      <c r="M4" s="58" t="s">
        <v>95</v>
      </c>
      <c r="N4" s="58" t="s">
        <v>208</v>
      </c>
      <c r="O4" s="58" t="s">
        <v>97</v>
      </c>
      <c r="P4" s="58" t="s">
        <v>97</v>
      </c>
      <c r="Q4" s="58"/>
      <c r="R4" s="58"/>
      <c r="S4" s="58" t="s">
        <v>90</v>
      </c>
      <c r="T4" s="58" t="s">
        <v>114</v>
      </c>
      <c r="U4" s="58" t="s">
        <v>191</v>
      </c>
      <c r="V4" s="58" t="s">
        <v>99</v>
      </c>
      <c r="W4" s="58">
        <v>1</v>
      </c>
      <c r="X4" s="58" t="s">
        <v>209</v>
      </c>
      <c r="Y4" s="58" t="s">
        <v>210</v>
      </c>
      <c r="Z4" s="58" t="s">
        <v>102</v>
      </c>
      <c r="AA4" s="58" t="s">
        <v>211</v>
      </c>
      <c r="AB4" s="58" t="s">
        <v>212</v>
      </c>
      <c r="AC4" s="58" t="s">
        <v>105</v>
      </c>
      <c r="AD4" s="58" t="s">
        <v>213</v>
      </c>
      <c r="AE4" s="58" t="s">
        <v>214</v>
      </c>
      <c r="AF4" s="58" t="s">
        <v>108</v>
      </c>
      <c r="AG4" s="58">
        <v>1</v>
      </c>
      <c r="AH4" s="58" t="s">
        <v>160</v>
      </c>
      <c r="AI4" s="58" t="s">
        <v>155</v>
      </c>
      <c r="AJ4" s="58" t="s">
        <v>110</v>
      </c>
      <c r="AK4" s="58">
        <v>2</v>
      </c>
      <c r="AL4" s="58" t="s">
        <v>99</v>
      </c>
      <c r="AM4" s="58" t="s">
        <v>94</v>
      </c>
      <c r="AN4" s="58" t="s">
        <v>94</v>
      </c>
      <c r="AO4" s="58" t="s">
        <v>111</v>
      </c>
      <c r="AP4" s="58" t="s">
        <v>111</v>
      </c>
      <c r="AQ4" s="58" t="s">
        <v>155</v>
      </c>
      <c r="AR4" s="58" t="s">
        <v>119</v>
      </c>
      <c r="AS4" s="58" t="s">
        <v>114</v>
      </c>
      <c r="AT4" s="58" t="s">
        <v>120</v>
      </c>
      <c r="AU4" s="58" t="s">
        <v>116</v>
      </c>
      <c r="AV4" s="58" t="s">
        <v>215</v>
      </c>
      <c r="AW4" s="58">
        <v>5</v>
      </c>
      <c r="AX4" s="58"/>
      <c r="AY4" s="58"/>
      <c r="AZ4" s="58"/>
      <c r="BA4" s="58"/>
      <c r="BB4" s="58"/>
      <c r="BC4" s="58"/>
      <c r="BD4" s="58"/>
      <c r="BE4" s="58"/>
      <c r="BF4" s="58"/>
      <c r="BG4" s="58"/>
      <c r="BH4" s="58"/>
      <c r="BI4" s="58"/>
      <c r="BJ4" s="58"/>
      <c r="BK4" s="58"/>
      <c r="BL4" s="58"/>
      <c r="BM4" s="58"/>
      <c r="BN4" s="58"/>
      <c r="BO4" s="58"/>
      <c r="BP4" s="3">
        <v>2</v>
      </c>
      <c r="BQ4" s="3" t="s">
        <v>356</v>
      </c>
      <c r="BR4" s="3" t="s">
        <v>355</v>
      </c>
      <c r="BS4" s="3" t="s">
        <v>217</v>
      </c>
      <c r="BT4" s="3">
        <v>1.2200000000000001E-2</v>
      </c>
      <c r="BU4" s="3">
        <v>1.6400000000000001E-2</v>
      </c>
      <c r="BV4" s="3">
        <v>2.0500000000000001E-2</v>
      </c>
      <c r="BW4" s="3" t="s">
        <v>129</v>
      </c>
      <c r="BX4" s="3">
        <v>10</v>
      </c>
      <c r="BY4" s="3">
        <v>2.1399999999999999E-2</v>
      </c>
      <c r="BZ4" s="3">
        <v>2.6499999999999999E-2</v>
      </c>
      <c r="CA4" s="3">
        <v>3.15E-2</v>
      </c>
      <c r="CB4" s="3" t="s">
        <v>129</v>
      </c>
      <c r="CC4" s="3">
        <v>10</v>
      </c>
      <c r="CD4" s="3" t="s">
        <v>219</v>
      </c>
      <c r="CE4" s="3">
        <v>2.6499999999999999E-2</v>
      </c>
      <c r="CF4" s="3">
        <v>3.15E-2</v>
      </c>
      <c r="CG4" s="3">
        <v>4.0999999999999995E-3</v>
      </c>
      <c r="CH4" s="3">
        <v>5.000000000000001E-3</v>
      </c>
      <c r="CI4" s="3" t="s">
        <v>202</v>
      </c>
      <c r="CL4" s="3" t="s">
        <v>3197</v>
      </c>
      <c r="CM4" s="3" t="s">
        <v>3095</v>
      </c>
    </row>
    <row r="5" spans="1:91" ht="87" hidden="1">
      <c r="A5" s="3">
        <v>7</v>
      </c>
      <c r="B5" s="3" t="s">
        <v>204</v>
      </c>
      <c r="C5" s="3">
        <v>2014</v>
      </c>
      <c r="D5" s="3" t="s">
        <v>205</v>
      </c>
      <c r="E5" s="3">
        <v>44711</v>
      </c>
      <c r="F5" s="3" t="s">
        <v>90</v>
      </c>
      <c r="G5" s="3" t="s">
        <v>353</v>
      </c>
      <c r="I5" s="3" t="s">
        <v>207</v>
      </c>
      <c r="J5" s="3" t="s">
        <v>326</v>
      </c>
      <c r="K5" s="58" t="s">
        <v>97</v>
      </c>
      <c r="L5" s="58" t="s">
        <v>97</v>
      </c>
      <c r="M5" s="58" t="s">
        <v>95</v>
      </c>
      <c r="N5" s="58" t="s">
        <v>208</v>
      </c>
      <c r="O5" s="58" t="s">
        <v>97</v>
      </c>
      <c r="P5" s="58" t="s">
        <v>97</v>
      </c>
      <c r="Q5" s="58"/>
      <c r="R5" s="58"/>
      <c r="S5" s="58" t="s">
        <v>90</v>
      </c>
      <c r="T5" s="58" t="s">
        <v>114</v>
      </c>
      <c r="U5" s="58" t="s">
        <v>191</v>
      </c>
      <c r="V5" s="58" t="s">
        <v>99</v>
      </c>
      <c r="W5" s="58">
        <v>1</v>
      </c>
      <c r="X5" s="58" t="s">
        <v>209</v>
      </c>
      <c r="Y5" s="58" t="s">
        <v>210</v>
      </c>
      <c r="Z5" s="58" t="s">
        <v>102</v>
      </c>
      <c r="AA5" s="58" t="s">
        <v>211</v>
      </c>
      <c r="AB5" s="58" t="s">
        <v>212</v>
      </c>
      <c r="AC5" s="58" t="s">
        <v>105</v>
      </c>
      <c r="AD5" s="58" t="s">
        <v>213</v>
      </c>
      <c r="AE5" s="58" t="s">
        <v>214</v>
      </c>
      <c r="AF5" s="58" t="s">
        <v>108</v>
      </c>
      <c r="AG5" s="58">
        <v>1</v>
      </c>
      <c r="AH5" s="58" t="s">
        <v>160</v>
      </c>
      <c r="AI5" s="58" t="s">
        <v>155</v>
      </c>
      <c r="AJ5" s="58" t="s">
        <v>110</v>
      </c>
      <c r="AK5" s="58">
        <v>2</v>
      </c>
      <c r="AL5" s="58" t="s">
        <v>99</v>
      </c>
      <c r="AM5" s="58" t="s">
        <v>94</v>
      </c>
      <c r="AN5" s="58" t="s">
        <v>94</v>
      </c>
      <c r="AO5" s="58" t="s">
        <v>111</v>
      </c>
      <c r="AP5" s="58" t="s">
        <v>111</v>
      </c>
      <c r="AQ5" s="58" t="s">
        <v>155</v>
      </c>
      <c r="AR5" s="58" t="s">
        <v>119</v>
      </c>
      <c r="AS5" s="58" t="s">
        <v>114</v>
      </c>
      <c r="AT5" s="58" t="s">
        <v>120</v>
      </c>
      <c r="AU5" s="58" t="s">
        <v>116</v>
      </c>
      <c r="AV5" s="58" t="s">
        <v>215</v>
      </c>
      <c r="AW5" s="58">
        <v>5</v>
      </c>
      <c r="AX5" s="58"/>
      <c r="AY5" s="58"/>
      <c r="AZ5" s="58"/>
      <c r="BA5" s="58"/>
      <c r="BB5" s="58"/>
      <c r="BC5" s="58"/>
      <c r="BD5" s="58"/>
      <c r="BE5" s="58"/>
      <c r="BF5" s="58"/>
      <c r="BG5" s="58"/>
      <c r="BH5" s="58"/>
      <c r="BI5" s="58"/>
      <c r="BJ5" s="58"/>
      <c r="BK5" s="58"/>
      <c r="BL5" s="58"/>
      <c r="BM5" s="58"/>
      <c r="BN5" s="58"/>
      <c r="BO5" s="58"/>
      <c r="BP5" s="3">
        <v>6</v>
      </c>
      <c r="BQ5" s="3" t="s">
        <v>357</v>
      </c>
      <c r="BR5" s="3" t="s">
        <v>355</v>
      </c>
      <c r="BS5" s="3" t="s">
        <v>217</v>
      </c>
      <c r="BT5" s="3">
        <v>1.66E-2</v>
      </c>
      <c r="BU5" s="3">
        <v>2.3099999999999999E-2</v>
      </c>
      <c r="BV5" s="3">
        <v>3.0300000000000001E-2</v>
      </c>
      <c r="BW5" s="3" t="s">
        <v>129</v>
      </c>
      <c r="BX5" s="3">
        <v>10</v>
      </c>
      <c r="BY5" s="3">
        <v>3.3700000000000001E-2</v>
      </c>
      <c r="BZ5" s="3">
        <v>4.0099999999999997E-2</v>
      </c>
      <c r="CA5" s="3">
        <v>4.6600000000000003E-2</v>
      </c>
      <c r="CB5" s="3" t="s">
        <v>129</v>
      </c>
      <c r="CC5" s="3">
        <v>10</v>
      </c>
      <c r="CD5" s="3" t="s">
        <v>219</v>
      </c>
      <c r="CE5" s="3">
        <v>4.0099999999999997E-2</v>
      </c>
      <c r="CF5" s="3">
        <v>4.6600000000000003E-2</v>
      </c>
      <c r="CG5" s="3">
        <v>7.2000000000000015E-3</v>
      </c>
      <c r="CH5" s="3">
        <v>6.5000000000000058E-3</v>
      </c>
      <c r="CI5" s="3" t="s">
        <v>202</v>
      </c>
      <c r="CL5" s="3" t="s">
        <v>3197</v>
      </c>
      <c r="CM5" s="3" t="s">
        <v>3095</v>
      </c>
    </row>
    <row r="6" spans="1:91" ht="87" hidden="1">
      <c r="A6" s="3">
        <v>7</v>
      </c>
      <c r="B6" s="3" t="s">
        <v>204</v>
      </c>
      <c r="C6" s="3">
        <v>2014</v>
      </c>
      <c r="D6" s="3" t="s">
        <v>205</v>
      </c>
      <c r="E6" s="3">
        <v>44711</v>
      </c>
      <c r="F6" s="3" t="s">
        <v>90</v>
      </c>
      <c r="G6" s="3" t="s">
        <v>353</v>
      </c>
      <c r="I6" s="3" t="s">
        <v>207</v>
      </c>
      <c r="J6" s="3" t="s">
        <v>326</v>
      </c>
      <c r="K6" s="58" t="s">
        <v>97</v>
      </c>
      <c r="L6" s="58" t="s">
        <v>97</v>
      </c>
      <c r="M6" s="58" t="s">
        <v>95</v>
      </c>
      <c r="N6" s="58" t="s">
        <v>208</v>
      </c>
      <c r="O6" s="58" t="s">
        <v>97</v>
      </c>
      <c r="P6" s="58" t="s">
        <v>97</v>
      </c>
      <c r="Q6" s="58"/>
      <c r="R6" s="58"/>
      <c r="S6" s="58" t="s">
        <v>90</v>
      </c>
      <c r="T6" s="58" t="s">
        <v>114</v>
      </c>
      <c r="U6" s="58" t="s">
        <v>191</v>
      </c>
      <c r="V6" s="58" t="s">
        <v>99</v>
      </c>
      <c r="W6" s="58">
        <v>1</v>
      </c>
      <c r="X6" s="58" t="s">
        <v>209</v>
      </c>
      <c r="Y6" s="58" t="s">
        <v>210</v>
      </c>
      <c r="Z6" s="58" t="s">
        <v>102</v>
      </c>
      <c r="AA6" s="58" t="s">
        <v>211</v>
      </c>
      <c r="AB6" s="58" t="s">
        <v>212</v>
      </c>
      <c r="AC6" s="58" t="s">
        <v>105</v>
      </c>
      <c r="AD6" s="58" t="s">
        <v>213</v>
      </c>
      <c r="AE6" s="58" t="s">
        <v>214</v>
      </c>
      <c r="AF6" s="58" t="s">
        <v>108</v>
      </c>
      <c r="AG6" s="58">
        <v>1</v>
      </c>
      <c r="AH6" s="58" t="s">
        <v>160</v>
      </c>
      <c r="AI6" s="58" t="s">
        <v>155</v>
      </c>
      <c r="AJ6" s="58" t="s">
        <v>110</v>
      </c>
      <c r="AK6" s="58">
        <v>2</v>
      </c>
      <c r="AL6" s="58" t="s">
        <v>99</v>
      </c>
      <c r="AM6" s="58" t="s">
        <v>94</v>
      </c>
      <c r="AN6" s="58" t="s">
        <v>94</v>
      </c>
      <c r="AO6" s="58" t="s">
        <v>111</v>
      </c>
      <c r="AP6" s="58" t="s">
        <v>111</v>
      </c>
      <c r="AQ6" s="58" t="s">
        <v>155</v>
      </c>
      <c r="AR6" s="58" t="s">
        <v>119</v>
      </c>
      <c r="AS6" s="58" t="s">
        <v>114</v>
      </c>
      <c r="AT6" s="58" t="s">
        <v>120</v>
      </c>
      <c r="AU6" s="58" t="s">
        <v>116</v>
      </c>
      <c r="AV6" s="58" t="s">
        <v>215</v>
      </c>
      <c r="AW6" s="58">
        <v>5</v>
      </c>
      <c r="AX6" s="58"/>
      <c r="AY6" s="58"/>
      <c r="AZ6" s="58"/>
      <c r="BA6" s="58"/>
      <c r="BB6" s="58"/>
      <c r="BC6" s="58"/>
      <c r="BD6" s="58"/>
      <c r="BE6" s="58"/>
      <c r="BF6" s="58"/>
      <c r="BG6" s="58"/>
      <c r="BH6" s="58"/>
      <c r="BI6" s="58"/>
      <c r="BJ6" s="58"/>
      <c r="BK6" s="58"/>
      <c r="BL6" s="58"/>
      <c r="BM6" s="58"/>
      <c r="BN6" s="58"/>
      <c r="BO6" s="58"/>
      <c r="BP6" s="3">
        <v>10</v>
      </c>
      <c r="BQ6" s="3" t="s">
        <v>358</v>
      </c>
      <c r="BR6" s="3" t="s">
        <v>355</v>
      </c>
      <c r="BS6" s="3" t="s">
        <v>217</v>
      </c>
      <c r="BT6" s="3">
        <v>1.2699999999999999E-2</v>
      </c>
      <c r="BU6" s="3">
        <v>1.9300000000000001E-2</v>
      </c>
      <c r="BV6" s="3">
        <v>2.5999999999999999E-2</v>
      </c>
      <c r="BW6" s="3" t="s">
        <v>129</v>
      </c>
      <c r="BX6" s="3">
        <v>10</v>
      </c>
      <c r="BY6" s="3">
        <v>2.8199999999999999E-2</v>
      </c>
      <c r="BZ6" s="3">
        <v>3.73E-2</v>
      </c>
      <c r="CA6" s="3">
        <v>4.6100000000000002E-2</v>
      </c>
      <c r="CB6" s="3" t="s">
        <v>129</v>
      </c>
      <c r="CC6" s="3">
        <v>10</v>
      </c>
      <c r="CD6" s="3" t="s">
        <v>219</v>
      </c>
      <c r="CE6" s="3">
        <v>3.73E-2</v>
      </c>
      <c r="CF6" s="3">
        <v>4.6100000000000002E-2</v>
      </c>
      <c r="CG6" s="3">
        <v>6.6999999999999976E-3</v>
      </c>
      <c r="CH6" s="3">
        <v>8.8000000000000023E-3</v>
      </c>
      <c r="CI6" s="3" t="s">
        <v>202</v>
      </c>
      <c r="CL6" s="3" t="s">
        <v>3197</v>
      </c>
      <c r="CM6" s="3" t="s">
        <v>3095</v>
      </c>
    </row>
    <row r="7" spans="1:91" ht="87" hidden="1">
      <c r="A7" s="3">
        <v>7</v>
      </c>
      <c r="B7" s="3" t="s">
        <v>204</v>
      </c>
      <c r="C7" s="3">
        <v>2014</v>
      </c>
      <c r="D7" s="3" t="s">
        <v>205</v>
      </c>
      <c r="E7" s="3">
        <v>44711</v>
      </c>
      <c r="F7" s="3" t="s">
        <v>90</v>
      </c>
      <c r="G7" s="3" t="s">
        <v>353</v>
      </c>
      <c r="I7" s="3" t="s">
        <v>207</v>
      </c>
      <c r="J7" s="3" t="s">
        <v>326</v>
      </c>
      <c r="K7" s="58" t="s">
        <v>97</v>
      </c>
      <c r="L7" s="58" t="s">
        <v>97</v>
      </c>
      <c r="M7" s="58" t="s">
        <v>95</v>
      </c>
      <c r="N7" s="58" t="s">
        <v>208</v>
      </c>
      <c r="O7" s="58" t="s">
        <v>97</v>
      </c>
      <c r="P7" s="58" t="s">
        <v>97</v>
      </c>
      <c r="Q7" s="58"/>
      <c r="R7" s="58"/>
      <c r="S7" s="58" t="s">
        <v>90</v>
      </c>
      <c r="T7" s="58" t="s">
        <v>114</v>
      </c>
      <c r="U7" s="58" t="s">
        <v>191</v>
      </c>
      <c r="V7" s="58" t="s">
        <v>99</v>
      </c>
      <c r="W7" s="58">
        <v>1</v>
      </c>
      <c r="X7" s="58" t="s">
        <v>209</v>
      </c>
      <c r="Y7" s="58" t="s">
        <v>210</v>
      </c>
      <c r="Z7" s="58" t="s">
        <v>102</v>
      </c>
      <c r="AA7" s="58" t="s">
        <v>211</v>
      </c>
      <c r="AB7" s="58" t="s">
        <v>212</v>
      </c>
      <c r="AC7" s="58" t="s">
        <v>105</v>
      </c>
      <c r="AD7" s="58" t="s">
        <v>213</v>
      </c>
      <c r="AE7" s="58" t="s">
        <v>214</v>
      </c>
      <c r="AF7" s="58" t="s">
        <v>108</v>
      </c>
      <c r="AG7" s="58">
        <v>1</v>
      </c>
      <c r="AH7" s="58" t="s">
        <v>160</v>
      </c>
      <c r="AI7" s="58" t="s">
        <v>155</v>
      </c>
      <c r="AJ7" s="58" t="s">
        <v>110</v>
      </c>
      <c r="AK7" s="58">
        <v>2</v>
      </c>
      <c r="AL7" s="58" t="s">
        <v>99</v>
      </c>
      <c r="AM7" s="58" t="s">
        <v>94</v>
      </c>
      <c r="AN7" s="58" t="s">
        <v>94</v>
      </c>
      <c r="AO7" s="58" t="s">
        <v>111</v>
      </c>
      <c r="AP7" s="58" t="s">
        <v>111</v>
      </c>
      <c r="AQ7" s="58" t="s">
        <v>155</v>
      </c>
      <c r="AR7" s="58" t="s">
        <v>119</v>
      </c>
      <c r="AS7" s="58" t="s">
        <v>114</v>
      </c>
      <c r="AT7" s="58" t="s">
        <v>120</v>
      </c>
      <c r="AU7" s="58" t="s">
        <v>116</v>
      </c>
      <c r="AV7" s="58" t="s">
        <v>215</v>
      </c>
      <c r="AW7" s="58">
        <v>5</v>
      </c>
      <c r="AX7" s="58"/>
      <c r="AY7" s="58"/>
      <c r="AZ7" s="58"/>
      <c r="BA7" s="58"/>
      <c r="BB7" s="58"/>
      <c r="BC7" s="58"/>
      <c r="BD7" s="58"/>
      <c r="BE7" s="58"/>
      <c r="BF7" s="58"/>
      <c r="BG7" s="58"/>
      <c r="BH7" s="58"/>
      <c r="BI7" s="58"/>
      <c r="BJ7" s="58"/>
      <c r="BK7" s="58"/>
      <c r="BL7" s="58"/>
      <c r="BM7" s="58"/>
      <c r="BN7" s="58"/>
      <c r="BO7" s="58"/>
      <c r="BP7" s="3">
        <v>14</v>
      </c>
      <c r="BQ7" s="3" t="s">
        <v>359</v>
      </c>
      <c r="BR7" s="3" t="s">
        <v>355</v>
      </c>
      <c r="BS7" s="3" t="s">
        <v>217</v>
      </c>
      <c r="BT7" s="3">
        <v>1.5599999999999999E-2</v>
      </c>
      <c r="BU7" s="3">
        <v>2.23E-2</v>
      </c>
      <c r="BV7" s="3">
        <v>2.9700000000000001E-2</v>
      </c>
      <c r="BW7" s="3" t="s">
        <v>129</v>
      </c>
      <c r="BX7" s="3">
        <v>10</v>
      </c>
      <c r="BY7" s="3">
        <v>2.01E-2</v>
      </c>
      <c r="BZ7" s="3">
        <v>2.3900000000000001E-2</v>
      </c>
      <c r="CA7" s="3">
        <v>2.7400000000000001E-2</v>
      </c>
      <c r="CB7" s="3" t="s">
        <v>129</v>
      </c>
      <c r="CC7" s="3">
        <v>10</v>
      </c>
      <c r="CD7" s="3" t="s">
        <v>219</v>
      </c>
      <c r="CE7" s="3">
        <v>2.3900000000000001E-2</v>
      </c>
      <c r="CF7" s="3">
        <v>2.7400000000000001E-2</v>
      </c>
      <c r="CG7" s="3">
        <v>7.4000000000000003E-3</v>
      </c>
      <c r="CH7" s="3">
        <v>3.4999999999999996E-3</v>
      </c>
      <c r="CI7" s="3" t="s">
        <v>202</v>
      </c>
      <c r="CL7" s="3" t="s">
        <v>3197</v>
      </c>
      <c r="CM7" s="3" t="s">
        <v>3095</v>
      </c>
    </row>
    <row r="8" spans="1:91" ht="43.5" hidden="1">
      <c r="A8" s="3">
        <v>10</v>
      </c>
      <c r="B8" s="3" t="s">
        <v>187</v>
      </c>
      <c r="C8" s="3">
        <v>2015</v>
      </c>
      <c r="D8" s="3" t="s">
        <v>188</v>
      </c>
      <c r="E8" s="3">
        <v>44895</v>
      </c>
      <c r="F8" s="3" t="s">
        <v>90</v>
      </c>
      <c r="G8" s="3" t="s">
        <v>91</v>
      </c>
      <c r="I8" s="3" t="s">
        <v>189</v>
      </c>
      <c r="K8" s="39" t="s">
        <v>97</v>
      </c>
      <c r="L8" s="39" t="s">
        <v>97</v>
      </c>
      <c r="M8" s="39" t="s">
        <v>95</v>
      </c>
      <c r="N8" s="39" t="s">
        <v>190</v>
      </c>
      <c r="O8" s="39" t="s">
        <v>97</v>
      </c>
      <c r="P8" s="39" t="s">
        <v>97</v>
      </c>
      <c r="Q8" s="39"/>
      <c r="R8" s="39"/>
      <c r="S8" s="39" t="s">
        <v>90</v>
      </c>
      <c r="T8" s="58" t="s">
        <v>114</v>
      </c>
      <c r="U8" s="39" t="s">
        <v>191</v>
      </c>
      <c r="V8" s="39" t="s">
        <v>99</v>
      </c>
      <c r="W8" s="39">
        <v>1</v>
      </c>
      <c r="X8" s="39" t="s">
        <v>192</v>
      </c>
      <c r="Y8" s="39" t="s">
        <v>193</v>
      </c>
      <c r="Z8" s="39" t="s">
        <v>102</v>
      </c>
      <c r="AA8" s="39" t="s">
        <v>3102</v>
      </c>
      <c r="AB8" s="39" t="s">
        <v>194</v>
      </c>
      <c r="AC8" s="39" t="s">
        <v>105</v>
      </c>
      <c r="AD8" s="39" t="s">
        <v>195</v>
      </c>
      <c r="AE8" s="39" t="s">
        <v>196</v>
      </c>
      <c r="AF8" s="39" t="s">
        <v>197</v>
      </c>
      <c r="AG8" s="39">
        <v>1</v>
      </c>
      <c r="AH8" s="39" t="s">
        <v>160</v>
      </c>
      <c r="AI8" s="39" t="s">
        <v>155</v>
      </c>
      <c r="AJ8" s="39" t="s">
        <v>110</v>
      </c>
      <c r="AK8" s="39">
        <v>2</v>
      </c>
      <c r="AL8" s="39" t="s">
        <v>99</v>
      </c>
      <c r="AM8" s="39" t="s">
        <v>94</v>
      </c>
      <c r="AN8" s="39" t="s">
        <v>94</v>
      </c>
      <c r="AO8" s="39" t="s">
        <v>111</v>
      </c>
      <c r="AP8" s="39" t="s">
        <v>111</v>
      </c>
      <c r="AQ8" s="39" t="s">
        <v>155</v>
      </c>
      <c r="AR8" s="39" t="s">
        <v>119</v>
      </c>
      <c r="AS8" s="39" t="s">
        <v>114</v>
      </c>
      <c r="AT8" s="39" t="s">
        <v>120</v>
      </c>
      <c r="AU8" s="39" t="s">
        <v>116</v>
      </c>
      <c r="AV8" s="39" t="s">
        <v>198</v>
      </c>
      <c r="AW8" s="39">
        <v>2</v>
      </c>
      <c r="AX8" s="39"/>
      <c r="AY8" s="39"/>
      <c r="AZ8" s="39"/>
      <c r="BA8" s="39"/>
      <c r="BB8" s="39"/>
      <c r="BC8" s="39"/>
      <c r="BD8" s="39"/>
      <c r="BE8" s="39"/>
      <c r="BF8" s="39"/>
      <c r="BG8" s="39"/>
      <c r="BH8" s="39"/>
      <c r="BI8" s="39"/>
      <c r="BJ8" s="39"/>
      <c r="BK8" s="39"/>
      <c r="BL8" s="39"/>
      <c r="BM8" s="39"/>
      <c r="BN8" s="39"/>
      <c r="BO8" s="39"/>
      <c r="BP8" s="3">
        <v>0</v>
      </c>
      <c r="BQ8" s="3" t="s">
        <v>199</v>
      </c>
      <c r="BR8" s="3" t="s">
        <v>355</v>
      </c>
      <c r="BS8" s="3" t="s">
        <v>200</v>
      </c>
      <c r="BT8" s="3" t="s">
        <v>111</v>
      </c>
      <c r="BU8" s="3">
        <v>9.2999999999999992E-3</v>
      </c>
      <c r="BV8" s="3">
        <v>9.8099999999999993E-3</v>
      </c>
      <c r="BW8" s="3" t="s">
        <v>129</v>
      </c>
      <c r="BX8" s="3">
        <v>45</v>
      </c>
      <c r="BY8" s="3" t="s">
        <v>111</v>
      </c>
      <c r="BZ8" s="3">
        <v>1.18E-2</v>
      </c>
      <c r="CA8" s="3">
        <v>1.23E-3</v>
      </c>
      <c r="CB8" s="3" t="s">
        <v>129</v>
      </c>
      <c r="CC8" s="3">
        <v>45</v>
      </c>
      <c r="CD8" s="3" t="s">
        <v>201</v>
      </c>
      <c r="CE8" s="3">
        <v>1.18E-2</v>
      </c>
      <c r="CF8" s="3">
        <v>1.23E-3</v>
      </c>
      <c r="CG8" s="3">
        <v>5.1000000000000004E-4</v>
      </c>
      <c r="CH8" s="3">
        <v>-1.057E-2</v>
      </c>
      <c r="CI8" s="3" t="s">
        <v>202</v>
      </c>
      <c r="CM8" s="3" t="s">
        <v>3095</v>
      </c>
    </row>
    <row r="9" spans="1:91" ht="43.5" hidden="1">
      <c r="A9" s="3">
        <v>10</v>
      </c>
      <c r="B9" s="3" t="s">
        <v>187</v>
      </c>
      <c r="C9" s="3">
        <v>2015</v>
      </c>
      <c r="D9" s="3" t="s">
        <v>188</v>
      </c>
      <c r="E9" s="3">
        <v>44895</v>
      </c>
      <c r="F9" s="3" t="s">
        <v>90</v>
      </c>
      <c r="G9" s="3" t="s">
        <v>91</v>
      </c>
      <c r="I9" s="3" t="s">
        <v>189</v>
      </c>
      <c r="K9" s="39" t="s">
        <v>97</v>
      </c>
      <c r="L9" s="39" t="s">
        <v>97</v>
      </c>
      <c r="M9" s="39" t="s">
        <v>95</v>
      </c>
      <c r="N9" s="39" t="s">
        <v>190</v>
      </c>
      <c r="O9" s="39" t="s">
        <v>97</v>
      </c>
      <c r="P9" s="39" t="s">
        <v>97</v>
      </c>
      <c r="Q9" s="39"/>
      <c r="R9" s="39"/>
      <c r="S9" s="39" t="s">
        <v>90</v>
      </c>
      <c r="T9" s="58" t="s">
        <v>114</v>
      </c>
      <c r="U9" s="39" t="s">
        <v>191</v>
      </c>
      <c r="V9" s="39" t="s">
        <v>99</v>
      </c>
      <c r="W9" s="39">
        <v>1</v>
      </c>
      <c r="X9" s="39" t="s">
        <v>192</v>
      </c>
      <c r="Y9" s="39" t="s">
        <v>193</v>
      </c>
      <c r="Z9" s="39" t="s">
        <v>102</v>
      </c>
      <c r="AA9" s="39" t="s">
        <v>3102</v>
      </c>
      <c r="AB9" s="39" t="s">
        <v>194</v>
      </c>
      <c r="AC9" s="39" t="s">
        <v>105</v>
      </c>
      <c r="AD9" s="39" t="s">
        <v>195</v>
      </c>
      <c r="AE9" s="39" t="s">
        <v>196</v>
      </c>
      <c r="AF9" s="39" t="s">
        <v>197</v>
      </c>
      <c r="AG9" s="39">
        <v>1</v>
      </c>
      <c r="AH9" s="39" t="s">
        <v>160</v>
      </c>
      <c r="AI9" s="39" t="s">
        <v>155</v>
      </c>
      <c r="AJ9" s="39" t="s">
        <v>110</v>
      </c>
      <c r="AK9" s="39">
        <v>2</v>
      </c>
      <c r="AL9" s="39" t="s">
        <v>99</v>
      </c>
      <c r="AM9" s="39" t="s">
        <v>94</v>
      </c>
      <c r="AN9" s="39" t="s">
        <v>94</v>
      </c>
      <c r="AO9" s="39" t="s">
        <v>111</v>
      </c>
      <c r="AP9" s="39" t="s">
        <v>111</v>
      </c>
      <c r="AQ9" s="39" t="s">
        <v>155</v>
      </c>
      <c r="AR9" s="39" t="s">
        <v>119</v>
      </c>
      <c r="AS9" s="39" t="s">
        <v>114</v>
      </c>
      <c r="AT9" s="39" t="s">
        <v>120</v>
      </c>
      <c r="AU9" s="39" t="s">
        <v>116</v>
      </c>
      <c r="AV9" s="39" t="s">
        <v>198</v>
      </c>
      <c r="AW9" s="39">
        <v>2</v>
      </c>
      <c r="AX9" s="39"/>
      <c r="AY9" s="39"/>
      <c r="AZ9" s="39"/>
      <c r="BA9" s="39"/>
      <c r="BB9" s="39"/>
      <c r="BC9" s="39"/>
      <c r="BD9" s="39"/>
      <c r="BE9" s="39"/>
      <c r="BF9" s="39"/>
      <c r="BG9" s="39"/>
      <c r="BH9" s="39"/>
      <c r="BI9" s="39"/>
      <c r="BJ9" s="39"/>
      <c r="BK9" s="39"/>
      <c r="BL9" s="39"/>
      <c r="BM9" s="39"/>
      <c r="BN9" s="39"/>
      <c r="BO9" s="39"/>
      <c r="BP9" s="3">
        <v>4</v>
      </c>
      <c r="BQ9" s="3" t="s">
        <v>203</v>
      </c>
      <c r="BR9" s="3" t="s">
        <v>355</v>
      </c>
      <c r="BS9" s="3" t="s">
        <v>200</v>
      </c>
      <c r="BT9" s="3" t="s">
        <v>111</v>
      </c>
      <c r="BU9" s="3">
        <v>8.0800000000000004E-3</v>
      </c>
      <c r="BV9" s="3">
        <v>8.6199999999999992E-3</v>
      </c>
      <c r="BW9" s="3" t="s">
        <v>129</v>
      </c>
      <c r="BX9" s="3">
        <v>45</v>
      </c>
      <c r="BY9" s="3" t="s">
        <v>111</v>
      </c>
      <c r="BZ9" s="3">
        <v>1.43E-2</v>
      </c>
      <c r="CA9" s="3">
        <v>1.5100000000000001E-2</v>
      </c>
      <c r="CB9" s="3" t="s">
        <v>129</v>
      </c>
      <c r="CC9" s="3">
        <v>45</v>
      </c>
      <c r="CD9" s="3" t="s">
        <v>201</v>
      </c>
      <c r="CE9" s="3">
        <v>1.43E-2</v>
      </c>
      <c r="CF9" s="3">
        <v>1.5100000000000001E-2</v>
      </c>
      <c r="CG9" s="3">
        <v>5.3999999999999881E-4</v>
      </c>
      <c r="CH9" s="3">
        <v>8.0000000000000036E-4</v>
      </c>
      <c r="CI9" s="3" t="s">
        <v>202</v>
      </c>
      <c r="CM9" s="3" t="s">
        <v>3095</v>
      </c>
    </row>
    <row r="10" spans="1:91" ht="72.5" hidden="1">
      <c r="A10" s="3">
        <v>8</v>
      </c>
      <c r="B10" s="3" t="s">
        <v>292</v>
      </c>
      <c r="C10" s="3">
        <v>2014</v>
      </c>
      <c r="D10" s="3" t="s">
        <v>293</v>
      </c>
      <c r="E10" s="3">
        <v>44706</v>
      </c>
      <c r="F10" s="3" t="s">
        <v>90</v>
      </c>
      <c r="G10" s="3" t="s">
        <v>91</v>
      </c>
      <c r="I10" s="3" t="s">
        <v>294</v>
      </c>
      <c r="J10" s="3" t="s">
        <v>295</v>
      </c>
      <c r="K10" s="39" t="s">
        <v>94</v>
      </c>
      <c r="L10" s="39" t="s">
        <v>94</v>
      </c>
      <c r="M10" s="39" t="s">
        <v>95</v>
      </c>
      <c r="N10" s="39" t="s">
        <v>296</v>
      </c>
      <c r="O10" s="39" t="s">
        <v>97</v>
      </c>
      <c r="P10" s="39" t="s">
        <v>97</v>
      </c>
      <c r="Q10" s="39"/>
      <c r="R10" s="39"/>
      <c r="S10" s="39" t="s">
        <v>90</v>
      </c>
      <c r="T10" s="58" t="s">
        <v>114</v>
      </c>
      <c r="U10" s="39" t="s">
        <v>98</v>
      </c>
      <c r="V10" s="39" t="s">
        <v>99</v>
      </c>
      <c r="W10" s="39">
        <v>1</v>
      </c>
      <c r="X10" s="39" t="s">
        <v>297</v>
      </c>
      <c r="Y10" s="39" t="s">
        <v>298</v>
      </c>
      <c r="Z10" s="39" t="s">
        <v>568</v>
      </c>
      <c r="AA10" s="39" t="s">
        <v>299</v>
      </c>
      <c r="AB10" s="39" t="s">
        <v>300</v>
      </c>
      <c r="AC10" s="39" t="s">
        <v>105</v>
      </c>
      <c r="AD10" s="39" t="s">
        <v>301</v>
      </c>
      <c r="AE10" s="39" t="s">
        <v>302</v>
      </c>
      <c r="AF10" s="39" t="s">
        <v>108</v>
      </c>
      <c r="AG10" s="39">
        <v>1</v>
      </c>
      <c r="AH10" s="39" t="s">
        <v>160</v>
      </c>
      <c r="AI10" s="39" t="s">
        <v>155</v>
      </c>
      <c r="AJ10" s="39" t="s">
        <v>110</v>
      </c>
      <c r="AK10" s="39">
        <v>2</v>
      </c>
      <c r="AL10" s="39" t="s">
        <v>99</v>
      </c>
      <c r="AM10" s="39" t="s">
        <v>94</v>
      </c>
      <c r="AN10" s="39" t="s">
        <v>94</v>
      </c>
      <c r="AO10" s="39" t="s">
        <v>111</v>
      </c>
      <c r="AP10" s="39" t="s">
        <v>111</v>
      </c>
      <c r="AQ10" s="39" t="s">
        <v>155</v>
      </c>
      <c r="AR10" s="39" t="s">
        <v>119</v>
      </c>
      <c r="AS10" s="39" t="s">
        <v>114</v>
      </c>
      <c r="AT10" s="39" t="s">
        <v>120</v>
      </c>
      <c r="AU10" s="39" t="s">
        <v>116</v>
      </c>
      <c r="AV10" s="39" t="s">
        <v>303</v>
      </c>
      <c r="AW10" s="39">
        <v>2</v>
      </c>
      <c r="AX10" s="39"/>
      <c r="AY10" s="39"/>
      <c r="AZ10" s="39"/>
      <c r="BA10" s="39"/>
      <c r="BB10" s="39"/>
      <c r="BC10" s="39"/>
      <c r="BD10" s="39"/>
      <c r="BE10" s="39"/>
      <c r="BF10" s="39"/>
      <c r="BG10" s="39"/>
      <c r="BH10" s="39"/>
      <c r="BI10" s="39"/>
      <c r="BJ10" s="39"/>
      <c r="BK10" s="39"/>
      <c r="BL10" s="39"/>
      <c r="BM10" s="39"/>
      <c r="BN10" s="39"/>
      <c r="BO10" s="39"/>
      <c r="BP10" s="3">
        <v>0</v>
      </c>
      <c r="BQ10" s="3" t="s">
        <v>126</v>
      </c>
      <c r="BR10" s="3" t="s">
        <v>355</v>
      </c>
      <c r="BS10" s="3" t="s">
        <v>304</v>
      </c>
      <c r="BT10" s="3">
        <v>7.3280000000000003</v>
      </c>
      <c r="BU10" s="3">
        <v>8.8130000000000006</v>
      </c>
      <c r="BV10" s="3">
        <v>10.111000000000001</v>
      </c>
      <c r="BW10" s="3" t="s">
        <v>161</v>
      </c>
      <c r="BX10" s="3">
        <v>14</v>
      </c>
      <c r="BY10" s="3">
        <v>33.488</v>
      </c>
      <c r="BZ10" s="3">
        <v>37.57</v>
      </c>
      <c r="CA10" s="3">
        <v>41.837000000000003</v>
      </c>
      <c r="CB10" s="3" t="s">
        <v>161</v>
      </c>
      <c r="CC10" s="3">
        <v>14</v>
      </c>
      <c r="CD10" s="3" t="s">
        <v>305</v>
      </c>
      <c r="CE10" s="3">
        <v>37.57</v>
      </c>
      <c r="CF10" s="3">
        <v>41.837000000000003</v>
      </c>
      <c r="CG10" s="3">
        <v>1.298</v>
      </c>
      <c r="CH10" s="3">
        <v>4.267000000000003</v>
      </c>
      <c r="CI10" s="3" t="s">
        <v>306</v>
      </c>
      <c r="CM10" s="3" t="s">
        <v>3095</v>
      </c>
    </row>
    <row r="11" spans="1:91" ht="72.5" hidden="1">
      <c r="A11" s="3">
        <v>8</v>
      </c>
      <c r="B11" s="3" t="s">
        <v>292</v>
      </c>
      <c r="C11" s="3">
        <v>2014</v>
      </c>
      <c r="D11" s="3" t="s">
        <v>293</v>
      </c>
      <c r="E11" s="3">
        <v>44706</v>
      </c>
      <c r="F11" s="3" t="s">
        <v>90</v>
      </c>
      <c r="G11" s="3" t="s">
        <v>91</v>
      </c>
      <c r="I11" s="3" t="s">
        <v>294</v>
      </c>
      <c r="J11" s="3" t="s">
        <v>295</v>
      </c>
      <c r="K11" s="39" t="s">
        <v>94</v>
      </c>
      <c r="L11" s="39" t="s">
        <v>94</v>
      </c>
      <c r="M11" s="39" t="s">
        <v>95</v>
      </c>
      <c r="N11" s="39" t="s">
        <v>296</v>
      </c>
      <c r="O11" s="39" t="s">
        <v>97</v>
      </c>
      <c r="P11" s="39" t="s">
        <v>97</v>
      </c>
      <c r="Q11" s="39"/>
      <c r="R11" s="39"/>
      <c r="S11" s="39" t="s">
        <v>90</v>
      </c>
      <c r="T11" s="58" t="s">
        <v>114</v>
      </c>
      <c r="U11" s="39" t="s">
        <v>98</v>
      </c>
      <c r="V11" s="39" t="s">
        <v>99</v>
      </c>
      <c r="W11" s="39">
        <v>1</v>
      </c>
      <c r="X11" s="39" t="s">
        <v>297</v>
      </c>
      <c r="Y11" s="39" t="s">
        <v>298</v>
      </c>
      <c r="Z11" s="39" t="s">
        <v>568</v>
      </c>
      <c r="AA11" s="39" t="s">
        <v>299</v>
      </c>
      <c r="AB11" s="39" t="s">
        <v>300</v>
      </c>
      <c r="AC11" s="39" t="s">
        <v>105</v>
      </c>
      <c r="AD11" s="39" t="s">
        <v>301</v>
      </c>
      <c r="AE11" s="39" t="s">
        <v>302</v>
      </c>
      <c r="AF11" s="39" t="s">
        <v>108</v>
      </c>
      <c r="AG11" s="39">
        <v>1</v>
      </c>
      <c r="AH11" s="39" t="s">
        <v>160</v>
      </c>
      <c r="AI11" s="39" t="s">
        <v>155</v>
      </c>
      <c r="AJ11" s="39" t="s">
        <v>110</v>
      </c>
      <c r="AK11" s="39">
        <v>2</v>
      </c>
      <c r="AL11" s="39" t="s">
        <v>99</v>
      </c>
      <c r="AM11" s="39" t="s">
        <v>94</v>
      </c>
      <c r="AN11" s="39" t="s">
        <v>94</v>
      </c>
      <c r="AO11" s="39" t="s">
        <v>111</v>
      </c>
      <c r="AP11" s="39" t="s">
        <v>111</v>
      </c>
      <c r="AQ11" s="39" t="s">
        <v>155</v>
      </c>
      <c r="AR11" s="39" t="s">
        <v>119</v>
      </c>
      <c r="AS11" s="39" t="s">
        <v>114</v>
      </c>
      <c r="AT11" s="39" t="s">
        <v>120</v>
      </c>
      <c r="AU11" s="39" t="s">
        <v>116</v>
      </c>
      <c r="AV11" s="39" t="s">
        <v>303</v>
      </c>
      <c r="AW11" s="39">
        <v>2</v>
      </c>
      <c r="AX11" s="39"/>
      <c r="AY11" s="39"/>
      <c r="AZ11" s="39"/>
      <c r="BA11" s="39"/>
      <c r="BB11" s="39"/>
      <c r="BC11" s="39"/>
      <c r="BD11" s="39"/>
      <c r="BE11" s="39"/>
      <c r="BF11" s="39"/>
      <c r="BG11" s="39"/>
      <c r="BH11" s="39"/>
      <c r="BI11" s="39"/>
      <c r="BJ11" s="39"/>
      <c r="BK11" s="39"/>
      <c r="BL11" s="39"/>
      <c r="BM11" s="39"/>
      <c r="BN11" s="39"/>
      <c r="BO11" s="39"/>
      <c r="BP11" s="3">
        <v>3</v>
      </c>
      <c r="BQ11" s="3" t="s">
        <v>307</v>
      </c>
      <c r="BR11" s="3" t="s">
        <v>355</v>
      </c>
      <c r="BS11" s="3" t="s">
        <v>304</v>
      </c>
      <c r="BT11" s="3">
        <v>-1.113</v>
      </c>
      <c r="BU11" s="3">
        <v>0.27800000000000002</v>
      </c>
      <c r="BV11" s="3">
        <v>1.7629999999999999</v>
      </c>
      <c r="BW11" s="3" t="s">
        <v>161</v>
      </c>
      <c r="BX11" s="3">
        <v>11</v>
      </c>
      <c r="BY11" s="3">
        <v>12.616</v>
      </c>
      <c r="BZ11" s="3">
        <v>15.584</v>
      </c>
      <c r="CA11" s="3">
        <v>18.831</v>
      </c>
      <c r="CB11" s="3" t="s">
        <v>161</v>
      </c>
      <c r="CC11" s="3">
        <v>13</v>
      </c>
      <c r="CD11" s="3" t="s">
        <v>305</v>
      </c>
      <c r="CE11" s="3">
        <v>15.584</v>
      </c>
      <c r="CF11" s="3">
        <v>18.831</v>
      </c>
      <c r="CG11" s="3">
        <v>1.4849999999999999</v>
      </c>
      <c r="CH11" s="3">
        <v>3.2469999999999999</v>
      </c>
      <c r="CI11" s="3" t="s">
        <v>306</v>
      </c>
      <c r="CM11" s="3" t="s">
        <v>3095</v>
      </c>
    </row>
    <row r="12" spans="1:91" ht="72.5" hidden="1">
      <c r="A12" s="3">
        <v>8</v>
      </c>
      <c r="B12" s="3" t="s">
        <v>292</v>
      </c>
      <c r="C12" s="3">
        <v>2014</v>
      </c>
      <c r="D12" s="3" t="s">
        <v>293</v>
      </c>
      <c r="E12" s="3">
        <v>44706</v>
      </c>
      <c r="F12" s="3" t="s">
        <v>90</v>
      </c>
      <c r="G12" s="3" t="s">
        <v>91</v>
      </c>
      <c r="I12" s="3" t="s">
        <v>294</v>
      </c>
      <c r="J12" s="3" t="s">
        <v>295</v>
      </c>
      <c r="K12" s="39" t="s">
        <v>94</v>
      </c>
      <c r="L12" s="39" t="s">
        <v>94</v>
      </c>
      <c r="M12" s="39" t="s">
        <v>95</v>
      </c>
      <c r="N12" s="39" t="s">
        <v>296</v>
      </c>
      <c r="O12" s="39" t="s">
        <v>97</v>
      </c>
      <c r="P12" s="39" t="s">
        <v>97</v>
      </c>
      <c r="Q12" s="39"/>
      <c r="R12" s="39"/>
      <c r="S12" s="39" t="s">
        <v>90</v>
      </c>
      <c r="T12" s="58" t="s">
        <v>114</v>
      </c>
      <c r="U12" s="39" t="s">
        <v>98</v>
      </c>
      <c r="V12" s="39" t="s">
        <v>99</v>
      </c>
      <c r="W12" s="39">
        <v>1</v>
      </c>
      <c r="X12" s="39" t="s">
        <v>297</v>
      </c>
      <c r="Y12" s="39" t="s">
        <v>298</v>
      </c>
      <c r="Z12" s="39" t="s">
        <v>568</v>
      </c>
      <c r="AA12" s="39" t="s">
        <v>299</v>
      </c>
      <c r="AB12" s="39" t="s">
        <v>300</v>
      </c>
      <c r="AC12" s="39" t="s">
        <v>105</v>
      </c>
      <c r="AD12" s="39" t="s">
        <v>301</v>
      </c>
      <c r="AE12" s="39" t="s">
        <v>302</v>
      </c>
      <c r="AF12" s="39" t="s">
        <v>108</v>
      </c>
      <c r="AG12" s="39">
        <v>1</v>
      </c>
      <c r="AH12" s="39" t="s">
        <v>160</v>
      </c>
      <c r="AI12" s="39" t="s">
        <v>155</v>
      </c>
      <c r="AJ12" s="39" t="s">
        <v>110</v>
      </c>
      <c r="AK12" s="39">
        <v>2</v>
      </c>
      <c r="AL12" s="39" t="s">
        <v>99</v>
      </c>
      <c r="AM12" s="39" t="s">
        <v>94</v>
      </c>
      <c r="AN12" s="39" t="s">
        <v>94</v>
      </c>
      <c r="AO12" s="39" t="s">
        <v>111</v>
      </c>
      <c r="AP12" s="39" t="s">
        <v>111</v>
      </c>
      <c r="AQ12" s="39" t="s">
        <v>155</v>
      </c>
      <c r="AR12" s="39" t="s">
        <v>119</v>
      </c>
      <c r="AS12" s="39" t="s">
        <v>114</v>
      </c>
      <c r="AT12" s="39" t="s">
        <v>120</v>
      </c>
      <c r="AU12" s="39" t="s">
        <v>116</v>
      </c>
      <c r="AV12" s="39" t="s">
        <v>303</v>
      </c>
      <c r="AW12" s="39">
        <v>2</v>
      </c>
      <c r="AX12" s="39"/>
      <c r="AY12" s="39"/>
      <c r="AZ12" s="39"/>
      <c r="BA12" s="39"/>
      <c r="BB12" s="39"/>
      <c r="BC12" s="39"/>
      <c r="BD12" s="39"/>
      <c r="BE12" s="39"/>
      <c r="BF12" s="39"/>
      <c r="BG12" s="39"/>
      <c r="BH12" s="39"/>
      <c r="BI12" s="39"/>
      <c r="BJ12" s="39"/>
      <c r="BK12" s="39"/>
      <c r="BL12" s="39"/>
      <c r="BM12" s="39"/>
      <c r="BN12" s="39"/>
      <c r="BO12" s="39"/>
      <c r="BP12" s="3">
        <v>0</v>
      </c>
      <c r="BQ12" s="3" t="s">
        <v>126</v>
      </c>
      <c r="BR12" s="3" t="s">
        <v>355</v>
      </c>
      <c r="BS12" s="3" t="s">
        <v>308</v>
      </c>
      <c r="BT12" s="3">
        <v>5.67E-2</v>
      </c>
      <c r="BU12" s="3">
        <v>6.59E-2</v>
      </c>
      <c r="BV12" s="3">
        <v>7.2599999999999998E-2</v>
      </c>
      <c r="BW12" s="3" t="s">
        <v>161</v>
      </c>
      <c r="BX12" s="3">
        <v>14</v>
      </c>
      <c r="BY12" s="3">
        <v>0.14599999999999999</v>
      </c>
      <c r="BZ12" s="3">
        <v>0.16</v>
      </c>
      <c r="CA12" s="3">
        <v>0.17599999999999999</v>
      </c>
      <c r="CB12" s="3" t="s">
        <v>161</v>
      </c>
      <c r="CC12" s="3">
        <v>14</v>
      </c>
      <c r="CD12" s="3" t="s">
        <v>308</v>
      </c>
      <c r="CE12" s="3">
        <v>0.16</v>
      </c>
      <c r="CF12" s="3">
        <v>0.17599999999999999</v>
      </c>
      <c r="CG12" s="3">
        <v>6.6999999999999976E-3</v>
      </c>
      <c r="CH12" s="3">
        <v>1.5999999999999986E-2</v>
      </c>
      <c r="CI12" s="3" t="s">
        <v>309</v>
      </c>
      <c r="CL12" s="3" t="s">
        <v>310</v>
      </c>
      <c r="CM12" s="3" t="s">
        <v>3095</v>
      </c>
    </row>
    <row r="13" spans="1:91" ht="72.5" hidden="1">
      <c r="A13" s="3">
        <v>8</v>
      </c>
      <c r="B13" s="3" t="s">
        <v>292</v>
      </c>
      <c r="C13" s="3">
        <v>2014</v>
      </c>
      <c r="D13" s="3" t="s">
        <v>293</v>
      </c>
      <c r="E13" s="3">
        <v>44706</v>
      </c>
      <c r="F13" s="3" t="s">
        <v>90</v>
      </c>
      <c r="G13" s="3" t="s">
        <v>91</v>
      </c>
      <c r="I13" s="3" t="s">
        <v>294</v>
      </c>
      <c r="J13" s="3" t="s">
        <v>295</v>
      </c>
      <c r="K13" s="39" t="s">
        <v>94</v>
      </c>
      <c r="L13" s="39" t="s">
        <v>94</v>
      </c>
      <c r="M13" s="39" t="s">
        <v>95</v>
      </c>
      <c r="N13" s="39" t="s">
        <v>296</v>
      </c>
      <c r="O13" s="39" t="s">
        <v>97</v>
      </c>
      <c r="P13" s="39" t="s">
        <v>97</v>
      </c>
      <c r="Q13" s="39"/>
      <c r="R13" s="39"/>
      <c r="S13" s="39" t="s">
        <v>90</v>
      </c>
      <c r="T13" s="58" t="s">
        <v>114</v>
      </c>
      <c r="U13" s="39" t="s">
        <v>98</v>
      </c>
      <c r="V13" s="39" t="s">
        <v>99</v>
      </c>
      <c r="W13" s="39">
        <v>1</v>
      </c>
      <c r="X13" s="39" t="s">
        <v>297</v>
      </c>
      <c r="Y13" s="39" t="s">
        <v>298</v>
      </c>
      <c r="Z13" s="39" t="s">
        <v>568</v>
      </c>
      <c r="AA13" s="39" t="s">
        <v>299</v>
      </c>
      <c r="AB13" s="39" t="s">
        <v>300</v>
      </c>
      <c r="AC13" s="39" t="s">
        <v>105</v>
      </c>
      <c r="AD13" s="39" t="s">
        <v>301</v>
      </c>
      <c r="AE13" s="39" t="s">
        <v>302</v>
      </c>
      <c r="AF13" s="39" t="s">
        <v>108</v>
      </c>
      <c r="AG13" s="39">
        <v>1</v>
      </c>
      <c r="AH13" s="39" t="s">
        <v>160</v>
      </c>
      <c r="AI13" s="39" t="s">
        <v>155</v>
      </c>
      <c r="AJ13" s="39" t="s">
        <v>110</v>
      </c>
      <c r="AK13" s="39">
        <v>2</v>
      </c>
      <c r="AL13" s="39" t="s">
        <v>99</v>
      </c>
      <c r="AM13" s="39" t="s">
        <v>94</v>
      </c>
      <c r="AN13" s="39" t="s">
        <v>94</v>
      </c>
      <c r="AO13" s="39" t="s">
        <v>111</v>
      </c>
      <c r="AP13" s="39" t="s">
        <v>111</v>
      </c>
      <c r="AQ13" s="39" t="s">
        <v>155</v>
      </c>
      <c r="AR13" s="39" t="s">
        <v>119</v>
      </c>
      <c r="AS13" s="39" t="s">
        <v>114</v>
      </c>
      <c r="AT13" s="39" t="s">
        <v>120</v>
      </c>
      <c r="AU13" s="39" t="s">
        <v>116</v>
      </c>
      <c r="AV13" s="39" t="s">
        <v>303</v>
      </c>
      <c r="AW13" s="39">
        <v>2</v>
      </c>
      <c r="AX13" s="39"/>
      <c r="AY13" s="39"/>
      <c r="AZ13" s="39"/>
      <c r="BA13" s="39"/>
      <c r="BB13" s="39"/>
      <c r="BC13" s="39"/>
      <c r="BD13" s="39"/>
      <c r="BE13" s="39"/>
      <c r="BF13" s="39"/>
      <c r="BG13" s="39"/>
      <c r="BH13" s="39"/>
      <c r="BI13" s="39"/>
      <c r="BJ13" s="39"/>
      <c r="BK13" s="39"/>
      <c r="BL13" s="39"/>
      <c r="BM13" s="39"/>
      <c r="BN13" s="39"/>
      <c r="BO13" s="39"/>
      <c r="BP13" s="3">
        <v>3</v>
      </c>
      <c r="BQ13" s="3" t="s">
        <v>307</v>
      </c>
      <c r="BR13" s="3" t="s">
        <v>355</v>
      </c>
      <c r="BS13" s="3" t="s">
        <v>308</v>
      </c>
      <c r="BT13" s="3">
        <v>-3.1800000000000002E-2</v>
      </c>
      <c r="BU13" s="3">
        <v>-1.34E-2</v>
      </c>
      <c r="BV13" s="3">
        <v>3.0100000000000001E-3</v>
      </c>
      <c r="BW13" s="3" t="s">
        <v>161</v>
      </c>
      <c r="BX13" s="3">
        <v>11</v>
      </c>
      <c r="BY13" s="3">
        <v>6.1199999999999997E-2</v>
      </c>
      <c r="BZ13" s="3">
        <v>7.7899999999999997E-2</v>
      </c>
      <c r="CA13" s="3">
        <v>9.0899999999999995E-2</v>
      </c>
      <c r="CB13" s="3" t="s">
        <v>161</v>
      </c>
      <c r="CC13" s="3">
        <v>13</v>
      </c>
      <c r="CD13" s="3" t="s">
        <v>308</v>
      </c>
      <c r="CE13" s="3">
        <v>7.7899999999999997E-2</v>
      </c>
      <c r="CF13" s="3">
        <v>9.0899999999999995E-2</v>
      </c>
      <c r="CG13" s="3">
        <v>1.6410000000000001E-2</v>
      </c>
      <c r="CH13" s="3">
        <v>1.2999999999999998E-2</v>
      </c>
      <c r="CI13" s="3" t="s">
        <v>309</v>
      </c>
      <c r="CL13" s="3" t="s">
        <v>310</v>
      </c>
      <c r="CM13" s="3" t="s">
        <v>3095</v>
      </c>
    </row>
    <row r="14" spans="1:91" ht="188.5" hidden="1">
      <c r="A14" s="39">
        <v>9</v>
      </c>
      <c r="B14" s="39" t="s">
        <v>323</v>
      </c>
      <c r="C14" s="39">
        <v>2015</v>
      </c>
      <c r="D14" s="39" t="s">
        <v>324</v>
      </c>
      <c r="E14" s="62">
        <v>44712</v>
      </c>
      <c r="F14" s="3" t="s">
        <v>90</v>
      </c>
      <c r="G14" s="39" t="s">
        <v>495</v>
      </c>
      <c r="H14" s="39"/>
      <c r="I14" s="39" t="s">
        <v>325</v>
      </c>
      <c r="J14" s="39" t="s">
        <v>326</v>
      </c>
      <c r="K14" s="39" t="s">
        <v>97</v>
      </c>
      <c r="L14" s="39" t="s">
        <v>97</v>
      </c>
      <c r="M14" s="39" t="s">
        <v>95</v>
      </c>
      <c r="N14" s="39" t="s">
        <v>327</v>
      </c>
      <c r="O14" s="39" t="s">
        <v>90</v>
      </c>
      <c r="P14" s="39" t="s">
        <v>97</v>
      </c>
      <c r="Q14" s="39" t="s">
        <v>328</v>
      </c>
      <c r="R14" s="39"/>
      <c r="S14" s="39" t="s">
        <v>90</v>
      </c>
      <c r="T14" s="58" t="s">
        <v>114</v>
      </c>
      <c r="U14" s="39" t="s">
        <v>98</v>
      </c>
      <c r="V14" s="39" t="s">
        <v>99</v>
      </c>
      <c r="W14" s="39">
        <v>1</v>
      </c>
      <c r="X14" s="39" t="s">
        <v>329</v>
      </c>
      <c r="Y14" s="39" t="s">
        <v>330</v>
      </c>
      <c r="Z14" s="39" t="s">
        <v>568</v>
      </c>
      <c r="AA14" s="39" t="s">
        <v>331</v>
      </c>
      <c r="AB14" s="39" t="s">
        <v>332</v>
      </c>
      <c r="AC14" s="39" t="s">
        <v>20</v>
      </c>
      <c r="AD14" s="39" t="s">
        <v>333</v>
      </c>
      <c r="AE14" s="39" t="s">
        <v>334</v>
      </c>
      <c r="AF14" s="39" t="s">
        <v>108</v>
      </c>
      <c r="AG14" s="39">
        <v>1</v>
      </c>
      <c r="AH14" s="39" t="s">
        <v>160</v>
      </c>
      <c r="AI14" s="39" t="s">
        <v>155</v>
      </c>
      <c r="AJ14" s="39" t="s">
        <v>110</v>
      </c>
      <c r="AK14" s="39">
        <v>2</v>
      </c>
      <c r="AL14" s="39" t="s">
        <v>99</v>
      </c>
      <c r="AM14" s="39" t="s">
        <v>94</v>
      </c>
      <c r="AN14" s="39" t="s">
        <v>94</v>
      </c>
      <c r="AO14" s="39" t="s">
        <v>111</v>
      </c>
      <c r="AP14" s="39" t="s">
        <v>111</v>
      </c>
      <c r="AQ14" s="39" t="s">
        <v>155</v>
      </c>
      <c r="AR14" s="39" t="s">
        <v>119</v>
      </c>
      <c r="AS14" s="39" t="s">
        <v>114</v>
      </c>
      <c r="AT14" s="39" t="s">
        <v>120</v>
      </c>
      <c r="AU14" s="39" t="s">
        <v>116</v>
      </c>
      <c r="AV14" s="39" t="s">
        <v>335</v>
      </c>
      <c r="AW14" s="39">
        <v>3</v>
      </c>
      <c r="AX14" s="39"/>
      <c r="AY14" s="39"/>
      <c r="AZ14" s="39"/>
      <c r="BA14" s="39"/>
      <c r="BB14" s="39"/>
      <c r="BC14" s="39"/>
      <c r="BD14" s="39"/>
      <c r="BE14" s="39"/>
      <c r="BF14" s="39"/>
      <c r="BG14" s="39"/>
      <c r="BH14" s="39"/>
      <c r="BI14" s="39"/>
      <c r="BJ14" s="39"/>
      <c r="BK14" s="39"/>
      <c r="BL14" s="39"/>
      <c r="BM14" s="39"/>
      <c r="BN14" s="39"/>
      <c r="BO14" s="39"/>
      <c r="BP14" s="39">
        <v>8</v>
      </c>
      <c r="BQ14" s="39" t="s">
        <v>496</v>
      </c>
      <c r="BR14" s="3" t="s">
        <v>355</v>
      </c>
      <c r="BS14" s="39" t="s">
        <v>339</v>
      </c>
      <c r="BT14" s="39">
        <v>199.721</v>
      </c>
      <c r="BU14" s="39">
        <v>233.24</v>
      </c>
      <c r="BV14" s="39">
        <v>263.96600000000001</v>
      </c>
      <c r="BW14" s="39" t="s">
        <v>129</v>
      </c>
      <c r="BX14" s="39">
        <v>9</v>
      </c>
      <c r="BY14" s="39">
        <v>382.68200000000002</v>
      </c>
      <c r="BZ14" s="39">
        <v>414.80399999999997</v>
      </c>
      <c r="CA14" s="39">
        <v>452.51400000000001</v>
      </c>
      <c r="CB14" s="39" t="s">
        <v>129</v>
      </c>
      <c r="CC14" s="39">
        <v>9</v>
      </c>
      <c r="CD14" s="39" t="s">
        <v>340</v>
      </c>
      <c r="CE14" s="39">
        <v>414.80399999999997</v>
      </c>
      <c r="CF14" s="39">
        <v>452.51400000000001</v>
      </c>
      <c r="CG14" s="3">
        <v>30.725999999999999</v>
      </c>
      <c r="CH14" s="3">
        <v>37.710000000000036</v>
      </c>
      <c r="CI14" s="39" t="s">
        <v>309</v>
      </c>
      <c r="CJ14" s="39"/>
      <c r="CK14" s="39"/>
      <c r="CL14" s="39"/>
      <c r="CM14" s="3" t="s">
        <v>3095</v>
      </c>
    </row>
    <row r="15" spans="1:91" ht="188.5" hidden="1">
      <c r="A15" s="39">
        <v>9</v>
      </c>
      <c r="B15" s="39" t="s">
        <v>323</v>
      </c>
      <c r="C15" s="39">
        <v>2015</v>
      </c>
      <c r="D15" s="39" t="s">
        <v>324</v>
      </c>
      <c r="E15" s="62">
        <v>44712</v>
      </c>
      <c r="F15" s="3" t="s">
        <v>90</v>
      </c>
      <c r="G15" s="39" t="s">
        <v>495</v>
      </c>
      <c r="H15" s="39"/>
      <c r="I15" s="39" t="s">
        <v>325</v>
      </c>
      <c r="J15" s="39" t="s">
        <v>326</v>
      </c>
      <c r="K15" s="39" t="s">
        <v>97</v>
      </c>
      <c r="L15" s="39" t="s">
        <v>97</v>
      </c>
      <c r="M15" s="39" t="s">
        <v>95</v>
      </c>
      <c r="N15" s="39" t="s">
        <v>327</v>
      </c>
      <c r="O15" s="39" t="s">
        <v>90</v>
      </c>
      <c r="P15" s="39" t="s">
        <v>97</v>
      </c>
      <c r="Q15" s="39" t="s">
        <v>328</v>
      </c>
      <c r="R15" s="39"/>
      <c r="S15" s="39" t="s">
        <v>90</v>
      </c>
      <c r="T15" s="58" t="s">
        <v>114</v>
      </c>
      <c r="U15" s="39" t="s">
        <v>98</v>
      </c>
      <c r="V15" s="39" t="s">
        <v>99</v>
      </c>
      <c r="W15" s="39">
        <v>1</v>
      </c>
      <c r="X15" s="39" t="s">
        <v>329</v>
      </c>
      <c r="Y15" s="39" t="s">
        <v>330</v>
      </c>
      <c r="Z15" s="39" t="s">
        <v>568</v>
      </c>
      <c r="AA15" s="39" t="s">
        <v>331</v>
      </c>
      <c r="AB15" s="39" t="s">
        <v>332</v>
      </c>
      <c r="AC15" s="39" t="s">
        <v>20</v>
      </c>
      <c r="AD15" s="39" t="s">
        <v>333</v>
      </c>
      <c r="AE15" s="39" t="s">
        <v>334</v>
      </c>
      <c r="AF15" s="39" t="s">
        <v>108</v>
      </c>
      <c r="AG15" s="39">
        <v>1</v>
      </c>
      <c r="AH15" s="39" t="s">
        <v>160</v>
      </c>
      <c r="AI15" s="39" t="s">
        <v>155</v>
      </c>
      <c r="AJ15" s="39" t="s">
        <v>110</v>
      </c>
      <c r="AK15" s="39">
        <v>2</v>
      </c>
      <c r="AL15" s="39" t="s">
        <v>99</v>
      </c>
      <c r="AM15" s="39" t="s">
        <v>94</v>
      </c>
      <c r="AN15" s="39" t="s">
        <v>94</v>
      </c>
      <c r="AO15" s="39" t="s">
        <v>111</v>
      </c>
      <c r="AP15" s="39" t="s">
        <v>111</v>
      </c>
      <c r="AQ15" s="39" t="s">
        <v>155</v>
      </c>
      <c r="AR15" s="39" t="s">
        <v>119</v>
      </c>
      <c r="AS15" s="39" t="s">
        <v>114</v>
      </c>
      <c r="AT15" s="39" t="s">
        <v>120</v>
      </c>
      <c r="AU15" s="39" t="s">
        <v>116</v>
      </c>
      <c r="AV15" s="39" t="s">
        <v>335</v>
      </c>
      <c r="AW15" s="39">
        <v>3</v>
      </c>
      <c r="AX15" s="39"/>
      <c r="AY15" s="39"/>
      <c r="AZ15" s="39"/>
      <c r="BA15" s="39"/>
      <c r="BB15" s="39"/>
      <c r="BC15" s="39"/>
      <c r="BD15" s="39"/>
      <c r="BE15" s="39"/>
      <c r="BF15" s="39"/>
      <c r="BG15" s="39"/>
      <c r="BH15" s="39"/>
      <c r="BI15" s="39"/>
      <c r="BJ15" s="39"/>
      <c r="BK15" s="39"/>
      <c r="BL15" s="39"/>
      <c r="BM15" s="39"/>
      <c r="BN15" s="39"/>
      <c r="BO15" s="39"/>
      <c r="BP15" s="39">
        <v>5.5</v>
      </c>
      <c r="BQ15" s="39" t="s">
        <v>497</v>
      </c>
      <c r="BR15" s="3" t="s">
        <v>355</v>
      </c>
      <c r="BS15" s="39" t="s">
        <v>339</v>
      </c>
      <c r="BT15" s="39">
        <v>122.905</v>
      </c>
      <c r="BU15" s="39">
        <v>136.87200000000001</v>
      </c>
      <c r="BV15" s="39">
        <v>150.83799999999999</v>
      </c>
      <c r="BW15" s="39" t="s">
        <v>129</v>
      </c>
      <c r="BX15" s="39">
        <v>9</v>
      </c>
      <c r="BY15" s="39">
        <v>226.25700000000001</v>
      </c>
      <c r="BZ15" s="39">
        <v>248.60300000000001</v>
      </c>
      <c r="CA15" s="39">
        <v>273.74299999999999</v>
      </c>
      <c r="CB15" s="39" t="s">
        <v>129</v>
      </c>
      <c r="CC15" s="39">
        <v>10</v>
      </c>
      <c r="CD15" s="39" t="s">
        <v>340</v>
      </c>
      <c r="CE15" s="39">
        <v>248.60300000000001</v>
      </c>
      <c r="CF15" s="39">
        <v>273.74299999999999</v>
      </c>
      <c r="CG15" s="3">
        <v>13.96599999999998</v>
      </c>
      <c r="CH15" s="3">
        <v>25.139999999999986</v>
      </c>
      <c r="CI15" s="39" t="s">
        <v>309</v>
      </c>
      <c r="CJ15" s="39"/>
      <c r="CK15" s="39"/>
      <c r="CL15" s="39"/>
      <c r="CM15" s="3" t="s">
        <v>3095</v>
      </c>
    </row>
    <row r="16" spans="1:91" ht="188.5" hidden="1">
      <c r="A16" s="39">
        <v>9</v>
      </c>
      <c r="B16" s="39" t="s">
        <v>323</v>
      </c>
      <c r="C16" s="39">
        <v>2015</v>
      </c>
      <c r="D16" s="39" t="s">
        <v>324</v>
      </c>
      <c r="E16" s="62">
        <v>44712</v>
      </c>
      <c r="F16" s="3" t="s">
        <v>90</v>
      </c>
      <c r="G16" s="39" t="s">
        <v>495</v>
      </c>
      <c r="H16" s="39"/>
      <c r="I16" s="39" t="s">
        <v>325</v>
      </c>
      <c r="J16" s="39" t="s">
        <v>326</v>
      </c>
      <c r="K16" s="39" t="s">
        <v>97</v>
      </c>
      <c r="L16" s="39" t="s">
        <v>97</v>
      </c>
      <c r="M16" s="39" t="s">
        <v>95</v>
      </c>
      <c r="N16" s="39" t="s">
        <v>327</v>
      </c>
      <c r="O16" s="39" t="s">
        <v>90</v>
      </c>
      <c r="P16" s="39" t="s">
        <v>97</v>
      </c>
      <c r="Q16" s="39" t="s">
        <v>328</v>
      </c>
      <c r="R16" s="39"/>
      <c r="S16" s="39" t="s">
        <v>90</v>
      </c>
      <c r="T16" s="58" t="s">
        <v>114</v>
      </c>
      <c r="U16" s="39" t="s">
        <v>98</v>
      </c>
      <c r="V16" s="39" t="s">
        <v>99</v>
      </c>
      <c r="W16" s="39">
        <v>1</v>
      </c>
      <c r="X16" s="39" t="s">
        <v>329</v>
      </c>
      <c r="Y16" s="39" t="s">
        <v>330</v>
      </c>
      <c r="Z16" s="39" t="s">
        <v>568</v>
      </c>
      <c r="AA16" s="39" t="s">
        <v>331</v>
      </c>
      <c r="AB16" s="39" t="s">
        <v>332</v>
      </c>
      <c r="AC16" s="39" t="s">
        <v>20</v>
      </c>
      <c r="AD16" s="39" t="s">
        <v>333</v>
      </c>
      <c r="AE16" s="39" t="s">
        <v>334</v>
      </c>
      <c r="AF16" s="39" t="s">
        <v>108</v>
      </c>
      <c r="AG16" s="39">
        <v>1</v>
      </c>
      <c r="AH16" s="39" t="s">
        <v>160</v>
      </c>
      <c r="AI16" s="39" t="s">
        <v>155</v>
      </c>
      <c r="AJ16" s="39" t="s">
        <v>110</v>
      </c>
      <c r="AK16" s="39">
        <v>2</v>
      </c>
      <c r="AL16" s="39" t="s">
        <v>99</v>
      </c>
      <c r="AM16" s="39" t="s">
        <v>94</v>
      </c>
      <c r="AN16" s="39" t="s">
        <v>94</v>
      </c>
      <c r="AO16" s="39" t="s">
        <v>111</v>
      </c>
      <c r="AP16" s="39" t="s">
        <v>111</v>
      </c>
      <c r="AQ16" s="39" t="s">
        <v>155</v>
      </c>
      <c r="AR16" s="39" t="s">
        <v>119</v>
      </c>
      <c r="AS16" s="39" t="s">
        <v>114</v>
      </c>
      <c r="AT16" s="39" t="s">
        <v>120</v>
      </c>
      <c r="AU16" s="39" t="s">
        <v>116</v>
      </c>
      <c r="AV16" s="39" t="s">
        <v>335</v>
      </c>
      <c r="AW16" s="39">
        <v>3</v>
      </c>
      <c r="AX16" s="39"/>
      <c r="AY16" s="39"/>
      <c r="AZ16" s="39"/>
      <c r="BA16" s="39"/>
      <c r="BB16" s="39"/>
      <c r="BC16" s="39"/>
      <c r="BD16" s="39"/>
      <c r="BE16" s="39"/>
      <c r="BF16" s="39"/>
      <c r="BG16" s="39"/>
      <c r="BH16" s="39"/>
      <c r="BI16" s="39"/>
      <c r="BJ16" s="39"/>
      <c r="BK16" s="39"/>
      <c r="BL16" s="39"/>
      <c r="BM16" s="39"/>
      <c r="BN16" s="39"/>
      <c r="BO16" s="39"/>
      <c r="BP16" s="39">
        <v>0</v>
      </c>
      <c r="BQ16" s="39" t="s">
        <v>498</v>
      </c>
      <c r="BR16" s="3" t="s">
        <v>355</v>
      </c>
      <c r="BS16" s="39" t="s">
        <v>339</v>
      </c>
      <c r="BT16" s="39">
        <v>104.749</v>
      </c>
      <c r="BU16" s="39">
        <v>115.922</v>
      </c>
      <c r="BV16" s="39">
        <v>129.88800000000001</v>
      </c>
      <c r="BW16" s="39" t="s">
        <v>129</v>
      </c>
      <c r="BX16" s="39">
        <v>9</v>
      </c>
      <c r="BY16" s="39">
        <v>192.73699999999999</v>
      </c>
      <c r="BZ16" s="39">
        <v>201.11699999999999</v>
      </c>
      <c r="CA16" s="39">
        <v>213.68700000000001</v>
      </c>
      <c r="CB16" s="39" t="s">
        <v>129</v>
      </c>
      <c r="CC16" s="39">
        <v>10</v>
      </c>
      <c r="CD16" s="39" t="s">
        <v>340</v>
      </c>
      <c r="CE16" s="39">
        <v>201.11699999999999</v>
      </c>
      <c r="CF16" s="39">
        <v>213.68700000000001</v>
      </c>
      <c r="CG16" s="3">
        <v>13.966000000000008</v>
      </c>
      <c r="CH16" s="3">
        <v>12.570000000000022</v>
      </c>
      <c r="CI16" s="39" t="s">
        <v>309</v>
      </c>
      <c r="CJ16" s="39"/>
      <c r="CK16" s="39"/>
      <c r="CL16" s="39"/>
      <c r="CM16" s="3" t="s">
        <v>3095</v>
      </c>
    </row>
    <row r="17" spans="1:91" ht="188.5" hidden="1">
      <c r="A17" s="39">
        <v>9</v>
      </c>
      <c r="B17" s="39" t="s">
        <v>323</v>
      </c>
      <c r="C17" s="39">
        <v>2015</v>
      </c>
      <c r="D17" s="39" t="s">
        <v>324</v>
      </c>
      <c r="E17" s="62">
        <v>44712</v>
      </c>
      <c r="F17" s="3" t="s">
        <v>90</v>
      </c>
      <c r="G17" s="39" t="s">
        <v>495</v>
      </c>
      <c r="H17" s="39"/>
      <c r="I17" s="39" t="s">
        <v>325</v>
      </c>
      <c r="J17" s="39" t="s">
        <v>326</v>
      </c>
      <c r="K17" s="39" t="s">
        <v>97</v>
      </c>
      <c r="L17" s="39" t="s">
        <v>97</v>
      </c>
      <c r="M17" s="39" t="s">
        <v>95</v>
      </c>
      <c r="N17" s="39" t="s">
        <v>327</v>
      </c>
      <c r="O17" s="39" t="s">
        <v>90</v>
      </c>
      <c r="P17" s="39" t="s">
        <v>97</v>
      </c>
      <c r="Q17" s="39" t="s">
        <v>328</v>
      </c>
      <c r="R17" s="39"/>
      <c r="S17" s="39" t="s">
        <v>90</v>
      </c>
      <c r="T17" s="58" t="s">
        <v>114</v>
      </c>
      <c r="U17" s="39" t="s">
        <v>98</v>
      </c>
      <c r="V17" s="39" t="s">
        <v>99</v>
      </c>
      <c r="W17" s="39">
        <v>1</v>
      </c>
      <c r="X17" s="39" t="s">
        <v>329</v>
      </c>
      <c r="Y17" s="39" t="s">
        <v>330</v>
      </c>
      <c r="Z17" s="39" t="s">
        <v>568</v>
      </c>
      <c r="AA17" s="39" t="s">
        <v>331</v>
      </c>
      <c r="AB17" s="39" t="s">
        <v>332</v>
      </c>
      <c r="AC17" s="39" t="s">
        <v>20</v>
      </c>
      <c r="AD17" s="39" t="s">
        <v>333</v>
      </c>
      <c r="AE17" s="39" t="s">
        <v>334</v>
      </c>
      <c r="AF17" s="39" t="s">
        <v>108</v>
      </c>
      <c r="AG17" s="39">
        <v>1</v>
      </c>
      <c r="AH17" s="39" t="s">
        <v>160</v>
      </c>
      <c r="AI17" s="39" t="s">
        <v>155</v>
      </c>
      <c r="AJ17" s="39" t="s">
        <v>110</v>
      </c>
      <c r="AK17" s="39">
        <v>2</v>
      </c>
      <c r="AL17" s="39" t="s">
        <v>99</v>
      </c>
      <c r="AM17" s="39" t="s">
        <v>94</v>
      </c>
      <c r="AN17" s="39" t="s">
        <v>94</v>
      </c>
      <c r="AO17" s="39" t="s">
        <v>111</v>
      </c>
      <c r="AP17" s="39" t="s">
        <v>111</v>
      </c>
      <c r="AQ17" s="39" t="s">
        <v>155</v>
      </c>
      <c r="AR17" s="39" t="s">
        <v>119</v>
      </c>
      <c r="AS17" s="39" t="s">
        <v>114</v>
      </c>
      <c r="AT17" s="39" t="s">
        <v>120</v>
      </c>
      <c r="AU17" s="39" t="s">
        <v>116</v>
      </c>
      <c r="AV17" s="39" t="s">
        <v>335</v>
      </c>
      <c r="AW17" s="39">
        <v>3</v>
      </c>
      <c r="AX17" s="39"/>
      <c r="AY17" s="39"/>
      <c r="AZ17" s="39"/>
      <c r="BA17" s="39"/>
      <c r="BB17" s="39"/>
      <c r="BC17" s="39"/>
      <c r="BD17" s="39"/>
      <c r="BE17" s="39"/>
      <c r="BF17" s="39"/>
      <c r="BG17" s="39"/>
      <c r="BH17" s="39"/>
      <c r="BI17" s="39"/>
      <c r="BJ17" s="39"/>
      <c r="BK17" s="39"/>
      <c r="BL17" s="39"/>
      <c r="BM17" s="39"/>
      <c r="BN17" s="39"/>
      <c r="BO17" s="39"/>
      <c r="BP17" s="39">
        <v>8</v>
      </c>
      <c r="BQ17" s="39" t="s">
        <v>496</v>
      </c>
      <c r="BR17" s="3" t="s">
        <v>355</v>
      </c>
      <c r="BS17" s="39" t="s">
        <v>308</v>
      </c>
      <c r="BT17" s="39">
        <v>0.23599999999999999</v>
      </c>
      <c r="BU17" s="39">
        <v>0.25800000000000001</v>
      </c>
      <c r="BV17" s="39">
        <v>0.28100000000000003</v>
      </c>
      <c r="BW17" s="39" t="s">
        <v>129</v>
      </c>
      <c r="BX17" s="39">
        <v>9</v>
      </c>
      <c r="BY17" s="39">
        <v>0.32800000000000001</v>
      </c>
      <c r="BZ17" s="39">
        <v>0.34799999999999998</v>
      </c>
      <c r="CA17" s="39">
        <v>0.373</v>
      </c>
      <c r="CB17" s="39" t="s">
        <v>129</v>
      </c>
      <c r="CC17" s="39">
        <v>9</v>
      </c>
      <c r="CD17" s="39" t="s">
        <v>111</v>
      </c>
      <c r="CE17" s="39">
        <v>0.34799999999999998</v>
      </c>
      <c r="CF17" s="39">
        <v>0.373</v>
      </c>
      <c r="CG17" s="3">
        <v>2.300000000000002E-2</v>
      </c>
      <c r="CH17" s="3">
        <v>2.5000000000000022E-2</v>
      </c>
      <c r="CI17" s="39" t="s">
        <v>337</v>
      </c>
      <c r="CJ17" s="39"/>
      <c r="CK17" s="39"/>
      <c r="CL17" s="39" t="s">
        <v>338</v>
      </c>
      <c r="CM17" s="3" t="s">
        <v>3095</v>
      </c>
    </row>
    <row r="18" spans="1:91" ht="188.5" hidden="1">
      <c r="A18" s="39">
        <v>9</v>
      </c>
      <c r="B18" s="39" t="s">
        <v>323</v>
      </c>
      <c r="C18" s="39">
        <v>2015</v>
      </c>
      <c r="D18" s="39" t="s">
        <v>324</v>
      </c>
      <c r="E18" s="62">
        <v>44712</v>
      </c>
      <c r="F18" s="3" t="s">
        <v>90</v>
      </c>
      <c r="G18" s="39" t="s">
        <v>495</v>
      </c>
      <c r="H18" s="39"/>
      <c r="I18" s="39" t="s">
        <v>325</v>
      </c>
      <c r="J18" s="39" t="s">
        <v>326</v>
      </c>
      <c r="K18" s="39" t="s">
        <v>97</v>
      </c>
      <c r="L18" s="39" t="s">
        <v>97</v>
      </c>
      <c r="M18" s="39" t="s">
        <v>95</v>
      </c>
      <c r="N18" s="39" t="s">
        <v>327</v>
      </c>
      <c r="O18" s="39" t="s">
        <v>90</v>
      </c>
      <c r="P18" s="39" t="s">
        <v>97</v>
      </c>
      <c r="Q18" s="39" t="s">
        <v>328</v>
      </c>
      <c r="R18" s="39"/>
      <c r="S18" s="39" t="s">
        <v>90</v>
      </c>
      <c r="T18" s="58" t="s">
        <v>114</v>
      </c>
      <c r="U18" s="39" t="s">
        <v>98</v>
      </c>
      <c r="V18" s="39" t="s">
        <v>99</v>
      </c>
      <c r="W18" s="39">
        <v>1</v>
      </c>
      <c r="X18" s="39" t="s">
        <v>329</v>
      </c>
      <c r="Y18" s="39" t="s">
        <v>330</v>
      </c>
      <c r="Z18" s="39" t="s">
        <v>568</v>
      </c>
      <c r="AA18" s="39" t="s">
        <v>331</v>
      </c>
      <c r="AB18" s="39" t="s">
        <v>332</v>
      </c>
      <c r="AC18" s="39" t="s">
        <v>20</v>
      </c>
      <c r="AD18" s="39" t="s">
        <v>333</v>
      </c>
      <c r="AE18" s="39" t="s">
        <v>334</v>
      </c>
      <c r="AF18" s="39" t="s">
        <v>108</v>
      </c>
      <c r="AG18" s="39">
        <v>1</v>
      </c>
      <c r="AH18" s="39" t="s">
        <v>160</v>
      </c>
      <c r="AI18" s="39" t="s">
        <v>155</v>
      </c>
      <c r="AJ18" s="39" t="s">
        <v>110</v>
      </c>
      <c r="AK18" s="39">
        <v>2</v>
      </c>
      <c r="AL18" s="39" t="s">
        <v>99</v>
      </c>
      <c r="AM18" s="39" t="s">
        <v>94</v>
      </c>
      <c r="AN18" s="39" t="s">
        <v>94</v>
      </c>
      <c r="AO18" s="39" t="s">
        <v>111</v>
      </c>
      <c r="AP18" s="39" t="s">
        <v>111</v>
      </c>
      <c r="AQ18" s="39" t="s">
        <v>155</v>
      </c>
      <c r="AR18" s="39" t="s">
        <v>119</v>
      </c>
      <c r="AS18" s="39" t="s">
        <v>114</v>
      </c>
      <c r="AT18" s="39" t="s">
        <v>120</v>
      </c>
      <c r="AU18" s="39" t="s">
        <v>116</v>
      </c>
      <c r="AV18" s="39" t="s">
        <v>335</v>
      </c>
      <c r="AW18" s="39">
        <v>3</v>
      </c>
      <c r="AX18" s="39"/>
      <c r="AY18" s="39"/>
      <c r="AZ18" s="39"/>
      <c r="BA18" s="39"/>
      <c r="BB18" s="39"/>
      <c r="BC18" s="39"/>
      <c r="BD18" s="39"/>
      <c r="BE18" s="39"/>
      <c r="BF18" s="39"/>
      <c r="BG18" s="39"/>
      <c r="BH18" s="39"/>
      <c r="BI18" s="39"/>
      <c r="BJ18" s="39"/>
      <c r="BK18" s="39"/>
      <c r="BL18" s="39"/>
      <c r="BM18" s="39"/>
      <c r="BN18" s="39"/>
      <c r="BO18" s="39"/>
      <c r="BP18" s="39">
        <v>5.5</v>
      </c>
      <c r="BQ18" s="39" t="s">
        <v>497</v>
      </c>
      <c r="BR18" s="3" t="s">
        <v>355</v>
      </c>
      <c r="BS18" s="39" t="s">
        <v>308</v>
      </c>
      <c r="BT18" s="39">
        <v>0.222</v>
      </c>
      <c r="BU18" s="39">
        <v>0.24299999999999999</v>
      </c>
      <c r="BV18" s="39">
        <v>0.26300000000000001</v>
      </c>
      <c r="BW18" s="39" t="s">
        <v>129</v>
      </c>
      <c r="BX18" s="39">
        <v>9</v>
      </c>
      <c r="BY18" s="39">
        <v>0.32100000000000001</v>
      </c>
      <c r="BZ18" s="39">
        <v>0.34</v>
      </c>
      <c r="CA18" s="39">
        <v>0.36</v>
      </c>
      <c r="CB18" s="39" t="s">
        <v>129</v>
      </c>
      <c r="CC18" s="39">
        <v>10</v>
      </c>
      <c r="CD18" s="39" t="s">
        <v>111</v>
      </c>
      <c r="CE18" s="39">
        <v>0.34</v>
      </c>
      <c r="CF18" s="39">
        <v>0.36</v>
      </c>
      <c r="CG18" s="3">
        <v>2.0000000000000018E-2</v>
      </c>
      <c r="CH18" s="3">
        <v>1.9999999999999962E-2</v>
      </c>
      <c r="CI18" s="39" t="s">
        <v>337</v>
      </c>
      <c r="CJ18" s="39"/>
      <c r="CK18" s="39"/>
      <c r="CL18" s="39" t="s">
        <v>338</v>
      </c>
      <c r="CM18" s="3" t="s">
        <v>3095</v>
      </c>
    </row>
    <row r="19" spans="1:91" ht="188.5" hidden="1">
      <c r="A19" s="39">
        <v>9</v>
      </c>
      <c r="B19" s="39" t="s">
        <v>323</v>
      </c>
      <c r="C19" s="39">
        <v>2015</v>
      </c>
      <c r="D19" s="39" t="s">
        <v>324</v>
      </c>
      <c r="E19" s="62">
        <v>44712</v>
      </c>
      <c r="F19" s="3" t="s">
        <v>90</v>
      </c>
      <c r="G19" s="39" t="s">
        <v>495</v>
      </c>
      <c r="H19" s="39"/>
      <c r="I19" s="39" t="s">
        <v>325</v>
      </c>
      <c r="J19" s="39" t="s">
        <v>326</v>
      </c>
      <c r="K19" s="39" t="s">
        <v>97</v>
      </c>
      <c r="L19" s="39" t="s">
        <v>97</v>
      </c>
      <c r="M19" s="39" t="s">
        <v>95</v>
      </c>
      <c r="N19" s="39" t="s">
        <v>327</v>
      </c>
      <c r="O19" s="39" t="s">
        <v>90</v>
      </c>
      <c r="P19" s="39" t="s">
        <v>97</v>
      </c>
      <c r="Q19" s="39" t="s">
        <v>328</v>
      </c>
      <c r="R19" s="39"/>
      <c r="S19" s="39" t="s">
        <v>90</v>
      </c>
      <c r="T19" s="58" t="s">
        <v>114</v>
      </c>
      <c r="U19" s="39" t="s">
        <v>98</v>
      </c>
      <c r="V19" s="39" t="s">
        <v>99</v>
      </c>
      <c r="W19" s="39">
        <v>1</v>
      </c>
      <c r="X19" s="39" t="s">
        <v>329</v>
      </c>
      <c r="Y19" s="39" t="s">
        <v>330</v>
      </c>
      <c r="Z19" s="39" t="s">
        <v>568</v>
      </c>
      <c r="AA19" s="39" t="s">
        <v>331</v>
      </c>
      <c r="AB19" s="39" t="s">
        <v>332</v>
      </c>
      <c r="AC19" s="39" t="s">
        <v>20</v>
      </c>
      <c r="AD19" s="39" t="s">
        <v>333</v>
      </c>
      <c r="AE19" s="39" t="s">
        <v>334</v>
      </c>
      <c r="AF19" s="39" t="s">
        <v>108</v>
      </c>
      <c r="AG19" s="39">
        <v>1</v>
      </c>
      <c r="AH19" s="39" t="s">
        <v>160</v>
      </c>
      <c r="AI19" s="39" t="s">
        <v>155</v>
      </c>
      <c r="AJ19" s="39" t="s">
        <v>110</v>
      </c>
      <c r="AK19" s="39">
        <v>2</v>
      </c>
      <c r="AL19" s="39" t="s">
        <v>99</v>
      </c>
      <c r="AM19" s="39" t="s">
        <v>94</v>
      </c>
      <c r="AN19" s="39" t="s">
        <v>94</v>
      </c>
      <c r="AO19" s="39" t="s">
        <v>111</v>
      </c>
      <c r="AP19" s="39" t="s">
        <v>111</v>
      </c>
      <c r="AQ19" s="39" t="s">
        <v>155</v>
      </c>
      <c r="AR19" s="39" t="s">
        <v>119</v>
      </c>
      <c r="AS19" s="39" t="s">
        <v>114</v>
      </c>
      <c r="AT19" s="39" t="s">
        <v>120</v>
      </c>
      <c r="AU19" s="39" t="s">
        <v>116</v>
      </c>
      <c r="AV19" s="39" t="s">
        <v>335</v>
      </c>
      <c r="AW19" s="39">
        <v>3</v>
      </c>
      <c r="AX19" s="39"/>
      <c r="AY19" s="39"/>
      <c r="AZ19" s="39"/>
      <c r="BA19" s="39"/>
      <c r="BB19" s="39"/>
      <c r="BC19" s="39"/>
      <c r="BD19" s="39"/>
      <c r="BE19" s="39"/>
      <c r="BF19" s="39"/>
      <c r="BG19" s="39"/>
      <c r="BH19" s="39"/>
      <c r="BI19" s="39"/>
      <c r="BJ19" s="39"/>
      <c r="BK19" s="39"/>
      <c r="BL19" s="39"/>
      <c r="BM19" s="39"/>
      <c r="BN19" s="39"/>
      <c r="BO19" s="39"/>
      <c r="BP19" s="39">
        <v>0</v>
      </c>
      <c r="BQ19" s="39" t="s">
        <v>498</v>
      </c>
      <c r="BR19" s="3" t="s">
        <v>355</v>
      </c>
      <c r="BS19" s="39" t="s">
        <v>308</v>
      </c>
      <c r="BT19" s="39">
        <v>0.254</v>
      </c>
      <c r="BU19" s="39">
        <v>0.27300000000000002</v>
      </c>
      <c r="BV19" s="39">
        <v>0.29099999999999998</v>
      </c>
      <c r="BW19" s="39" t="s">
        <v>129</v>
      </c>
      <c r="BX19" s="39">
        <v>9</v>
      </c>
      <c r="BY19" s="39">
        <v>0.35</v>
      </c>
      <c r="BZ19" s="39">
        <v>0.36599999999999999</v>
      </c>
      <c r="CA19" s="39">
        <v>0.377</v>
      </c>
      <c r="CB19" s="39" t="s">
        <v>129</v>
      </c>
      <c r="CC19" s="39">
        <v>10</v>
      </c>
      <c r="CD19" s="39" t="s">
        <v>111</v>
      </c>
      <c r="CE19" s="39">
        <v>0.36599999999999999</v>
      </c>
      <c r="CF19" s="39">
        <v>0.377</v>
      </c>
      <c r="CG19" s="3">
        <v>1.799999999999996E-2</v>
      </c>
      <c r="CH19" s="3">
        <v>1.100000000000001E-2</v>
      </c>
      <c r="CI19" s="39" t="s">
        <v>337</v>
      </c>
      <c r="CJ19" s="39"/>
      <c r="CK19" s="39"/>
      <c r="CL19" s="39" t="s">
        <v>338</v>
      </c>
      <c r="CM19" s="3" t="s">
        <v>3095</v>
      </c>
    </row>
    <row r="20" spans="1:91" s="72" customFormat="1" ht="38.5">
      <c r="A20" s="72" t="s">
        <v>579</v>
      </c>
      <c r="B20" s="72" t="str">
        <f t="shared" ref="B20:B27" si="0">A20&amp;"-"&amp;C20</f>
        <v>addtl4-2022</v>
      </c>
      <c r="C20" s="72">
        <v>2022</v>
      </c>
      <c r="D20" s="73" t="s">
        <v>580</v>
      </c>
      <c r="E20" s="74">
        <v>45033</v>
      </c>
      <c r="F20" s="72" t="s">
        <v>90</v>
      </c>
      <c r="G20" s="72" t="s">
        <v>495</v>
      </c>
      <c r="I20" s="75" t="s">
        <v>563</v>
      </c>
      <c r="J20" s="76" t="s">
        <v>581</v>
      </c>
      <c r="K20" s="72" t="s">
        <v>94</v>
      </c>
      <c r="L20" s="72" t="s">
        <v>94</v>
      </c>
      <c r="M20" s="72" t="s">
        <v>95</v>
      </c>
      <c r="N20" s="76" t="s">
        <v>582</v>
      </c>
      <c r="O20" s="72" t="s">
        <v>97</v>
      </c>
      <c r="P20" s="72" t="s">
        <v>97</v>
      </c>
      <c r="S20" s="72" t="s">
        <v>114</v>
      </c>
      <c r="T20" s="58" t="s">
        <v>114</v>
      </c>
      <c r="U20" s="72" t="s">
        <v>98</v>
      </c>
      <c r="V20" s="77" t="s">
        <v>99</v>
      </c>
      <c r="W20" s="77">
        <v>1</v>
      </c>
      <c r="X20" s="77" t="s">
        <v>583</v>
      </c>
      <c r="Y20" s="77" t="s">
        <v>584</v>
      </c>
      <c r="Z20" s="77" t="s">
        <v>568</v>
      </c>
      <c r="AA20" s="77" t="s">
        <v>299</v>
      </c>
      <c r="AB20" s="72" t="s">
        <v>585</v>
      </c>
      <c r="AC20" s="72" t="s">
        <v>105</v>
      </c>
      <c r="AD20" s="77"/>
      <c r="AE20" s="77"/>
      <c r="AF20" s="77"/>
      <c r="AG20" s="72">
        <v>2</v>
      </c>
      <c r="AH20" s="72" t="s">
        <v>90</v>
      </c>
      <c r="AI20" s="76" t="s">
        <v>586</v>
      </c>
      <c r="AJ20" s="72" t="s">
        <v>110</v>
      </c>
      <c r="AK20" s="77"/>
      <c r="AL20" s="77"/>
      <c r="AM20" s="77"/>
      <c r="AN20" s="77"/>
      <c r="AO20" s="77"/>
      <c r="AP20" s="77"/>
      <c r="AQ20" s="72" t="s">
        <v>155</v>
      </c>
      <c r="AR20" s="72" t="s">
        <v>119</v>
      </c>
      <c r="AS20" s="72" t="s">
        <v>114</v>
      </c>
      <c r="AT20" s="72" t="s">
        <v>120</v>
      </c>
      <c r="AU20" s="72" t="s">
        <v>116</v>
      </c>
      <c r="AV20" s="72" t="s">
        <v>587</v>
      </c>
      <c r="AW20" s="72">
        <v>2</v>
      </c>
      <c r="AX20" s="72" t="s">
        <v>588</v>
      </c>
      <c r="AY20" s="72" t="s">
        <v>119</v>
      </c>
      <c r="AZ20" s="72" t="s">
        <v>120</v>
      </c>
      <c r="BA20" s="72" t="s">
        <v>116</v>
      </c>
      <c r="BB20" s="76" t="s">
        <v>589</v>
      </c>
      <c r="BC20" s="72">
        <v>2</v>
      </c>
      <c r="BP20" s="64">
        <v>0</v>
      </c>
      <c r="BQ20" s="72" t="s">
        <v>590</v>
      </c>
      <c r="BR20" s="3" t="s">
        <v>355</v>
      </c>
      <c r="BS20" s="72" t="s">
        <v>592</v>
      </c>
      <c r="BT20" s="72">
        <v>0.10674843380926501</v>
      </c>
      <c r="BU20" s="72" t="s">
        <v>593</v>
      </c>
      <c r="BV20" s="72">
        <v>0.22208588124308501</v>
      </c>
      <c r="BW20" s="72" t="s">
        <v>594</v>
      </c>
      <c r="BX20" s="72">
        <v>4</v>
      </c>
      <c r="BY20" s="72">
        <v>0.105521458609245</v>
      </c>
      <c r="BZ20" s="72">
        <v>0.247852734892335</v>
      </c>
      <c r="CA20" s="72" t="s">
        <v>595</v>
      </c>
      <c r="CB20" s="72" t="s">
        <v>594</v>
      </c>
      <c r="CC20" s="72">
        <v>4</v>
      </c>
      <c r="CD20" s="72" t="s">
        <v>3191</v>
      </c>
      <c r="CE20" s="72">
        <v>0.247852734892335</v>
      </c>
      <c r="CF20" s="72">
        <v>0.50184048620308097</v>
      </c>
      <c r="CG20" s="92">
        <v>2.1597601880684443E-2</v>
      </c>
      <c r="CH20" s="93">
        <v>6.4792793701720905E-2</v>
      </c>
      <c r="CI20" s="72" t="s">
        <v>597</v>
      </c>
      <c r="CM20" s="3" t="s">
        <v>3095</v>
      </c>
    </row>
    <row r="21" spans="1:91" s="72" customFormat="1" ht="38.5">
      <c r="A21" s="72" t="s">
        <v>579</v>
      </c>
      <c r="B21" s="72" t="str">
        <f t="shared" si="0"/>
        <v>addtl4-2022</v>
      </c>
      <c r="C21" s="72">
        <v>2022</v>
      </c>
      <c r="D21" s="73" t="s">
        <v>580</v>
      </c>
      <c r="E21" s="74">
        <v>45033</v>
      </c>
      <c r="F21" s="72" t="s">
        <v>90</v>
      </c>
      <c r="G21" s="72" t="s">
        <v>495</v>
      </c>
      <c r="I21" s="75" t="s">
        <v>563</v>
      </c>
      <c r="J21" s="76" t="s">
        <v>581</v>
      </c>
      <c r="K21" s="72" t="s">
        <v>94</v>
      </c>
      <c r="L21" s="72" t="s">
        <v>94</v>
      </c>
      <c r="M21" s="72" t="s">
        <v>95</v>
      </c>
      <c r="N21" s="76" t="s">
        <v>582</v>
      </c>
      <c r="O21" s="72" t="s">
        <v>97</v>
      </c>
      <c r="P21" s="72" t="s">
        <v>97</v>
      </c>
      <c r="S21" s="72" t="s">
        <v>114</v>
      </c>
      <c r="T21" s="58" t="s">
        <v>114</v>
      </c>
      <c r="U21" s="72" t="s">
        <v>98</v>
      </c>
      <c r="V21" s="77" t="s">
        <v>99</v>
      </c>
      <c r="W21" s="77">
        <v>1</v>
      </c>
      <c r="X21" s="77" t="s">
        <v>583</v>
      </c>
      <c r="Y21" s="77" t="s">
        <v>584</v>
      </c>
      <c r="Z21" s="77" t="s">
        <v>568</v>
      </c>
      <c r="AA21" s="77" t="s">
        <v>299</v>
      </c>
      <c r="AB21" s="72" t="s">
        <v>585</v>
      </c>
      <c r="AC21" s="72" t="s">
        <v>105</v>
      </c>
      <c r="AD21" s="77"/>
      <c r="AE21" s="77"/>
      <c r="AF21" s="77"/>
      <c r="AG21" s="72">
        <v>2</v>
      </c>
      <c r="AH21" s="72" t="s">
        <v>90</v>
      </c>
      <c r="AI21" s="76" t="s">
        <v>586</v>
      </c>
      <c r="AJ21" s="72" t="s">
        <v>110</v>
      </c>
      <c r="AK21" s="77"/>
      <c r="AL21" s="77"/>
      <c r="AM21" s="77"/>
      <c r="AN21" s="77"/>
      <c r="AO21" s="77"/>
      <c r="AP21" s="77"/>
      <c r="AQ21" s="72" t="s">
        <v>155</v>
      </c>
      <c r="AR21" s="72" t="s">
        <v>119</v>
      </c>
      <c r="AS21" s="72" t="s">
        <v>114</v>
      </c>
      <c r="AT21" s="72" t="s">
        <v>120</v>
      </c>
      <c r="AU21" s="72" t="s">
        <v>116</v>
      </c>
      <c r="AV21" s="72" t="s">
        <v>587</v>
      </c>
      <c r="AW21" s="72">
        <v>2</v>
      </c>
      <c r="AX21" s="72" t="s">
        <v>588</v>
      </c>
      <c r="AY21" s="72" t="s">
        <v>119</v>
      </c>
      <c r="AZ21" s="72" t="s">
        <v>120</v>
      </c>
      <c r="BA21" s="72" t="s">
        <v>116</v>
      </c>
      <c r="BB21" s="76" t="s">
        <v>589</v>
      </c>
      <c r="BC21" s="72">
        <v>2</v>
      </c>
      <c r="BP21" s="64">
        <v>5</v>
      </c>
      <c r="BQ21" s="72" t="s">
        <v>601</v>
      </c>
      <c r="BR21" s="3" t="s">
        <v>355</v>
      </c>
      <c r="BS21" s="72" t="s">
        <v>592</v>
      </c>
      <c r="BT21" s="72">
        <v>0.114110378621593</v>
      </c>
      <c r="BU21" s="72">
        <v>0.26993861613542097</v>
      </c>
      <c r="BV21" s="72">
        <v>0.36196316032003201</v>
      </c>
      <c r="BW21" s="72" t="s">
        <v>594</v>
      </c>
      <c r="BX21" s="72">
        <v>4</v>
      </c>
      <c r="BY21" s="72">
        <v>6.8711640935401302E-2</v>
      </c>
      <c r="BZ21" s="72">
        <v>0.15828209430166101</v>
      </c>
      <c r="CA21" s="72" t="s">
        <v>602</v>
      </c>
      <c r="CB21" s="72" t="s">
        <v>594</v>
      </c>
      <c r="CC21" s="72">
        <v>4</v>
      </c>
      <c r="CD21" s="72" t="s">
        <v>3191</v>
      </c>
      <c r="CE21" s="72">
        <v>0.15828209430166101</v>
      </c>
      <c r="CF21" s="72">
        <v>0.44539878449229497</v>
      </c>
      <c r="CG21" s="92">
        <v>2.3475649026686488E-2</v>
      </c>
      <c r="CH21" s="93">
        <v>7.3244053620059688E-2</v>
      </c>
      <c r="CI21" s="72" t="s">
        <v>597</v>
      </c>
      <c r="CM21" s="3" t="s">
        <v>3095</v>
      </c>
    </row>
    <row r="22" spans="1:91" s="72" customFormat="1" ht="38.5" hidden="1">
      <c r="A22" s="72" t="s">
        <v>671</v>
      </c>
      <c r="B22" s="72" t="str">
        <f t="shared" si="0"/>
        <v>addtl10-2018</v>
      </c>
      <c r="C22" s="72">
        <v>2018</v>
      </c>
      <c r="D22" s="73" t="s">
        <v>672</v>
      </c>
      <c r="E22" s="74">
        <v>45044</v>
      </c>
      <c r="F22" s="72" t="s">
        <v>90</v>
      </c>
      <c r="I22" s="75" t="s">
        <v>673</v>
      </c>
      <c r="J22" s="76" t="s">
        <v>674</v>
      </c>
      <c r="K22" s="76" t="s">
        <v>97</v>
      </c>
      <c r="L22" s="76" t="s">
        <v>97</v>
      </c>
      <c r="M22" s="76" t="s">
        <v>95</v>
      </c>
      <c r="N22" s="76" t="s">
        <v>675</v>
      </c>
      <c r="O22" s="76" t="s">
        <v>97</v>
      </c>
      <c r="P22" s="76" t="s">
        <v>97</v>
      </c>
      <c r="S22" s="72" t="s">
        <v>90</v>
      </c>
      <c r="T22" s="58" t="s">
        <v>114</v>
      </c>
      <c r="U22" s="72" t="s">
        <v>191</v>
      </c>
      <c r="V22" s="77"/>
      <c r="W22" s="77"/>
      <c r="X22" s="77" t="s">
        <v>3090</v>
      </c>
      <c r="Y22" s="77" t="s">
        <v>3089</v>
      </c>
      <c r="Z22" s="77" t="s">
        <v>3091</v>
      </c>
      <c r="AA22" s="77" t="s">
        <v>3108</v>
      </c>
      <c r="AB22" s="72" t="s">
        <v>676</v>
      </c>
      <c r="AC22" s="72" t="s">
        <v>105</v>
      </c>
      <c r="AD22" s="77"/>
      <c r="AE22" s="77"/>
      <c r="AF22" s="77"/>
      <c r="AG22" s="72">
        <v>2</v>
      </c>
      <c r="AH22" s="72" t="s">
        <v>90</v>
      </c>
      <c r="AI22" s="72" t="s">
        <v>677</v>
      </c>
      <c r="AJ22" s="72" t="s">
        <v>637</v>
      </c>
      <c r="AK22" s="77"/>
      <c r="AL22" s="77"/>
      <c r="AM22" s="77"/>
      <c r="AN22" s="77"/>
      <c r="AO22" s="77"/>
      <c r="AP22" s="77"/>
      <c r="AQ22" s="72" t="s">
        <v>155</v>
      </c>
      <c r="AR22" s="72" t="s">
        <v>119</v>
      </c>
      <c r="AS22" s="72" t="s">
        <v>114</v>
      </c>
      <c r="AT22" s="72" t="s">
        <v>120</v>
      </c>
      <c r="AU22" s="72" t="s">
        <v>116</v>
      </c>
      <c r="AV22" s="72" t="s">
        <v>678</v>
      </c>
      <c r="AW22" s="72">
        <v>2</v>
      </c>
      <c r="AX22" s="72" t="s">
        <v>535</v>
      </c>
      <c r="AY22" s="72" t="s">
        <v>536</v>
      </c>
      <c r="AZ22" s="72" t="s">
        <v>537</v>
      </c>
      <c r="BA22" s="72" t="s">
        <v>116</v>
      </c>
      <c r="BB22" s="72" t="s">
        <v>679</v>
      </c>
      <c r="BC22" s="72">
        <v>2</v>
      </c>
      <c r="BP22" s="64">
        <v>0</v>
      </c>
      <c r="BQ22" s="72" t="s">
        <v>680</v>
      </c>
      <c r="BR22" s="3" t="s">
        <v>355</v>
      </c>
      <c r="BS22" s="72" t="s">
        <v>3192</v>
      </c>
      <c r="BT22" s="72">
        <v>0.28712300000000002</v>
      </c>
      <c r="BU22" s="72">
        <v>0.29452099999999998</v>
      </c>
      <c r="BV22" s="72">
        <v>0.30191800000000002</v>
      </c>
      <c r="BW22" s="72" t="s">
        <v>161</v>
      </c>
      <c r="BX22" s="72">
        <v>2</v>
      </c>
      <c r="BY22" s="72">
        <v>0.281781</v>
      </c>
      <c r="BZ22" s="72">
        <v>0.28958899999999999</v>
      </c>
      <c r="CA22" s="72">
        <v>0.29698600000000003</v>
      </c>
      <c r="CB22" s="72" t="s">
        <v>161</v>
      </c>
      <c r="CC22" s="72">
        <v>2</v>
      </c>
      <c r="CD22" s="72" t="s">
        <v>682</v>
      </c>
      <c r="CE22" s="72">
        <v>65.397683786653801</v>
      </c>
      <c r="CF22" s="72">
        <v>66.833977315071806</v>
      </c>
      <c r="CG22" s="3">
        <v>1.3899613080728983</v>
      </c>
      <c r="CH22" s="3">
        <v>1.4362935284180054</v>
      </c>
      <c r="CI22" s="72" t="s">
        <v>683</v>
      </c>
      <c r="CL22" s="72" t="s">
        <v>3193</v>
      </c>
      <c r="CM22" s="3" t="s">
        <v>3095</v>
      </c>
    </row>
    <row r="23" spans="1:91" s="72" customFormat="1" ht="38.5" hidden="1">
      <c r="A23" s="72" t="s">
        <v>671</v>
      </c>
      <c r="B23" s="72" t="str">
        <f t="shared" si="0"/>
        <v>addtl10-2018</v>
      </c>
      <c r="C23" s="72">
        <v>2018</v>
      </c>
      <c r="D23" s="73" t="s">
        <v>672</v>
      </c>
      <c r="E23" s="74">
        <v>45044</v>
      </c>
      <c r="F23" s="72" t="s">
        <v>90</v>
      </c>
      <c r="I23" s="75" t="s">
        <v>673</v>
      </c>
      <c r="J23" s="76" t="s">
        <v>674</v>
      </c>
      <c r="K23" s="76" t="s">
        <v>97</v>
      </c>
      <c r="L23" s="76" t="s">
        <v>97</v>
      </c>
      <c r="M23" s="76" t="s">
        <v>95</v>
      </c>
      <c r="N23" s="76" t="s">
        <v>675</v>
      </c>
      <c r="O23" s="76" t="s">
        <v>97</v>
      </c>
      <c r="P23" s="76" t="s">
        <v>97</v>
      </c>
      <c r="S23" s="72" t="s">
        <v>90</v>
      </c>
      <c r="T23" s="58" t="s">
        <v>114</v>
      </c>
      <c r="U23" s="72" t="s">
        <v>191</v>
      </c>
      <c r="V23" s="77"/>
      <c r="W23" s="77"/>
      <c r="X23" s="77" t="s">
        <v>3090</v>
      </c>
      <c r="Y23" s="77" t="s">
        <v>3089</v>
      </c>
      <c r="Z23" s="77" t="s">
        <v>3091</v>
      </c>
      <c r="AA23" s="77" t="s">
        <v>3108</v>
      </c>
      <c r="AB23" s="72" t="s">
        <v>676</v>
      </c>
      <c r="AC23" s="72" t="s">
        <v>105</v>
      </c>
      <c r="AD23" s="77"/>
      <c r="AE23" s="77"/>
      <c r="AF23" s="77"/>
      <c r="AG23" s="72">
        <v>2</v>
      </c>
      <c r="AH23" s="72" t="s">
        <v>90</v>
      </c>
      <c r="AI23" s="72" t="s">
        <v>677</v>
      </c>
      <c r="AJ23" s="72" t="s">
        <v>637</v>
      </c>
      <c r="AK23" s="77"/>
      <c r="AL23" s="77"/>
      <c r="AM23" s="77"/>
      <c r="AN23" s="77"/>
      <c r="AO23" s="77"/>
      <c r="AP23" s="77"/>
      <c r="AQ23" s="72" t="s">
        <v>155</v>
      </c>
      <c r="AR23" s="72" t="s">
        <v>119</v>
      </c>
      <c r="AS23" s="72" t="s">
        <v>114</v>
      </c>
      <c r="AT23" s="72" t="s">
        <v>120</v>
      </c>
      <c r="AU23" s="72" t="s">
        <v>116</v>
      </c>
      <c r="AV23" s="72" t="s">
        <v>678</v>
      </c>
      <c r="AW23" s="72">
        <v>2</v>
      </c>
      <c r="AX23" s="72" t="s">
        <v>535</v>
      </c>
      <c r="AY23" s="72" t="s">
        <v>536</v>
      </c>
      <c r="AZ23" s="72" t="s">
        <v>537</v>
      </c>
      <c r="BA23" s="72" t="s">
        <v>116</v>
      </c>
      <c r="BB23" s="72" t="s">
        <v>679</v>
      </c>
      <c r="BC23" s="72">
        <v>2</v>
      </c>
      <c r="BP23" s="72">
        <v>5</v>
      </c>
      <c r="BQ23" s="72" t="s">
        <v>685</v>
      </c>
      <c r="BR23" s="3" t="s">
        <v>355</v>
      </c>
      <c r="BS23" s="72" t="s">
        <v>3192</v>
      </c>
      <c r="BT23" s="72">
        <v>0.237599</v>
      </c>
      <c r="BU23" s="72">
        <v>0.24562600000000001</v>
      </c>
      <c r="BV23" s="72">
        <v>0.25303599999999998</v>
      </c>
      <c r="BW23" s="72" t="s">
        <v>161</v>
      </c>
      <c r="BX23" s="72">
        <v>2</v>
      </c>
      <c r="BY23" s="72">
        <v>0.23245299999999999</v>
      </c>
      <c r="BZ23" s="72">
        <v>0.23986299999999999</v>
      </c>
      <c r="CA23" s="72">
        <v>0.24789</v>
      </c>
      <c r="CB23" s="72" t="s">
        <v>161</v>
      </c>
      <c r="CC23" s="72">
        <v>2</v>
      </c>
      <c r="CD23" s="72" t="s">
        <v>682</v>
      </c>
      <c r="CE23" s="72">
        <v>37.601156279670199</v>
      </c>
      <c r="CF23" s="72">
        <v>39.109827054180599</v>
      </c>
      <c r="CG23" s="3">
        <v>1.4913299972492027</v>
      </c>
      <c r="CH23" s="3">
        <v>1.5086707745103993</v>
      </c>
      <c r="CI23" s="72" t="s">
        <v>683</v>
      </c>
      <c r="CL23" s="72" t="s">
        <v>3193</v>
      </c>
      <c r="CM23" s="3" t="s">
        <v>3095</v>
      </c>
    </row>
    <row r="24" spans="1:91" s="72" customFormat="1" ht="38.5" hidden="1">
      <c r="A24" s="72" t="s">
        <v>687</v>
      </c>
      <c r="B24" s="72" t="str">
        <f t="shared" si="0"/>
        <v>addtl11-2018</v>
      </c>
      <c r="C24" s="72">
        <v>2018</v>
      </c>
      <c r="D24" s="73" t="s">
        <v>688</v>
      </c>
      <c r="E24" s="74">
        <v>45044</v>
      </c>
      <c r="F24" s="72" t="s">
        <v>90</v>
      </c>
      <c r="I24" s="75" t="s">
        <v>673</v>
      </c>
      <c r="J24" s="84" t="s">
        <v>689</v>
      </c>
      <c r="K24" s="76" t="s">
        <v>97</v>
      </c>
      <c r="L24" s="76" t="s">
        <v>137</v>
      </c>
      <c r="M24" s="76" t="s">
        <v>95</v>
      </c>
      <c r="N24" s="76" t="s">
        <v>690</v>
      </c>
      <c r="O24" s="76" t="s">
        <v>90</v>
      </c>
      <c r="P24" s="76" t="s">
        <v>97</v>
      </c>
      <c r="Q24" s="76" t="s">
        <v>691</v>
      </c>
      <c r="R24" s="81"/>
      <c r="S24" s="72" t="s">
        <v>90</v>
      </c>
      <c r="T24" s="72" t="s">
        <v>94</v>
      </c>
      <c r="U24" s="72" t="s">
        <v>191</v>
      </c>
      <c r="V24" s="77"/>
      <c r="W24" s="77"/>
      <c r="X24" s="72" t="s">
        <v>3093</v>
      </c>
      <c r="Y24" s="77" t="s">
        <v>3092</v>
      </c>
      <c r="Z24" s="77" t="s">
        <v>3091</v>
      </c>
      <c r="AA24" s="77" t="s">
        <v>3109</v>
      </c>
      <c r="AB24" s="72" t="s">
        <v>212</v>
      </c>
      <c r="AC24" s="72" t="s">
        <v>20</v>
      </c>
      <c r="AD24" s="77"/>
      <c r="AE24" s="77"/>
      <c r="AF24" s="77"/>
      <c r="AG24" s="72">
        <v>1</v>
      </c>
      <c r="AH24" s="72" t="s">
        <v>97</v>
      </c>
      <c r="AI24" s="72" t="s">
        <v>677</v>
      </c>
      <c r="AJ24" s="72" t="s">
        <v>637</v>
      </c>
      <c r="AK24" s="77"/>
      <c r="AL24" s="77"/>
      <c r="AM24" s="77"/>
      <c r="AN24" s="77"/>
      <c r="AO24" s="77"/>
      <c r="AP24" s="77"/>
      <c r="AQ24" s="72" t="s">
        <v>155</v>
      </c>
      <c r="AR24" s="72" t="s">
        <v>119</v>
      </c>
      <c r="AS24" s="72" t="s">
        <v>114</v>
      </c>
      <c r="AT24" s="72" t="s">
        <v>120</v>
      </c>
      <c r="AU24" s="72" t="s">
        <v>116</v>
      </c>
      <c r="AV24" s="72" t="s">
        <v>692</v>
      </c>
      <c r="AW24" s="72">
        <v>2</v>
      </c>
      <c r="BP24" s="64">
        <v>0</v>
      </c>
      <c r="BQ24" s="72">
        <v>15.1</v>
      </c>
      <c r="BR24" s="3" t="s">
        <v>355</v>
      </c>
      <c r="BS24" s="72" t="s">
        <v>693</v>
      </c>
      <c r="BT24" s="72" t="s">
        <v>160</v>
      </c>
      <c r="BU24" s="72">
        <v>4.6666669040256202E-2</v>
      </c>
      <c r="BV24" s="72">
        <v>5.8666588270395198E-2</v>
      </c>
      <c r="BW24" s="72" t="s">
        <v>161</v>
      </c>
      <c r="BX24" s="72">
        <v>71</v>
      </c>
      <c r="BY24" s="72" t="s">
        <v>160</v>
      </c>
      <c r="BZ24" s="72">
        <v>3.06667089165602E-2</v>
      </c>
      <c r="CA24" s="72">
        <v>4.0000002034505301E-2</v>
      </c>
      <c r="CB24" s="72" t="s">
        <v>161</v>
      </c>
      <c r="CC24" s="72">
        <v>71</v>
      </c>
      <c r="CD24" s="72" t="s">
        <v>128</v>
      </c>
      <c r="CE24" s="72">
        <v>3.06667089165602E-2</v>
      </c>
      <c r="CF24" s="72">
        <v>4.0000002034505301E-2</v>
      </c>
      <c r="CG24" s="3">
        <v>1.1999919230138996E-2</v>
      </c>
      <c r="CH24" s="3">
        <v>9.3332931179451011E-3</v>
      </c>
      <c r="CI24" s="72" t="s">
        <v>694</v>
      </c>
      <c r="CM24" s="3" t="s">
        <v>3095</v>
      </c>
    </row>
    <row r="25" spans="1:91" s="72" customFormat="1" ht="38.5" hidden="1">
      <c r="A25" s="72" t="s">
        <v>687</v>
      </c>
      <c r="B25" s="72" t="str">
        <f t="shared" si="0"/>
        <v>addtl11-2018</v>
      </c>
      <c r="C25" s="72">
        <v>2018</v>
      </c>
      <c r="D25" s="73" t="s">
        <v>688</v>
      </c>
      <c r="E25" s="74">
        <v>45044</v>
      </c>
      <c r="F25" s="72" t="s">
        <v>90</v>
      </c>
      <c r="I25" s="75" t="s">
        <v>673</v>
      </c>
      <c r="J25" s="84" t="s">
        <v>689</v>
      </c>
      <c r="K25" s="76" t="s">
        <v>97</v>
      </c>
      <c r="L25" s="76" t="s">
        <v>137</v>
      </c>
      <c r="M25" s="76" t="s">
        <v>95</v>
      </c>
      <c r="N25" s="76" t="s">
        <v>690</v>
      </c>
      <c r="O25" s="76" t="s">
        <v>90</v>
      </c>
      <c r="P25" s="76" t="s">
        <v>97</v>
      </c>
      <c r="Q25" s="76" t="s">
        <v>691</v>
      </c>
      <c r="R25" s="81"/>
      <c r="S25" s="72" t="s">
        <v>90</v>
      </c>
      <c r="T25" s="72" t="s">
        <v>94</v>
      </c>
      <c r="U25" s="72" t="s">
        <v>191</v>
      </c>
      <c r="V25" s="77"/>
      <c r="W25" s="77"/>
      <c r="X25" s="72" t="s">
        <v>3093</v>
      </c>
      <c r="Y25" s="77" t="s">
        <v>3092</v>
      </c>
      <c r="Z25" s="77" t="s">
        <v>3091</v>
      </c>
      <c r="AA25" s="77" t="s">
        <v>3109</v>
      </c>
      <c r="AB25" s="72" t="s">
        <v>212</v>
      </c>
      <c r="AC25" s="72" t="s">
        <v>20</v>
      </c>
      <c r="AD25" s="77"/>
      <c r="AE25" s="77"/>
      <c r="AF25" s="77"/>
      <c r="AG25" s="72">
        <v>1</v>
      </c>
      <c r="AH25" s="72" t="s">
        <v>97</v>
      </c>
      <c r="AI25" s="72" t="s">
        <v>677</v>
      </c>
      <c r="AJ25" s="72" t="s">
        <v>637</v>
      </c>
      <c r="AK25" s="77"/>
      <c r="AL25" s="77"/>
      <c r="AM25" s="77"/>
      <c r="AN25" s="77"/>
      <c r="AO25" s="77"/>
      <c r="AP25" s="77"/>
      <c r="AQ25" s="72" t="s">
        <v>155</v>
      </c>
      <c r="AR25" s="72" t="s">
        <v>119</v>
      </c>
      <c r="AS25" s="72" t="s">
        <v>114</v>
      </c>
      <c r="AT25" s="72" t="s">
        <v>120</v>
      </c>
      <c r="AU25" s="72" t="s">
        <v>116</v>
      </c>
      <c r="AV25" s="72" t="s">
        <v>692</v>
      </c>
      <c r="AW25" s="72">
        <v>2</v>
      </c>
      <c r="BP25" s="72">
        <v>3.4</v>
      </c>
      <c r="BQ25" s="72">
        <v>18.5</v>
      </c>
      <c r="BR25" s="3" t="s">
        <v>355</v>
      </c>
      <c r="BS25" s="72" t="s">
        <v>693</v>
      </c>
      <c r="BT25" s="72" t="s">
        <v>160</v>
      </c>
      <c r="BU25" s="72">
        <v>0.21466670810275801</v>
      </c>
      <c r="BV25" s="72">
        <v>0.23066671908908601</v>
      </c>
      <c r="BW25" s="72" t="s">
        <v>161</v>
      </c>
      <c r="BX25" s="72">
        <v>71</v>
      </c>
      <c r="BY25" s="72" t="s">
        <v>160</v>
      </c>
      <c r="BZ25" s="72">
        <v>0.36000001831054701</v>
      </c>
      <c r="CA25" s="72">
        <v>0.41333335435655399</v>
      </c>
      <c r="CB25" s="72" t="s">
        <v>161</v>
      </c>
      <c r="CC25" s="72">
        <v>71</v>
      </c>
      <c r="CD25" s="72" t="s">
        <v>128</v>
      </c>
      <c r="CE25" s="72">
        <v>0.36000001831054701</v>
      </c>
      <c r="CF25" s="72">
        <v>0.41333335435655399</v>
      </c>
      <c r="CG25" s="3">
        <v>1.6000010986328E-2</v>
      </c>
      <c r="CH25" s="3">
        <v>5.3333336046006985E-2</v>
      </c>
      <c r="CI25" s="72" t="s">
        <v>694</v>
      </c>
      <c r="CM25" s="3" t="s">
        <v>3095</v>
      </c>
    </row>
    <row r="26" spans="1:91" s="72" customFormat="1" ht="38.5" hidden="1">
      <c r="A26" s="72" t="s">
        <v>687</v>
      </c>
      <c r="B26" s="72" t="str">
        <f t="shared" si="0"/>
        <v>addtl11-2018</v>
      </c>
      <c r="C26" s="72">
        <v>2018</v>
      </c>
      <c r="D26" s="73" t="s">
        <v>688</v>
      </c>
      <c r="E26" s="74">
        <v>45044</v>
      </c>
      <c r="F26" s="72" t="s">
        <v>90</v>
      </c>
      <c r="I26" s="75" t="s">
        <v>673</v>
      </c>
      <c r="J26" s="84" t="s">
        <v>689</v>
      </c>
      <c r="K26" s="76" t="s">
        <v>97</v>
      </c>
      <c r="L26" s="76" t="s">
        <v>137</v>
      </c>
      <c r="M26" s="76" t="s">
        <v>95</v>
      </c>
      <c r="N26" s="76" t="s">
        <v>690</v>
      </c>
      <c r="O26" s="76" t="s">
        <v>90</v>
      </c>
      <c r="P26" s="76" t="s">
        <v>97</v>
      </c>
      <c r="Q26" s="76" t="s">
        <v>691</v>
      </c>
      <c r="R26" s="81"/>
      <c r="S26" s="72" t="s">
        <v>90</v>
      </c>
      <c r="T26" s="72" t="s">
        <v>94</v>
      </c>
      <c r="U26" s="72" t="s">
        <v>191</v>
      </c>
      <c r="V26" s="77"/>
      <c r="W26" s="77"/>
      <c r="X26" s="72" t="s">
        <v>3093</v>
      </c>
      <c r="Y26" s="77" t="s">
        <v>3092</v>
      </c>
      <c r="Z26" s="77" t="s">
        <v>3091</v>
      </c>
      <c r="AA26" s="77" t="s">
        <v>3109</v>
      </c>
      <c r="AB26" s="72" t="s">
        <v>212</v>
      </c>
      <c r="AC26" s="72" t="s">
        <v>20</v>
      </c>
      <c r="AD26" s="77"/>
      <c r="AE26" s="77"/>
      <c r="AF26" s="77"/>
      <c r="AG26" s="72">
        <v>1</v>
      </c>
      <c r="AH26" s="72" t="s">
        <v>97</v>
      </c>
      <c r="AI26" s="72" t="s">
        <v>677</v>
      </c>
      <c r="AJ26" s="72" t="s">
        <v>637</v>
      </c>
      <c r="AK26" s="77"/>
      <c r="AL26" s="77"/>
      <c r="AM26" s="77"/>
      <c r="AN26" s="77"/>
      <c r="AO26" s="77"/>
      <c r="AP26" s="77"/>
      <c r="AQ26" s="72" t="s">
        <v>155</v>
      </c>
      <c r="AR26" s="72" t="s">
        <v>119</v>
      </c>
      <c r="AS26" s="72" t="s">
        <v>114</v>
      </c>
      <c r="AT26" s="72" t="s">
        <v>120</v>
      </c>
      <c r="AU26" s="72" t="s">
        <v>116</v>
      </c>
      <c r="AV26" s="72" t="s">
        <v>692</v>
      </c>
      <c r="AW26" s="72">
        <v>2</v>
      </c>
      <c r="BP26" s="72">
        <v>4.4000000000000004</v>
      </c>
      <c r="BQ26" s="72">
        <v>19.5</v>
      </c>
      <c r="BR26" s="3" t="s">
        <v>355</v>
      </c>
      <c r="BS26" s="72" t="s">
        <v>693</v>
      </c>
      <c r="BT26" s="72" t="s">
        <v>160</v>
      </c>
      <c r="BU26" s="72">
        <v>0.322666693250869</v>
      </c>
      <c r="BV26" s="72">
        <v>0.33733339118110101</v>
      </c>
      <c r="BW26" s="72" t="s">
        <v>161</v>
      </c>
      <c r="BX26" s="72">
        <v>71</v>
      </c>
      <c r="BY26" s="72" t="s">
        <v>160</v>
      </c>
      <c r="BZ26" s="72">
        <v>0.38400006022135702</v>
      </c>
      <c r="CA26" s="72">
        <v>0.41466671827528401</v>
      </c>
      <c r="CB26" s="72" t="s">
        <v>161</v>
      </c>
      <c r="CC26" s="72">
        <v>71</v>
      </c>
      <c r="CD26" s="72" t="s">
        <v>128</v>
      </c>
      <c r="CE26" s="72">
        <v>0.38400006022135702</v>
      </c>
      <c r="CF26" s="72">
        <v>0.41466671827528401</v>
      </c>
      <c r="CG26" s="3">
        <v>1.4666697930232009E-2</v>
      </c>
      <c r="CH26" s="3">
        <v>3.0666658053926987E-2</v>
      </c>
      <c r="CI26" s="72" t="s">
        <v>694</v>
      </c>
      <c r="CM26" s="3" t="s">
        <v>3095</v>
      </c>
    </row>
    <row r="27" spans="1:91" s="72" customFormat="1" ht="38.5" hidden="1">
      <c r="A27" s="72" t="s">
        <v>687</v>
      </c>
      <c r="B27" s="72" t="str">
        <f t="shared" si="0"/>
        <v>addtl11-2018</v>
      </c>
      <c r="C27" s="72">
        <v>2018</v>
      </c>
      <c r="D27" s="73" t="s">
        <v>688</v>
      </c>
      <c r="E27" s="74">
        <v>45044</v>
      </c>
      <c r="F27" s="72" t="s">
        <v>90</v>
      </c>
      <c r="I27" s="75" t="s">
        <v>673</v>
      </c>
      <c r="J27" s="84" t="s">
        <v>689</v>
      </c>
      <c r="K27" s="76" t="s">
        <v>97</v>
      </c>
      <c r="L27" s="76" t="s">
        <v>137</v>
      </c>
      <c r="M27" s="76" t="s">
        <v>95</v>
      </c>
      <c r="N27" s="76" t="s">
        <v>690</v>
      </c>
      <c r="O27" s="76" t="s">
        <v>90</v>
      </c>
      <c r="P27" s="76" t="s">
        <v>97</v>
      </c>
      <c r="Q27" s="76" t="s">
        <v>691</v>
      </c>
      <c r="R27" s="81"/>
      <c r="S27" s="72" t="s">
        <v>90</v>
      </c>
      <c r="T27" s="72" t="s">
        <v>94</v>
      </c>
      <c r="U27" s="72" t="s">
        <v>191</v>
      </c>
      <c r="V27" s="77"/>
      <c r="W27" s="77"/>
      <c r="X27" s="72" t="s">
        <v>3093</v>
      </c>
      <c r="Y27" s="77" t="s">
        <v>3092</v>
      </c>
      <c r="Z27" s="77" t="s">
        <v>3091</v>
      </c>
      <c r="AA27" s="77" t="s">
        <v>3109</v>
      </c>
      <c r="AB27" s="72" t="s">
        <v>212</v>
      </c>
      <c r="AC27" s="72" t="s">
        <v>20</v>
      </c>
      <c r="AD27" s="77"/>
      <c r="AE27" s="77"/>
      <c r="AF27" s="77"/>
      <c r="AG27" s="72">
        <v>1</v>
      </c>
      <c r="AH27" s="72" t="s">
        <v>97</v>
      </c>
      <c r="AI27" s="72" t="s">
        <v>677</v>
      </c>
      <c r="AJ27" s="72" t="s">
        <v>637</v>
      </c>
      <c r="AK27" s="77"/>
      <c r="AL27" s="77"/>
      <c r="AM27" s="77"/>
      <c r="AN27" s="77"/>
      <c r="AO27" s="77"/>
      <c r="AP27" s="77"/>
      <c r="AQ27" s="72" t="s">
        <v>155</v>
      </c>
      <c r="AR27" s="72" t="s">
        <v>119</v>
      </c>
      <c r="AS27" s="72" t="s">
        <v>114</v>
      </c>
      <c r="AT27" s="72" t="s">
        <v>120</v>
      </c>
      <c r="AU27" s="72" t="s">
        <v>116</v>
      </c>
      <c r="AV27" s="72" t="s">
        <v>692</v>
      </c>
      <c r="AW27" s="72">
        <v>2</v>
      </c>
      <c r="BP27" s="72">
        <v>6.2</v>
      </c>
      <c r="BQ27" s="72">
        <v>21.3</v>
      </c>
      <c r="BR27" s="3" t="s">
        <v>355</v>
      </c>
      <c r="BS27" s="72" t="s">
        <v>693</v>
      </c>
      <c r="BT27" s="72" t="s">
        <v>160</v>
      </c>
      <c r="BU27" s="72">
        <v>0.25733338711208997</v>
      </c>
      <c r="BV27" s="72">
        <v>0.27066672112359202</v>
      </c>
      <c r="BW27" s="72" t="s">
        <v>161</v>
      </c>
      <c r="BX27" s="72">
        <v>71</v>
      </c>
      <c r="BY27" s="72" t="s">
        <v>160</v>
      </c>
      <c r="BZ27" s="72">
        <v>0.248000043131512</v>
      </c>
      <c r="CA27" s="72">
        <v>0.264000054117841</v>
      </c>
      <c r="CB27" s="72" t="s">
        <v>161</v>
      </c>
      <c r="CC27" s="72">
        <v>71</v>
      </c>
      <c r="CD27" s="72" t="s">
        <v>128</v>
      </c>
      <c r="CE27" s="72">
        <v>0.248000043131512</v>
      </c>
      <c r="CF27" s="72">
        <v>0.264000054117841</v>
      </c>
      <c r="CG27" s="3">
        <v>1.3333334011502052E-2</v>
      </c>
      <c r="CH27" s="3">
        <v>1.6000010986329E-2</v>
      </c>
      <c r="CI27" s="72" t="s">
        <v>694</v>
      </c>
      <c r="CM27" s="3" t="s">
        <v>3095</v>
      </c>
    </row>
    <row r="28" spans="1:91" ht="130.5">
      <c r="A28" s="3" t="s">
        <v>606</v>
      </c>
      <c r="B28" s="3" t="s">
        <v>3204</v>
      </c>
      <c r="C28" s="3">
        <v>2021</v>
      </c>
      <c r="D28" s="3" t="s">
        <v>607</v>
      </c>
      <c r="E28" s="3">
        <v>45033</v>
      </c>
      <c r="F28" s="3" t="s">
        <v>90</v>
      </c>
      <c r="G28" s="3" t="s">
        <v>495</v>
      </c>
      <c r="I28" s="3" t="s">
        <v>563</v>
      </c>
      <c r="J28" s="3" t="s">
        <v>608</v>
      </c>
      <c r="K28" s="3" t="s">
        <v>94</v>
      </c>
      <c r="L28" s="3" t="s">
        <v>94</v>
      </c>
      <c r="M28" s="3" t="s">
        <v>95</v>
      </c>
      <c r="N28" s="3" t="s">
        <v>609</v>
      </c>
      <c r="O28" s="3" t="s">
        <v>97</v>
      </c>
      <c r="P28" s="3" t="s">
        <v>97</v>
      </c>
      <c r="S28" s="3" t="s">
        <v>114</v>
      </c>
      <c r="T28" s="3" t="s">
        <v>114</v>
      </c>
      <c r="U28" s="3" t="s">
        <v>98</v>
      </c>
      <c r="V28" s="3" t="s">
        <v>99</v>
      </c>
      <c r="W28" s="3">
        <v>1</v>
      </c>
      <c r="X28" s="3" t="s">
        <v>610</v>
      </c>
      <c r="Y28" s="3" t="s">
        <v>611</v>
      </c>
      <c r="Z28" s="3" t="s">
        <v>568</v>
      </c>
      <c r="AA28" s="3" t="s">
        <v>569</v>
      </c>
      <c r="AB28" s="3" t="s">
        <v>612</v>
      </c>
      <c r="AC28" s="3" t="s">
        <v>105</v>
      </c>
      <c r="AG28" s="3">
        <v>3</v>
      </c>
      <c r="AH28" s="3" t="s">
        <v>90</v>
      </c>
      <c r="AI28" s="3" t="s">
        <v>613</v>
      </c>
      <c r="AJ28" s="3" t="s">
        <v>110</v>
      </c>
      <c r="AQ28" s="3" t="s">
        <v>155</v>
      </c>
      <c r="AR28" s="3" t="s">
        <v>119</v>
      </c>
      <c r="AS28" s="3" t="s">
        <v>114</v>
      </c>
      <c r="AT28" s="3" t="s">
        <v>120</v>
      </c>
      <c r="AU28" s="3" t="s">
        <v>116</v>
      </c>
      <c r="AV28" s="3" t="s">
        <v>587</v>
      </c>
      <c r="AW28" s="3">
        <v>2</v>
      </c>
      <c r="AX28" s="3" t="s">
        <v>588</v>
      </c>
      <c r="AY28" s="3" t="s">
        <v>119</v>
      </c>
      <c r="AZ28" s="3" t="s">
        <v>120</v>
      </c>
      <c r="BA28" s="3" t="s">
        <v>116</v>
      </c>
      <c r="BB28" s="3" t="s">
        <v>589</v>
      </c>
      <c r="BC28" s="3">
        <v>2</v>
      </c>
      <c r="BD28" s="3" t="s">
        <v>614</v>
      </c>
      <c r="BE28" s="3" t="s">
        <v>123</v>
      </c>
      <c r="BF28" s="3" t="s">
        <v>615</v>
      </c>
      <c r="BG28" s="3" t="s">
        <v>116</v>
      </c>
      <c r="BH28" s="3" t="s">
        <v>616</v>
      </c>
      <c r="BI28" s="3">
        <v>3</v>
      </c>
      <c r="BP28" s="3">
        <v>0</v>
      </c>
      <c r="BQ28" s="3" t="s">
        <v>3205</v>
      </c>
      <c r="BR28" s="3" t="s">
        <v>355</v>
      </c>
      <c r="BS28" s="3" t="s">
        <v>592</v>
      </c>
      <c r="BT28" s="3">
        <v>8.8662557576033741E-3</v>
      </c>
      <c r="BU28" s="3">
        <v>2.4054979833449369E-2</v>
      </c>
      <c r="BV28" s="3">
        <v>3.8648601077868133E-2</v>
      </c>
      <c r="BW28" s="3" t="s">
        <v>594</v>
      </c>
      <c r="BX28" s="3">
        <v>4</v>
      </c>
      <c r="BY28" s="3">
        <v>1.1343008800938201E-3</v>
      </c>
      <c r="BZ28" s="3">
        <v>2.1477661540946099E-2</v>
      </c>
      <c r="CA28" s="3">
        <v>4.2800951160605095E-2</v>
      </c>
      <c r="CB28" s="3" t="s">
        <v>594</v>
      </c>
      <c r="CC28" s="3">
        <v>4</v>
      </c>
      <c r="CD28" s="3" t="s">
        <v>3191</v>
      </c>
      <c r="CE28" s="3">
        <v>2.1477661540946099E-2</v>
      </c>
      <c r="CF28" s="3">
        <v>4.2800951160605095E-2</v>
      </c>
      <c r="CG28" s="3">
        <v>3.7228625623517263E-3</v>
      </c>
      <c r="CH28" s="3">
        <v>5.4396146988926032E-3</v>
      </c>
      <c r="CI28" s="3" t="s">
        <v>618</v>
      </c>
    </row>
    <row r="29" spans="1:91" ht="130.5">
      <c r="A29" s="3" t="s">
        <v>606</v>
      </c>
      <c r="B29" s="3" t="s">
        <v>3204</v>
      </c>
      <c r="C29" s="3">
        <v>2021</v>
      </c>
      <c r="D29" s="3" t="s">
        <v>607</v>
      </c>
      <c r="E29" s="3">
        <v>45033</v>
      </c>
      <c r="F29" s="3" t="s">
        <v>90</v>
      </c>
      <c r="G29" s="3" t="s">
        <v>495</v>
      </c>
      <c r="I29" s="3" t="s">
        <v>563</v>
      </c>
      <c r="J29" s="3" t="s">
        <v>608</v>
      </c>
      <c r="K29" s="3" t="s">
        <v>94</v>
      </c>
      <c r="L29" s="3" t="s">
        <v>94</v>
      </c>
      <c r="M29" s="3" t="s">
        <v>95</v>
      </c>
      <c r="N29" s="3" t="s">
        <v>609</v>
      </c>
      <c r="O29" s="3" t="s">
        <v>97</v>
      </c>
      <c r="P29" s="3" t="s">
        <v>97</v>
      </c>
      <c r="S29" s="3" t="s">
        <v>114</v>
      </c>
      <c r="T29" s="3" t="s">
        <v>114</v>
      </c>
      <c r="U29" s="3" t="s">
        <v>98</v>
      </c>
      <c r="V29" s="3" t="s">
        <v>99</v>
      </c>
      <c r="W29" s="3">
        <v>1</v>
      </c>
      <c r="X29" s="3" t="s">
        <v>610</v>
      </c>
      <c r="Y29" s="3" t="s">
        <v>611</v>
      </c>
      <c r="Z29" s="3" t="s">
        <v>568</v>
      </c>
      <c r="AA29" s="3" t="s">
        <v>569</v>
      </c>
      <c r="AB29" s="3" t="s">
        <v>612</v>
      </c>
      <c r="AC29" s="3" t="s">
        <v>105</v>
      </c>
      <c r="AG29" s="3">
        <v>3</v>
      </c>
      <c r="AH29" s="3" t="s">
        <v>90</v>
      </c>
      <c r="AI29" s="3" t="s">
        <v>613</v>
      </c>
      <c r="AJ29" s="3" t="s">
        <v>110</v>
      </c>
      <c r="AQ29" s="3" t="s">
        <v>155</v>
      </c>
      <c r="AR29" s="3" t="s">
        <v>119</v>
      </c>
      <c r="AS29" s="3" t="s">
        <v>114</v>
      </c>
      <c r="AT29" s="3" t="s">
        <v>120</v>
      </c>
      <c r="AU29" s="3" t="s">
        <v>116</v>
      </c>
      <c r="AV29" s="3" t="s">
        <v>587</v>
      </c>
      <c r="AW29" s="3">
        <v>2</v>
      </c>
      <c r="AX29" s="3" t="s">
        <v>588</v>
      </c>
      <c r="AY29" s="3" t="s">
        <v>119</v>
      </c>
      <c r="AZ29" s="3" t="s">
        <v>120</v>
      </c>
      <c r="BA29" s="3" t="s">
        <v>116</v>
      </c>
      <c r="BB29" s="3" t="s">
        <v>589</v>
      </c>
      <c r="BC29" s="3">
        <v>2</v>
      </c>
      <c r="BD29" s="3" t="s">
        <v>614</v>
      </c>
      <c r="BE29" s="3" t="s">
        <v>123</v>
      </c>
      <c r="BF29" s="3" t="s">
        <v>615</v>
      </c>
      <c r="BG29" s="3" t="s">
        <v>116</v>
      </c>
      <c r="BH29" s="3" t="s">
        <v>616</v>
      </c>
      <c r="BI29" s="3">
        <v>3</v>
      </c>
      <c r="BP29" s="3">
        <v>5</v>
      </c>
      <c r="BQ29" s="3" t="s">
        <v>3206</v>
      </c>
      <c r="BR29" s="3" t="s">
        <v>355</v>
      </c>
      <c r="BS29" s="3" t="s">
        <v>592</v>
      </c>
      <c r="BT29" s="3">
        <v>2.9956861971285934E-3</v>
      </c>
      <c r="BU29" s="3">
        <v>5.7161812530322443E-3</v>
      </c>
      <c r="BV29" s="3">
        <v>1.6884575086017418E-2</v>
      </c>
      <c r="BW29" s="3" t="s">
        <v>594</v>
      </c>
      <c r="BX29" s="3">
        <v>4</v>
      </c>
      <c r="BY29" s="3">
        <v>2.0034600432122501E-2</v>
      </c>
      <c r="BZ29" s="3">
        <v>7.5775829562223403E-3</v>
      </c>
      <c r="CA29" s="3">
        <v>2.4229572953195699E-3</v>
      </c>
      <c r="CB29" s="3" t="s">
        <v>594</v>
      </c>
      <c r="CC29" s="3">
        <v>4</v>
      </c>
      <c r="CD29" s="3" t="s">
        <v>3191</v>
      </c>
      <c r="CE29" s="3">
        <v>7.5775829562223403E-3</v>
      </c>
      <c r="CF29" s="3">
        <v>2.4229572953195699E-3</v>
      </c>
      <c r="CG29" s="3">
        <v>2.8490800594349942E-3</v>
      </c>
      <c r="CH29" s="3">
        <v>-1.3149555257405026E-3</v>
      </c>
      <c r="CI29" s="3" t="s">
        <v>618</v>
      </c>
    </row>
    <row r="30" spans="1:91" ht="87" hidden="1">
      <c r="A30" s="3">
        <v>5</v>
      </c>
      <c r="B30" s="3" t="s">
        <v>541</v>
      </c>
      <c r="C30" s="3">
        <v>2012</v>
      </c>
      <c r="D30" s="3" t="s">
        <v>542</v>
      </c>
      <c r="E30" s="3">
        <v>44708</v>
      </c>
      <c r="F30" s="3" t="s">
        <v>90</v>
      </c>
      <c r="G30" s="3" t="s">
        <v>135</v>
      </c>
      <c r="I30" s="3" t="s">
        <v>543</v>
      </c>
      <c r="J30" s="3" t="s">
        <v>544</v>
      </c>
      <c r="K30" s="3" t="s">
        <v>94</v>
      </c>
      <c r="L30" s="3" t="s">
        <v>94</v>
      </c>
      <c r="M30" s="3" t="s">
        <v>95</v>
      </c>
      <c r="N30" s="3" t="s">
        <v>545</v>
      </c>
      <c r="O30" s="3" t="s">
        <v>97</v>
      </c>
      <c r="P30" s="3" t="s">
        <v>97</v>
      </c>
      <c r="S30" s="3" t="s">
        <v>90</v>
      </c>
      <c r="T30" s="3" t="s">
        <v>114</v>
      </c>
      <c r="U30" s="3" t="s">
        <v>191</v>
      </c>
      <c r="V30" s="3" t="s">
        <v>99</v>
      </c>
      <c r="W30" s="3">
        <v>1</v>
      </c>
      <c r="X30" s="3" t="s">
        <v>546</v>
      </c>
      <c r="Y30" s="3" t="s">
        <v>546</v>
      </c>
      <c r="Z30" s="3" t="s">
        <v>102</v>
      </c>
      <c r="AA30" s="3" t="s">
        <v>211</v>
      </c>
      <c r="AB30" s="3" t="s">
        <v>547</v>
      </c>
      <c r="AC30" s="3" t="s">
        <v>105</v>
      </c>
      <c r="AD30" s="3" t="s">
        <v>548</v>
      </c>
      <c r="AE30" s="3" t="s">
        <v>214</v>
      </c>
      <c r="AF30" s="3" t="s">
        <v>549</v>
      </c>
      <c r="AG30" s="3">
        <v>2</v>
      </c>
      <c r="AH30" s="3" t="s">
        <v>90</v>
      </c>
      <c r="AI30" s="3" t="s">
        <v>550</v>
      </c>
      <c r="AJ30" s="3" t="s">
        <v>110</v>
      </c>
      <c r="AK30" s="3">
        <v>2</v>
      </c>
      <c r="AL30" s="3" t="s">
        <v>99</v>
      </c>
      <c r="AM30" s="3" t="s">
        <v>94</v>
      </c>
      <c r="AN30" s="3" t="s">
        <v>94</v>
      </c>
      <c r="AO30" s="3" t="s">
        <v>111</v>
      </c>
      <c r="AP30" s="3" t="s">
        <v>111</v>
      </c>
      <c r="AQ30" s="3" t="s">
        <v>551</v>
      </c>
      <c r="AR30" s="3" t="s">
        <v>113</v>
      </c>
      <c r="AS30" s="3" t="s">
        <v>114</v>
      </c>
      <c r="AT30" s="3" t="s">
        <v>115</v>
      </c>
      <c r="AU30" s="3" t="s">
        <v>116</v>
      </c>
      <c r="AV30" s="3" t="s">
        <v>552</v>
      </c>
      <c r="AW30" s="3">
        <v>2</v>
      </c>
      <c r="AX30" s="3" t="s">
        <v>155</v>
      </c>
      <c r="AY30" s="3" t="s">
        <v>119</v>
      </c>
      <c r="AZ30" s="3" t="s">
        <v>120</v>
      </c>
      <c r="BA30" s="3" t="s">
        <v>116</v>
      </c>
      <c r="BB30" s="3" t="s">
        <v>553</v>
      </c>
      <c r="BC30" s="3">
        <v>2</v>
      </c>
      <c r="BP30" s="3">
        <v>6</v>
      </c>
      <c r="BQ30" s="3" t="s">
        <v>3207</v>
      </c>
      <c r="BR30" s="3" t="s">
        <v>355</v>
      </c>
      <c r="BS30" s="3" t="s">
        <v>200</v>
      </c>
      <c r="BT30" s="3">
        <v>2.1677057499999999E-2</v>
      </c>
      <c r="BU30" s="3">
        <v>2.3266833000000001E-2</v>
      </c>
      <c r="BV30" s="3">
        <v>2.4856608500000002E-2</v>
      </c>
      <c r="BW30" s="3" t="s">
        <v>161</v>
      </c>
      <c r="BX30" s="3">
        <v>72</v>
      </c>
      <c r="BY30" s="3">
        <v>1.9495012499999999E-2</v>
      </c>
      <c r="BZ30" s="3">
        <v>2.1084788E-2</v>
      </c>
      <c r="CA30" s="3">
        <v>2.27369075E-2</v>
      </c>
      <c r="CB30" s="3" t="s">
        <v>161</v>
      </c>
      <c r="CC30" s="3">
        <v>72</v>
      </c>
      <c r="CD30" s="3" t="s">
        <v>555</v>
      </c>
      <c r="CE30" s="3">
        <v>2.1084788E-2</v>
      </c>
      <c r="CF30" s="3">
        <v>2.27369075E-2</v>
      </c>
      <c r="CG30" s="3">
        <v>1.5897755000000013E-3</v>
      </c>
      <c r="CH30" s="3">
        <v>1.6521195000000002E-3</v>
      </c>
      <c r="CI30" s="3" t="s">
        <v>3199</v>
      </c>
      <c r="CJ30" s="3" t="s">
        <v>3200</v>
      </c>
    </row>
    <row r="31" spans="1:91" ht="87" hidden="1">
      <c r="A31" s="3">
        <v>5</v>
      </c>
      <c r="B31" s="3" t="s">
        <v>541</v>
      </c>
      <c r="C31" s="3">
        <v>2012</v>
      </c>
      <c r="D31" s="3" t="s">
        <v>542</v>
      </c>
      <c r="E31" s="3">
        <v>44708</v>
      </c>
      <c r="F31" s="3" t="s">
        <v>90</v>
      </c>
      <c r="G31" s="3" t="s">
        <v>135</v>
      </c>
      <c r="I31" s="3" t="s">
        <v>543</v>
      </c>
      <c r="J31" s="3" t="s">
        <v>544</v>
      </c>
      <c r="K31" s="3" t="s">
        <v>94</v>
      </c>
      <c r="L31" s="3" t="s">
        <v>94</v>
      </c>
      <c r="M31" s="3" t="s">
        <v>95</v>
      </c>
      <c r="N31" s="3" t="s">
        <v>545</v>
      </c>
      <c r="O31" s="3" t="s">
        <v>97</v>
      </c>
      <c r="P31" s="3" t="s">
        <v>97</v>
      </c>
      <c r="S31" s="3" t="s">
        <v>90</v>
      </c>
      <c r="T31" s="3" t="s">
        <v>114</v>
      </c>
      <c r="U31" s="3" t="s">
        <v>191</v>
      </c>
      <c r="V31" s="3" t="s">
        <v>99</v>
      </c>
      <c r="W31" s="3">
        <v>1</v>
      </c>
      <c r="X31" s="3" t="s">
        <v>546</v>
      </c>
      <c r="Y31" s="3" t="s">
        <v>546</v>
      </c>
      <c r="Z31" s="3" t="s">
        <v>102</v>
      </c>
      <c r="AA31" s="3" t="s">
        <v>211</v>
      </c>
      <c r="AB31" s="3" t="s">
        <v>547</v>
      </c>
      <c r="AC31" s="3" t="s">
        <v>105</v>
      </c>
      <c r="AD31" s="3" t="s">
        <v>548</v>
      </c>
      <c r="AE31" s="3" t="s">
        <v>214</v>
      </c>
      <c r="AF31" s="3" t="s">
        <v>549</v>
      </c>
      <c r="AG31" s="3">
        <v>2</v>
      </c>
      <c r="AH31" s="3" t="s">
        <v>90</v>
      </c>
      <c r="AI31" s="3" t="s">
        <v>550</v>
      </c>
      <c r="AJ31" s="3" t="s">
        <v>110</v>
      </c>
      <c r="AK31" s="3">
        <v>2</v>
      </c>
      <c r="AL31" s="3" t="s">
        <v>99</v>
      </c>
      <c r="AM31" s="3" t="s">
        <v>94</v>
      </c>
      <c r="AN31" s="3" t="s">
        <v>94</v>
      </c>
      <c r="AO31" s="3" t="s">
        <v>111</v>
      </c>
      <c r="AP31" s="3" t="s">
        <v>111</v>
      </c>
      <c r="AQ31" s="3" t="s">
        <v>551</v>
      </c>
      <c r="AR31" s="3" t="s">
        <v>113</v>
      </c>
      <c r="AS31" s="3" t="s">
        <v>114</v>
      </c>
      <c r="AT31" s="3" t="s">
        <v>115</v>
      </c>
      <c r="AU31" s="3" t="s">
        <v>116</v>
      </c>
      <c r="AV31" s="3" t="s">
        <v>552</v>
      </c>
      <c r="AW31" s="3">
        <v>2</v>
      </c>
      <c r="AX31" s="3" t="s">
        <v>155</v>
      </c>
      <c r="AY31" s="3" t="s">
        <v>119</v>
      </c>
      <c r="AZ31" s="3" t="s">
        <v>120</v>
      </c>
      <c r="BA31" s="3" t="s">
        <v>116</v>
      </c>
      <c r="BB31" s="3" t="s">
        <v>553</v>
      </c>
      <c r="BC31" s="3">
        <v>2</v>
      </c>
      <c r="BP31" s="3">
        <v>0</v>
      </c>
      <c r="BQ31" s="3" t="s">
        <v>3208</v>
      </c>
      <c r="BR31" s="3" t="s">
        <v>355</v>
      </c>
      <c r="BS31" s="3" t="s">
        <v>200</v>
      </c>
      <c r="BT31" s="3">
        <v>1.4507480999999999E-2</v>
      </c>
      <c r="BU31" s="3">
        <v>1.5598503499999999E-2</v>
      </c>
      <c r="BV31" s="3">
        <v>1.66583545E-2</v>
      </c>
      <c r="BW31" s="3" t="s">
        <v>161</v>
      </c>
      <c r="BX31" s="3">
        <v>72</v>
      </c>
      <c r="BY31" s="3">
        <v>1.18578555E-2</v>
      </c>
      <c r="BZ31" s="3">
        <v>1.3073566E-2</v>
      </c>
      <c r="CA31" s="3">
        <v>1.4226933000000001E-2</v>
      </c>
      <c r="CB31" s="3" t="s">
        <v>161</v>
      </c>
      <c r="CC31" s="3">
        <v>72</v>
      </c>
      <c r="CD31" s="3" t="s">
        <v>555</v>
      </c>
      <c r="CE31" s="3">
        <v>1.3073566E-2</v>
      </c>
      <c r="CF31" s="3">
        <v>1.4226933000000001E-2</v>
      </c>
      <c r="CG31" s="3">
        <v>1.0598509999999997E-3</v>
      </c>
      <c r="CH31" s="3">
        <v>1.1533669999999998E-3</v>
      </c>
      <c r="CI31" s="3" t="s">
        <v>3199</v>
      </c>
      <c r="CJ31" s="3" t="s">
        <v>3200</v>
      </c>
    </row>
    <row r="32" spans="1:91" ht="101.5" hidden="1">
      <c r="A32" s="3">
        <v>17</v>
      </c>
      <c r="B32" s="3" t="s">
        <v>2869</v>
      </c>
      <c r="C32" s="3">
        <v>2017</v>
      </c>
      <c r="D32" s="3" t="s">
        <v>525</v>
      </c>
      <c r="F32" s="3" t="s">
        <v>90</v>
      </c>
      <c r="G32" s="3" t="s">
        <v>526</v>
      </c>
      <c r="I32" s="3" t="s">
        <v>527</v>
      </c>
      <c r="J32" s="3" t="s">
        <v>528</v>
      </c>
      <c r="K32" s="3" t="s">
        <v>97</v>
      </c>
      <c r="L32" s="3" t="s">
        <v>97</v>
      </c>
      <c r="M32" s="3" t="s">
        <v>95</v>
      </c>
      <c r="N32" s="3" t="s">
        <v>529</v>
      </c>
      <c r="O32" s="3" t="s">
        <v>97</v>
      </c>
      <c r="P32" s="3" t="s">
        <v>97</v>
      </c>
      <c r="S32" s="3" t="s">
        <v>90</v>
      </c>
      <c r="T32" s="3" t="s">
        <v>114</v>
      </c>
      <c r="U32" s="3" t="s">
        <v>191</v>
      </c>
      <c r="V32" s="3" t="s">
        <v>99</v>
      </c>
      <c r="X32" s="3" t="s">
        <v>3088</v>
      </c>
      <c r="Y32" s="3" t="s">
        <v>3087</v>
      </c>
      <c r="Z32" s="3" t="s">
        <v>102</v>
      </c>
      <c r="AA32" s="3" t="s">
        <v>3105</v>
      </c>
      <c r="AB32" s="3" t="s">
        <v>319</v>
      </c>
      <c r="AC32" s="3" t="s">
        <v>105</v>
      </c>
      <c r="AD32" s="3" t="s">
        <v>530</v>
      </c>
      <c r="AE32" s="3" t="s">
        <v>531</v>
      </c>
      <c r="AF32" s="3" t="s">
        <v>532</v>
      </c>
      <c r="AG32" s="3">
        <v>2</v>
      </c>
      <c r="AH32" s="3" t="s">
        <v>90</v>
      </c>
      <c r="AI32" s="3" t="s">
        <v>533</v>
      </c>
      <c r="AJ32" s="3" t="s">
        <v>508</v>
      </c>
      <c r="AK32" s="3">
        <v>2</v>
      </c>
      <c r="AL32" s="3" t="s">
        <v>99</v>
      </c>
      <c r="AM32" s="3" t="s">
        <v>97</v>
      </c>
      <c r="AN32" s="3" t="s">
        <v>97</v>
      </c>
      <c r="AO32" s="3" t="s">
        <v>160</v>
      </c>
      <c r="AP32" s="3">
        <v>0</v>
      </c>
      <c r="AQ32" s="3" t="s">
        <v>155</v>
      </c>
      <c r="AR32" s="3" t="s">
        <v>119</v>
      </c>
      <c r="AS32" s="3" t="s">
        <v>114</v>
      </c>
      <c r="AT32" s="3" t="s">
        <v>120</v>
      </c>
      <c r="AU32" s="3" t="s">
        <v>116</v>
      </c>
      <c r="AV32" s="3" t="s">
        <v>534</v>
      </c>
      <c r="AW32" s="3">
        <v>2</v>
      </c>
      <c r="AX32" s="3" t="s">
        <v>535</v>
      </c>
      <c r="AY32" s="3" t="s">
        <v>536</v>
      </c>
      <c r="AZ32" s="3" t="s">
        <v>537</v>
      </c>
      <c r="BA32" s="3" t="s">
        <v>116</v>
      </c>
      <c r="BB32" s="3" t="s">
        <v>538</v>
      </c>
      <c r="BC32" s="3">
        <v>2</v>
      </c>
      <c r="BP32" s="3">
        <v>0</v>
      </c>
      <c r="BQ32" s="3" t="s">
        <v>3209</v>
      </c>
      <c r="BR32" s="3" t="s">
        <v>355</v>
      </c>
      <c r="BS32" s="3" t="s">
        <v>540</v>
      </c>
      <c r="BT32" s="3">
        <v>0.23825441999999999</v>
      </c>
      <c r="BU32" s="3">
        <v>0.3341538</v>
      </c>
      <c r="BV32" s="3">
        <v>0.43005310000000002</v>
      </c>
      <c r="BW32" s="3" t="s">
        <v>161</v>
      </c>
      <c r="BX32" s="3">
        <v>9</v>
      </c>
      <c r="BY32" s="3">
        <v>0.20433187</v>
      </c>
      <c r="BZ32" s="3">
        <v>0.32150400000000001</v>
      </c>
      <c r="CA32" s="3">
        <v>0.43867615000000004</v>
      </c>
      <c r="CB32" s="3" t="s">
        <v>161</v>
      </c>
      <c r="CC32" s="3">
        <v>9</v>
      </c>
      <c r="CE32" s="3">
        <v>0.32150400000000001</v>
      </c>
      <c r="CF32" s="3">
        <v>0.43867615000000004</v>
      </c>
      <c r="CG32" s="3">
        <v>9.5899300000000021E-2</v>
      </c>
      <c r="CH32" s="3">
        <v>0.11717215000000002</v>
      </c>
    </row>
    <row r="33" spans="1:87" ht="101.5" hidden="1">
      <c r="A33" s="3">
        <v>17</v>
      </c>
      <c r="B33" s="3" t="s">
        <v>2869</v>
      </c>
      <c r="C33" s="3">
        <v>2017</v>
      </c>
      <c r="D33" s="3" t="s">
        <v>525</v>
      </c>
      <c r="F33" s="3" t="s">
        <v>90</v>
      </c>
      <c r="G33" s="3" t="s">
        <v>526</v>
      </c>
      <c r="I33" s="3" t="s">
        <v>527</v>
      </c>
      <c r="J33" s="3" t="s">
        <v>528</v>
      </c>
      <c r="K33" s="3" t="s">
        <v>97</v>
      </c>
      <c r="L33" s="3" t="s">
        <v>97</v>
      </c>
      <c r="M33" s="3" t="s">
        <v>95</v>
      </c>
      <c r="N33" s="3" t="s">
        <v>529</v>
      </c>
      <c r="O33" s="3" t="s">
        <v>97</v>
      </c>
      <c r="P33" s="3" t="s">
        <v>97</v>
      </c>
      <c r="S33" s="3" t="s">
        <v>90</v>
      </c>
      <c r="T33" s="3" t="s">
        <v>114</v>
      </c>
      <c r="U33" s="3" t="s">
        <v>191</v>
      </c>
      <c r="V33" s="3" t="s">
        <v>99</v>
      </c>
      <c r="X33" s="3" t="s">
        <v>3088</v>
      </c>
      <c r="Y33" s="3" t="s">
        <v>3087</v>
      </c>
      <c r="Z33" s="3" t="s">
        <v>102</v>
      </c>
      <c r="AA33" s="3" t="s">
        <v>3106</v>
      </c>
      <c r="AB33" s="3" t="s">
        <v>319</v>
      </c>
      <c r="AC33" s="3" t="s">
        <v>105</v>
      </c>
      <c r="AD33" s="3" t="s">
        <v>530</v>
      </c>
      <c r="AE33" s="3" t="s">
        <v>531</v>
      </c>
      <c r="AF33" s="3" t="s">
        <v>532</v>
      </c>
      <c r="AG33" s="3">
        <v>2</v>
      </c>
      <c r="AH33" s="3" t="s">
        <v>90</v>
      </c>
      <c r="AI33" s="3" t="s">
        <v>533</v>
      </c>
      <c r="AJ33" s="3" t="s">
        <v>508</v>
      </c>
      <c r="AK33" s="3">
        <v>2</v>
      </c>
      <c r="AL33" s="3" t="s">
        <v>99</v>
      </c>
      <c r="AM33" s="3" t="s">
        <v>97</v>
      </c>
      <c r="AN33" s="3" t="s">
        <v>97</v>
      </c>
      <c r="AO33" s="3" t="s">
        <v>160</v>
      </c>
      <c r="AP33" s="3">
        <v>0</v>
      </c>
      <c r="AQ33" s="3" t="s">
        <v>155</v>
      </c>
      <c r="AR33" s="3" t="s">
        <v>119</v>
      </c>
      <c r="AS33" s="3" t="s">
        <v>114</v>
      </c>
      <c r="AT33" s="3" t="s">
        <v>120</v>
      </c>
      <c r="AU33" s="3" t="s">
        <v>116</v>
      </c>
      <c r="AV33" s="3" t="s">
        <v>534</v>
      </c>
      <c r="AW33" s="3">
        <v>2</v>
      </c>
      <c r="AX33" s="3" t="s">
        <v>535</v>
      </c>
      <c r="AY33" s="3" t="s">
        <v>536</v>
      </c>
      <c r="AZ33" s="3" t="s">
        <v>537</v>
      </c>
      <c r="BA33" s="3" t="s">
        <v>116</v>
      </c>
      <c r="BB33" s="3" t="s">
        <v>538</v>
      </c>
      <c r="BC33" s="3">
        <v>2</v>
      </c>
      <c r="BP33" s="3">
        <v>5</v>
      </c>
      <c r="BQ33" s="3" t="s">
        <v>3210</v>
      </c>
      <c r="BR33" s="3" t="s">
        <v>355</v>
      </c>
      <c r="BS33" s="3" t="s">
        <v>540</v>
      </c>
      <c r="BT33" s="3">
        <v>0.424596425</v>
      </c>
      <c r="BU33" s="3">
        <v>0.58356249999999998</v>
      </c>
      <c r="BV33" s="3">
        <v>0.74252859999999998</v>
      </c>
      <c r="BW33" s="3" t="s">
        <v>161</v>
      </c>
      <c r="BX33" s="3">
        <v>9</v>
      </c>
      <c r="BY33" s="3">
        <v>0.40985990500000002</v>
      </c>
      <c r="BZ33" s="3">
        <v>0.51934829999999998</v>
      </c>
      <c r="CA33" s="3">
        <v>0.62883675000000006</v>
      </c>
      <c r="CB33" s="3" t="s">
        <v>161</v>
      </c>
      <c r="CC33" s="3">
        <v>9</v>
      </c>
      <c r="CE33" s="3">
        <v>0.51934829999999998</v>
      </c>
      <c r="CF33" s="3">
        <v>0.62883675000000006</v>
      </c>
      <c r="CG33" s="3">
        <v>0.1589661</v>
      </c>
      <c r="CH33" s="3">
        <v>0.10948844999999999</v>
      </c>
    </row>
    <row r="34" spans="1:87" ht="43.5" hidden="1">
      <c r="A34" s="3">
        <v>16</v>
      </c>
      <c r="B34" s="3" t="s">
        <v>3111</v>
      </c>
      <c r="C34" s="3">
        <v>2017</v>
      </c>
      <c r="D34" s="3" t="s">
        <v>456</v>
      </c>
      <c r="E34" s="3">
        <v>44713</v>
      </c>
      <c r="F34" s="3" t="s">
        <v>90</v>
      </c>
      <c r="G34" s="3" t="s">
        <v>360</v>
      </c>
      <c r="I34" s="3" t="s">
        <v>457</v>
      </c>
      <c r="J34" s="3" t="s">
        <v>458</v>
      </c>
      <c r="K34" s="3" t="s">
        <v>97</v>
      </c>
      <c r="L34" s="3" t="s">
        <v>90</v>
      </c>
      <c r="M34" s="3" t="s">
        <v>95</v>
      </c>
      <c r="N34" s="3" t="s">
        <v>459</v>
      </c>
      <c r="O34" s="3" t="s">
        <v>97</v>
      </c>
      <c r="P34" s="3" t="s">
        <v>97</v>
      </c>
      <c r="S34" s="3" t="s">
        <v>90</v>
      </c>
      <c r="T34" s="3" t="s">
        <v>114</v>
      </c>
      <c r="U34" s="3" t="s">
        <v>98</v>
      </c>
      <c r="V34" s="3" t="s">
        <v>3095</v>
      </c>
      <c r="W34" s="3" t="s">
        <v>3094</v>
      </c>
      <c r="X34" s="3" t="s">
        <v>3096</v>
      </c>
      <c r="Y34" s="3" t="s">
        <v>3097</v>
      </c>
      <c r="Z34" s="3" t="s">
        <v>568</v>
      </c>
      <c r="AA34" s="3" t="s">
        <v>3098</v>
      </c>
      <c r="AB34" s="3" t="s">
        <v>300</v>
      </c>
      <c r="AC34" s="3" t="s">
        <v>105</v>
      </c>
      <c r="AD34" s="3" t="s">
        <v>460</v>
      </c>
      <c r="AE34" s="3" t="s">
        <v>461</v>
      </c>
      <c r="AF34" s="3" t="s">
        <v>462</v>
      </c>
      <c r="AG34" s="3">
        <v>2</v>
      </c>
      <c r="AH34" s="3" t="s">
        <v>90</v>
      </c>
      <c r="AI34" s="3" t="s">
        <v>463</v>
      </c>
      <c r="AJ34" s="3" t="s">
        <v>150</v>
      </c>
      <c r="AK34" s="3">
        <v>2</v>
      </c>
      <c r="AL34" s="3" t="s">
        <v>151</v>
      </c>
      <c r="AM34" s="3" t="s">
        <v>97</v>
      </c>
      <c r="AN34" s="3" t="s">
        <v>97</v>
      </c>
      <c r="AO34" s="3" t="s">
        <v>152</v>
      </c>
      <c r="AP34" s="3">
        <v>2</v>
      </c>
      <c r="AQ34" s="3" t="s">
        <v>155</v>
      </c>
      <c r="AR34" s="3" t="s">
        <v>119</v>
      </c>
      <c r="AS34" s="3" t="s">
        <v>114</v>
      </c>
      <c r="AT34" s="3" t="s">
        <v>120</v>
      </c>
      <c r="AU34" s="3" t="s">
        <v>116</v>
      </c>
      <c r="AV34" s="3" t="s">
        <v>464</v>
      </c>
      <c r="AW34" s="3">
        <v>2</v>
      </c>
      <c r="AX34" s="3" t="s">
        <v>465</v>
      </c>
      <c r="AY34" s="3" t="s">
        <v>119</v>
      </c>
      <c r="AZ34" s="3" t="s">
        <v>120</v>
      </c>
      <c r="BA34" s="3" t="s">
        <v>116</v>
      </c>
      <c r="BB34" s="3" t="s">
        <v>464</v>
      </c>
      <c r="BC34" s="3">
        <v>2</v>
      </c>
      <c r="BP34" s="3">
        <v>0</v>
      </c>
      <c r="BQ34" s="3" t="s">
        <v>3212</v>
      </c>
      <c r="BR34" s="3" t="s">
        <v>355</v>
      </c>
      <c r="BS34" s="3" t="s">
        <v>355</v>
      </c>
      <c r="BT34" s="3">
        <v>0.15251000000000001</v>
      </c>
      <c r="BU34" s="3">
        <v>0.1782695</v>
      </c>
      <c r="BV34" s="3">
        <v>0.205791</v>
      </c>
      <c r="BW34" s="3" t="s">
        <v>129</v>
      </c>
      <c r="BX34" s="3">
        <v>8</v>
      </c>
      <c r="BY34" s="3">
        <v>0.16336500000000001</v>
      </c>
      <c r="BZ34" s="3">
        <v>0.20676</v>
      </c>
      <c r="CA34" s="3">
        <v>0.25090000000000001</v>
      </c>
      <c r="CB34" s="3" t="s">
        <v>129</v>
      </c>
      <c r="CC34" s="3">
        <v>8</v>
      </c>
      <c r="CD34" s="3" t="s">
        <v>472</v>
      </c>
      <c r="CE34" s="3">
        <v>0.20676</v>
      </c>
      <c r="CF34" s="3">
        <v>0.25090000000000001</v>
      </c>
      <c r="CG34" s="3">
        <v>2.7521500000000011E-2</v>
      </c>
      <c r="CH34" s="3">
        <v>4.4140000000000019E-2</v>
      </c>
      <c r="CI34" s="3" t="s">
        <v>3214</v>
      </c>
    </row>
    <row r="35" spans="1:87" ht="43.5" hidden="1">
      <c r="A35" s="3">
        <v>16</v>
      </c>
      <c r="B35" s="3" t="s">
        <v>3111</v>
      </c>
      <c r="C35" s="3">
        <v>2017</v>
      </c>
      <c r="D35" s="3" t="s">
        <v>456</v>
      </c>
      <c r="E35" s="3">
        <v>44713</v>
      </c>
      <c r="F35" s="3" t="s">
        <v>90</v>
      </c>
      <c r="G35" s="3" t="s">
        <v>360</v>
      </c>
      <c r="I35" s="3" t="s">
        <v>457</v>
      </c>
      <c r="J35" s="3" t="s">
        <v>458</v>
      </c>
      <c r="K35" s="3" t="s">
        <v>97</v>
      </c>
      <c r="L35" s="3" t="s">
        <v>90</v>
      </c>
      <c r="M35" s="3" t="s">
        <v>95</v>
      </c>
      <c r="N35" s="3" t="s">
        <v>459</v>
      </c>
      <c r="O35" s="3" t="s">
        <v>97</v>
      </c>
      <c r="P35" s="3" t="s">
        <v>97</v>
      </c>
      <c r="S35" s="3" t="s">
        <v>90</v>
      </c>
      <c r="T35" s="3" t="s">
        <v>114</v>
      </c>
      <c r="U35" s="3" t="s">
        <v>98</v>
      </c>
      <c r="V35" s="3" t="s">
        <v>3095</v>
      </c>
      <c r="W35" s="3" t="s">
        <v>3094</v>
      </c>
      <c r="X35" s="3" t="s">
        <v>3096</v>
      </c>
      <c r="Y35" s="3" t="s">
        <v>3097</v>
      </c>
      <c r="Z35" s="3" t="s">
        <v>568</v>
      </c>
      <c r="AA35" s="3" t="s">
        <v>3098</v>
      </c>
      <c r="AB35" s="3" t="s">
        <v>300</v>
      </c>
      <c r="AC35" s="3" t="s">
        <v>105</v>
      </c>
      <c r="AD35" s="3" t="s">
        <v>460</v>
      </c>
      <c r="AE35" s="3" t="s">
        <v>461</v>
      </c>
      <c r="AF35" s="3" t="s">
        <v>462</v>
      </c>
      <c r="AG35" s="3">
        <v>2</v>
      </c>
      <c r="AH35" s="3" t="s">
        <v>90</v>
      </c>
      <c r="AI35" s="3" t="s">
        <v>463</v>
      </c>
      <c r="AJ35" s="3" t="s">
        <v>150</v>
      </c>
      <c r="AK35" s="3">
        <v>2</v>
      </c>
      <c r="AL35" s="3" t="s">
        <v>151</v>
      </c>
      <c r="AM35" s="3" t="s">
        <v>97</v>
      </c>
      <c r="AN35" s="3" t="s">
        <v>97</v>
      </c>
      <c r="AO35" s="3" t="s">
        <v>152</v>
      </c>
      <c r="AP35" s="3">
        <v>2</v>
      </c>
      <c r="AQ35" s="3" t="s">
        <v>155</v>
      </c>
      <c r="AR35" s="3" t="s">
        <v>119</v>
      </c>
      <c r="AS35" s="3" t="s">
        <v>114</v>
      </c>
      <c r="AT35" s="3" t="s">
        <v>120</v>
      </c>
      <c r="AU35" s="3" t="s">
        <v>116</v>
      </c>
      <c r="AV35" s="3" t="s">
        <v>464</v>
      </c>
      <c r="AW35" s="3">
        <v>2</v>
      </c>
      <c r="AX35" s="3" t="s">
        <v>465</v>
      </c>
      <c r="AY35" s="3" t="s">
        <v>119</v>
      </c>
      <c r="AZ35" s="3" t="s">
        <v>120</v>
      </c>
      <c r="BA35" s="3" t="s">
        <v>116</v>
      </c>
      <c r="BB35" s="3" t="s">
        <v>464</v>
      </c>
      <c r="BC35" s="3">
        <v>2</v>
      </c>
      <c r="BP35" s="3">
        <v>2</v>
      </c>
      <c r="BQ35" s="3" t="s">
        <v>3213</v>
      </c>
      <c r="BR35" s="3" t="s">
        <v>355</v>
      </c>
      <c r="BS35" s="3" t="s">
        <v>355</v>
      </c>
      <c r="BT35" s="3">
        <v>5.0180000000000002E-2</v>
      </c>
      <c r="BU35" s="3">
        <v>7.2615899999999997E-2</v>
      </c>
      <c r="BV35" s="3">
        <v>9.5591999999999996E-2</v>
      </c>
      <c r="BW35" s="3" t="s">
        <v>129</v>
      </c>
      <c r="BX35" s="3">
        <v>8</v>
      </c>
      <c r="BY35" s="3">
        <v>0.12578549999999999</v>
      </c>
      <c r="BZ35" s="3">
        <v>0.154756</v>
      </c>
      <c r="CA35" s="3">
        <v>0.18310099999999999</v>
      </c>
      <c r="CB35" s="3" t="s">
        <v>129</v>
      </c>
      <c r="CC35" s="3">
        <v>8</v>
      </c>
      <c r="CD35" s="3" t="s">
        <v>472</v>
      </c>
      <c r="CE35" s="3">
        <v>0.154756</v>
      </c>
      <c r="CF35" s="3">
        <v>0.18310099999999999</v>
      </c>
      <c r="CG35" s="3">
        <v>2.2976099999999999E-2</v>
      </c>
      <c r="CH35" s="3">
        <v>2.8344999999999988E-2</v>
      </c>
      <c r="CI35" s="3" t="s">
        <v>3214</v>
      </c>
    </row>
  </sheetData>
  <autoFilter ref="A2:CM35" xr:uid="{E3B646CC-71BB-4DBA-8659-6B742C1C832C}">
    <filterColumn colId="3">
      <filters>
        <filter val="Manriquez, Patricio H.; Jara, Maria Elisa; Gonzalez, Claudio P.; Jeno, Katherine; Domenici, Paolo; Watson, Sue-Ann; Duarte, Cristian; Brokordt, Katherina"/>
        <filter val="Manriquez, Patricio H.; Jara, Maria Elisa; Gonzalez, Claudio P.; Seguel, Mylene E.; Domenici, Paolo; Watson, Sue-Ann; Anguita, Cristobal; Duarte, Cristian; Brokordt, Katherina"/>
      </filters>
    </filterColumn>
  </autoFilter>
  <mergeCells count="1">
    <mergeCell ref="AC1:AI1"/>
  </mergeCells>
  <conditionalFormatting sqref="CM3:CM27">
    <cfRule type="containsText" dxfId="1" priority="2" operator="containsText" text="yes">
      <formula>NOT(ISERROR(SEARCH("yes",CM3)))</formula>
    </cfRule>
    <cfRule type="containsText" dxfId="0" priority="3" operator="containsText" text="no">
      <formula>NOT(ISERROR(SEARCH("no",CM3)))</formula>
    </cfRule>
  </conditionalFormatting>
  <dataValidations count="3">
    <dataValidation type="list" allowBlank="1" showInputMessage="1" showErrorMessage="1" sqref="O22:P27 K22:L27" xr:uid="{BA25EEAA-C417-4FB9-81FE-209EEFC1C335}">
      <formula1>"Y, N"</formula1>
    </dataValidation>
    <dataValidation type="list" allowBlank="1" showInputMessage="1" showErrorMessage="1" sqref="M22:M27" xr:uid="{C33DF7DE-3E94-4203-91B1-F1ABF6879A03}">
      <formula1>"NCE, TMIE, TMIE-nd"</formula1>
    </dataValidation>
    <dataValidation type="whole" allowBlank="1" showInputMessage="1" showErrorMessage="1" sqref="C22:C27" xr:uid="{E1EA400C-8A4D-496F-AB2D-5CB0DC5504B5}">
      <formula1>1990</formula1>
      <formula2>2019</formula2>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D7978D-FA63-49D7-AA72-37E22C77371E}">
  <dimension ref="A1:H24"/>
  <sheetViews>
    <sheetView workbookViewId="0">
      <selection activeCell="C16" sqref="C16"/>
    </sheetView>
  </sheetViews>
  <sheetFormatPr defaultRowHeight="14.5"/>
  <cols>
    <col min="1" max="1" width="8.81640625" bestFit="1" customWidth="1"/>
    <col min="2" max="2" width="44.1796875" customWidth="1"/>
    <col min="3" max="3" width="71.81640625" bestFit="1" customWidth="1"/>
    <col min="4" max="4" width="40.81640625" bestFit="1" customWidth="1"/>
  </cols>
  <sheetData>
    <row r="1" spans="1:8" s="49" customFormat="1">
      <c r="A1" s="49" t="s">
        <v>3167</v>
      </c>
      <c r="B1" s="49" t="s">
        <v>2875</v>
      </c>
      <c r="C1" s="49" t="s">
        <v>3112</v>
      </c>
      <c r="D1" s="49" t="s">
        <v>3113</v>
      </c>
      <c r="E1" s="49" t="s">
        <v>3168</v>
      </c>
      <c r="F1" s="49" t="s">
        <v>3169</v>
      </c>
      <c r="G1" s="49" t="s">
        <v>3170</v>
      </c>
      <c r="H1" s="49" t="s">
        <v>3171</v>
      </c>
    </row>
    <row r="2" spans="1:8">
      <c r="A2">
        <v>2009</v>
      </c>
      <c r="B2" t="s">
        <v>3155</v>
      </c>
      <c r="C2" t="s">
        <v>3130</v>
      </c>
      <c r="D2" t="s">
        <v>3131</v>
      </c>
      <c r="E2" t="s">
        <v>138</v>
      </c>
      <c r="F2" t="s">
        <v>20</v>
      </c>
      <c r="G2" t="s">
        <v>184</v>
      </c>
      <c r="H2" t="s">
        <v>141</v>
      </c>
    </row>
    <row r="3" spans="1:8">
      <c r="A3">
        <v>2011</v>
      </c>
      <c r="B3" t="s">
        <v>3147</v>
      </c>
      <c r="C3" t="s">
        <v>3114</v>
      </c>
      <c r="D3" t="s">
        <v>3082</v>
      </c>
      <c r="E3" t="s">
        <v>95</v>
      </c>
      <c r="F3" t="s">
        <v>105</v>
      </c>
      <c r="G3" t="s">
        <v>184</v>
      </c>
      <c r="H3" t="s">
        <v>141</v>
      </c>
    </row>
    <row r="4" spans="1:8">
      <c r="A4">
        <v>2012</v>
      </c>
      <c r="B4" t="s">
        <v>3161</v>
      </c>
      <c r="C4" t="s">
        <v>3141</v>
      </c>
      <c r="D4" t="s">
        <v>3141</v>
      </c>
      <c r="E4" t="s">
        <v>95</v>
      </c>
      <c r="F4" t="s">
        <v>105</v>
      </c>
      <c r="G4" t="s">
        <v>355</v>
      </c>
      <c r="H4" t="s">
        <v>191</v>
      </c>
    </row>
    <row r="5" spans="1:8">
      <c r="A5">
        <v>2014</v>
      </c>
      <c r="B5" t="s">
        <v>3148</v>
      </c>
      <c r="C5" t="s">
        <v>3115</v>
      </c>
      <c r="D5" t="s">
        <v>3116</v>
      </c>
      <c r="E5" t="s">
        <v>95</v>
      </c>
      <c r="F5" t="s">
        <v>105</v>
      </c>
      <c r="G5" t="s">
        <v>355</v>
      </c>
      <c r="H5" t="s">
        <v>191</v>
      </c>
    </row>
    <row r="6" spans="1:8">
      <c r="A6">
        <v>2014</v>
      </c>
      <c r="B6" t="s">
        <v>3157</v>
      </c>
      <c r="C6" t="s">
        <v>3134</v>
      </c>
      <c r="D6" t="s">
        <v>3135</v>
      </c>
      <c r="E6" t="s">
        <v>95</v>
      </c>
      <c r="F6" t="s">
        <v>105</v>
      </c>
      <c r="G6" t="s">
        <v>355</v>
      </c>
      <c r="H6" t="s">
        <v>98</v>
      </c>
    </row>
    <row r="7" spans="1:8">
      <c r="A7">
        <v>2015</v>
      </c>
      <c r="B7" t="s">
        <v>3156</v>
      </c>
      <c r="C7" t="s">
        <v>3132</v>
      </c>
      <c r="D7" t="s">
        <v>3133</v>
      </c>
      <c r="E7" t="s">
        <v>95</v>
      </c>
      <c r="F7" t="s">
        <v>105</v>
      </c>
      <c r="G7" t="s">
        <v>355</v>
      </c>
      <c r="H7" t="s">
        <v>191</v>
      </c>
    </row>
    <row r="8" spans="1:8">
      <c r="A8">
        <v>2015</v>
      </c>
      <c r="B8" t="s">
        <v>3158</v>
      </c>
      <c r="C8" t="s">
        <v>3136</v>
      </c>
      <c r="D8" t="s">
        <v>3137</v>
      </c>
      <c r="E8" t="s">
        <v>95</v>
      </c>
      <c r="F8" t="s">
        <v>20</v>
      </c>
      <c r="G8" t="s">
        <v>355</v>
      </c>
      <c r="H8" t="s">
        <v>98</v>
      </c>
    </row>
    <row r="9" spans="1:8">
      <c r="A9">
        <v>2016</v>
      </c>
      <c r="B9" t="s">
        <v>3149</v>
      </c>
      <c r="C9" t="s">
        <v>3117</v>
      </c>
      <c r="D9" t="s">
        <v>3118</v>
      </c>
      <c r="E9" t="s">
        <v>95</v>
      </c>
      <c r="F9" t="s">
        <v>105</v>
      </c>
      <c r="G9" t="s">
        <v>240</v>
      </c>
      <c r="H9" t="s">
        <v>141</v>
      </c>
    </row>
    <row r="10" spans="1:8">
      <c r="A10">
        <v>2016</v>
      </c>
      <c r="B10" t="s">
        <v>3149</v>
      </c>
      <c r="C10" t="s">
        <v>3117</v>
      </c>
      <c r="D10" t="s">
        <v>3118</v>
      </c>
      <c r="E10" t="s">
        <v>95</v>
      </c>
      <c r="F10" t="s">
        <v>105</v>
      </c>
      <c r="G10" t="s">
        <v>355</v>
      </c>
      <c r="H10" t="s">
        <v>141</v>
      </c>
    </row>
    <row r="11" spans="1:8">
      <c r="A11">
        <v>2016</v>
      </c>
      <c r="B11" t="s">
        <v>3159</v>
      </c>
      <c r="C11" t="s">
        <v>3138</v>
      </c>
      <c r="D11" t="s">
        <v>211</v>
      </c>
      <c r="E11" t="s">
        <v>95</v>
      </c>
      <c r="F11" t="s">
        <v>105</v>
      </c>
      <c r="G11" t="s">
        <v>511</v>
      </c>
      <c r="H11" t="s">
        <v>191</v>
      </c>
    </row>
    <row r="12" spans="1:8">
      <c r="A12">
        <v>2017</v>
      </c>
      <c r="B12" t="s">
        <v>3150</v>
      </c>
      <c r="C12" t="s">
        <v>3119</v>
      </c>
      <c r="D12" t="s">
        <v>3120</v>
      </c>
      <c r="E12" t="s">
        <v>95</v>
      </c>
      <c r="F12" t="s">
        <v>105</v>
      </c>
      <c r="G12" t="s">
        <v>240</v>
      </c>
      <c r="H12" t="s">
        <v>191</v>
      </c>
    </row>
    <row r="13" spans="1:8">
      <c r="A13">
        <v>2017</v>
      </c>
      <c r="B13" t="s">
        <v>3151</v>
      </c>
      <c r="C13" t="s">
        <v>3121</v>
      </c>
      <c r="D13" t="s">
        <v>3122</v>
      </c>
      <c r="E13" t="s">
        <v>138</v>
      </c>
      <c r="F13" t="s">
        <v>105</v>
      </c>
      <c r="G13" t="s">
        <v>184</v>
      </c>
      <c r="H13" t="s">
        <v>141</v>
      </c>
    </row>
    <row r="14" spans="1:8">
      <c r="A14">
        <v>2017</v>
      </c>
      <c r="B14" t="s">
        <v>3152</v>
      </c>
      <c r="C14" t="s">
        <v>3123</v>
      </c>
      <c r="D14" t="s">
        <v>3124</v>
      </c>
      <c r="E14" t="s">
        <v>95</v>
      </c>
      <c r="F14" t="s">
        <v>105</v>
      </c>
      <c r="G14" t="s">
        <v>355</v>
      </c>
      <c r="H14" t="s">
        <v>98</v>
      </c>
    </row>
    <row r="15" spans="1:8">
      <c r="A15">
        <v>2017</v>
      </c>
      <c r="B15" t="s">
        <v>3152</v>
      </c>
      <c r="C15" t="s">
        <v>3123</v>
      </c>
      <c r="D15" t="s">
        <v>3125</v>
      </c>
      <c r="E15" t="s">
        <v>95</v>
      </c>
      <c r="F15" t="s">
        <v>105</v>
      </c>
      <c r="G15" t="s">
        <v>355</v>
      </c>
      <c r="H15" t="s">
        <v>98</v>
      </c>
    </row>
    <row r="16" spans="1:8">
      <c r="A16">
        <v>2017</v>
      </c>
      <c r="B16" t="s">
        <v>3153</v>
      </c>
      <c r="C16" t="s">
        <v>3126</v>
      </c>
      <c r="D16" t="s">
        <v>3127</v>
      </c>
      <c r="E16" t="s">
        <v>95</v>
      </c>
      <c r="F16" t="s">
        <v>105</v>
      </c>
      <c r="G16" t="s">
        <v>355</v>
      </c>
      <c r="H16" t="s">
        <v>141</v>
      </c>
    </row>
    <row r="17" spans="1:8">
      <c r="A17">
        <v>2017</v>
      </c>
      <c r="B17" t="s">
        <v>3154</v>
      </c>
      <c r="C17" t="s">
        <v>3128</v>
      </c>
      <c r="D17" t="s">
        <v>3129</v>
      </c>
      <c r="E17" t="s">
        <v>138</v>
      </c>
      <c r="F17" t="s">
        <v>20</v>
      </c>
      <c r="G17" t="s">
        <v>184</v>
      </c>
      <c r="H17" t="s">
        <v>191</v>
      </c>
    </row>
    <row r="18" spans="1:8">
      <c r="A18">
        <v>2017</v>
      </c>
      <c r="B18" t="s">
        <v>3160</v>
      </c>
      <c r="C18" t="s">
        <v>3139</v>
      </c>
      <c r="D18" t="s">
        <v>3140</v>
      </c>
      <c r="E18" t="s">
        <v>95</v>
      </c>
      <c r="F18" t="s">
        <v>105</v>
      </c>
      <c r="G18" t="s">
        <v>355</v>
      </c>
      <c r="H18" t="s">
        <v>191</v>
      </c>
    </row>
    <row r="19" spans="1:8">
      <c r="A19">
        <v>2018</v>
      </c>
      <c r="B19" t="s">
        <v>3165</v>
      </c>
      <c r="C19" t="s">
        <v>3143</v>
      </c>
      <c r="D19" t="s">
        <v>3144</v>
      </c>
      <c r="E19" t="s">
        <v>95</v>
      </c>
      <c r="F19" t="s">
        <v>105</v>
      </c>
      <c r="G19" t="s">
        <v>355</v>
      </c>
      <c r="H19" t="s">
        <v>191</v>
      </c>
    </row>
    <row r="20" spans="1:8">
      <c r="A20">
        <v>2018</v>
      </c>
      <c r="B20" t="s">
        <v>3166</v>
      </c>
      <c r="C20" t="s">
        <v>3145</v>
      </c>
      <c r="D20" t="s">
        <v>3146</v>
      </c>
      <c r="E20" t="s">
        <v>95</v>
      </c>
      <c r="F20" t="s">
        <v>20</v>
      </c>
      <c r="G20" t="s">
        <v>355</v>
      </c>
      <c r="H20" t="s">
        <v>191</v>
      </c>
    </row>
    <row r="21" spans="1:8">
      <c r="A21">
        <v>2019</v>
      </c>
      <c r="B21" t="s">
        <v>3164</v>
      </c>
      <c r="C21" t="s">
        <v>635</v>
      </c>
      <c r="D21" t="s">
        <v>211</v>
      </c>
      <c r="E21" t="s">
        <v>95</v>
      </c>
      <c r="F21" t="s">
        <v>105</v>
      </c>
      <c r="G21" t="s">
        <v>355</v>
      </c>
      <c r="H21" t="s">
        <v>191</v>
      </c>
    </row>
    <row r="22" spans="1:8">
      <c r="A22">
        <v>2021</v>
      </c>
      <c r="B22" t="s">
        <v>3163</v>
      </c>
      <c r="C22" t="s">
        <v>3142</v>
      </c>
      <c r="D22" t="s">
        <v>611</v>
      </c>
      <c r="E22" t="s">
        <v>95</v>
      </c>
      <c r="F22" t="s">
        <v>105</v>
      </c>
      <c r="G22" t="s">
        <v>355</v>
      </c>
      <c r="H22" t="s">
        <v>98</v>
      </c>
    </row>
    <row r="23" spans="1:8">
      <c r="A23">
        <v>2022</v>
      </c>
      <c r="B23" t="s">
        <v>3162</v>
      </c>
      <c r="C23" t="s">
        <v>566</v>
      </c>
      <c r="D23" t="s">
        <v>567</v>
      </c>
      <c r="E23" t="s">
        <v>138</v>
      </c>
      <c r="F23" t="s">
        <v>105</v>
      </c>
      <c r="G23" t="s">
        <v>184</v>
      </c>
      <c r="H23" t="s">
        <v>191</v>
      </c>
    </row>
    <row r="24" spans="1:8">
      <c r="A24">
        <v>2022</v>
      </c>
      <c r="B24" t="s">
        <v>3163</v>
      </c>
      <c r="C24" t="s">
        <v>583</v>
      </c>
      <c r="D24" t="s">
        <v>584</v>
      </c>
      <c r="E24" t="s">
        <v>95</v>
      </c>
      <c r="F24" t="s">
        <v>105</v>
      </c>
      <c r="G24" t="s">
        <v>355</v>
      </c>
      <c r="H24" t="s">
        <v>98</v>
      </c>
    </row>
  </sheetData>
  <sortState xmlns:xlrd2="http://schemas.microsoft.com/office/spreadsheetml/2017/richdata2" ref="A2:H24">
    <sortCondition ref="A2:A24"/>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13A2B-AE5F-4ABF-858B-9AAA1AC393D1}">
  <dimension ref="A1:Y710"/>
  <sheetViews>
    <sheetView zoomScale="90" zoomScaleNormal="90" workbookViewId="0">
      <pane ySplit="1" topLeftCell="A416" activePane="bottomLeft" state="frozen"/>
      <selection activeCell="B1" sqref="B1"/>
      <selection pane="bottomLeft" activeCell="D703" sqref="D703"/>
    </sheetView>
  </sheetViews>
  <sheetFormatPr defaultColWidth="8.54296875" defaultRowHeight="14.5"/>
  <cols>
    <col min="1" max="1" width="13.453125" customWidth="1"/>
    <col min="3" max="3" width="8.54296875" style="6" customWidth="1"/>
    <col min="4" max="4" width="82.1796875" customWidth="1"/>
    <col min="5" max="5" width="17.54296875" customWidth="1"/>
    <col min="6" max="6" width="45.453125" customWidth="1"/>
    <col min="7" max="7" width="56.54296875" customWidth="1"/>
  </cols>
  <sheetData>
    <row r="1" spans="1:6" s="5" customFormat="1">
      <c r="A1" s="5" t="s">
        <v>756</v>
      </c>
      <c r="B1" s="5" t="s">
        <v>8</v>
      </c>
      <c r="C1" s="8" t="s">
        <v>757</v>
      </c>
      <c r="D1" s="5" t="s">
        <v>758</v>
      </c>
      <c r="E1" s="5" t="s">
        <v>759</v>
      </c>
      <c r="F1" s="5" t="s">
        <v>760</v>
      </c>
    </row>
    <row r="2" spans="1:6">
      <c r="A2" t="str">
        <f t="shared" ref="A2:A65" si="0">B2&amp;""&amp;C2</f>
        <v>199176F</v>
      </c>
      <c r="B2">
        <v>1991</v>
      </c>
      <c r="C2" s="4" t="s">
        <v>761</v>
      </c>
      <c r="D2" t="s">
        <v>762</v>
      </c>
      <c r="E2" t="s">
        <v>763</v>
      </c>
      <c r="F2" t="s">
        <v>764</v>
      </c>
    </row>
    <row r="3" spans="1:6">
      <c r="A3" t="str">
        <f t="shared" si="0"/>
        <v>199271F</v>
      </c>
      <c r="B3">
        <v>1992</v>
      </c>
      <c r="C3" s="4" t="s">
        <v>765</v>
      </c>
      <c r="D3" t="s">
        <v>766</v>
      </c>
      <c r="E3" t="s">
        <v>767</v>
      </c>
      <c r="F3" t="s">
        <v>768</v>
      </c>
    </row>
    <row r="4" spans="1:6">
      <c r="A4" t="str">
        <f t="shared" si="0"/>
        <v>1992missed</v>
      </c>
      <c r="B4">
        <v>1992</v>
      </c>
      <c r="C4" s="4" t="s">
        <v>769</v>
      </c>
      <c r="D4" t="s">
        <v>770</v>
      </c>
      <c r="E4" t="s">
        <v>771</v>
      </c>
      <c r="F4" t="s">
        <v>772</v>
      </c>
    </row>
    <row r="5" spans="1:6">
      <c r="A5" t="str">
        <f t="shared" si="0"/>
        <v>1993241E</v>
      </c>
      <c r="B5">
        <v>1993</v>
      </c>
      <c r="C5" s="4" t="s">
        <v>773</v>
      </c>
      <c r="D5" t="s">
        <v>774</v>
      </c>
      <c r="E5" t="s">
        <v>775</v>
      </c>
      <c r="F5" t="s">
        <v>776</v>
      </c>
    </row>
    <row r="6" spans="1:6">
      <c r="A6" t="str">
        <f t="shared" si="0"/>
        <v>1995185E</v>
      </c>
      <c r="B6">
        <v>1995</v>
      </c>
      <c r="C6" s="4" t="s">
        <v>777</v>
      </c>
      <c r="D6" t="s">
        <v>778</v>
      </c>
      <c r="E6" t="s">
        <v>779</v>
      </c>
      <c r="F6" t="s">
        <v>780</v>
      </c>
    </row>
    <row r="7" spans="1:6">
      <c r="A7" t="str">
        <f t="shared" si="0"/>
        <v>1995202E</v>
      </c>
      <c r="B7">
        <v>1995</v>
      </c>
      <c r="C7" s="4" t="s">
        <v>781</v>
      </c>
      <c r="D7" t="s">
        <v>782</v>
      </c>
      <c r="E7" t="s">
        <v>783</v>
      </c>
      <c r="F7" t="s">
        <v>784</v>
      </c>
    </row>
    <row r="8" spans="1:6">
      <c r="A8" t="str">
        <f t="shared" si="0"/>
        <v>199550F</v>
      </c>
      <c r="B8">
        <v>1995</v>
      </c>
      <c r="C8" s="4" t="s">
        <v>785</v>
      </c>
      <c r="D8" t="s">
        <v>786</v>
      </c>
      <c r="E8" t="s">
        <v>787</v>
      </c>
      <c r="F8" t="s">
        <v>788</v>
      </c>
    </row>
    <row r="9" spans="1:6">
      <c r="A9" t="str">
        <f t="shared" si="0"/>
        <v>199552F</v>
      </c>
      <c r="B9">
        <v>1995</v>
      </c>
      <c r="C9" s="4" t="s">
        <v>789</v>
      </c>
      <c r="D9" t="s">
        <v>790</v>
      </c>
      <c r="E9" t="s">
        <v>791</v>
      </c>
      <c r="F9" t="s">
        <v>792</v>
      </c>
    </row>
    <row r="10" spans="1:6">
      <c r="A10" t="str">
        <f t="shared" si="0"/>
        <v>199644F</v>
      </c>
      <c r="B10">
        <v>1996</v>
      </c>
      <c r="C10" s="4" t="s">
        <v>793</v>
      </c>
      <c r="D10" t="s">
        <v>794</v>
      </c>
      <c r="E10" t="s">
        <v>795</v>
      </c>
      <c r="F10" t="s">
        <v>796</v>
      </c>
    </row>
    <row r="11" spans="1:6">
      <c r="A11" t="str">
        <f t="shared" si="0"/>
        <v>199648F</v>
      </c>
      <c r="B11">
        <v>1996</v>
      </c>
      <c r="C11" s="4" t="s">
        <v>797</v>
      </c>
      <c r="D11" t="s">
        <v>798</v>
      </c>
      <c r="E11" t="s">
        <v>799</v>
      </c>
      <c r="F11" t="s">
        <v>800</v>
      </c>
    </row>
    <row r="12" spans="1:6">
      <c r="A12" t="str">
        <f t="shared" si="0"/>
        <v>199711A</v>
      </c>
      <c r="B12">
        <v>1997</v>
      </c>
      <c r="C12" s="4" t="s">
        <v>801</v>
      </c>
      <c r="D12" t="s">
        <v>802</v>
      </c>
      <c r="E12" t="s">
        <v>803</v>
      </c>
      <c r="F12" t="s">
        <v>804</v>
      </c>
    </row>
    <row r="13" spans="1:6">
      <c r="A13" t="str">
        <f t="shared" si="0"/>
        <v>199737F</v>
      </c>
      <c r="B13">
        <v>1997</v>
      </c>
      <c r="C13" s="4" t="s">
        <v>805</v>
      </c>
      <c r="D13" t="s">
        <v>806</v>
      </c>
      <c r="E13" t="s">
        <v>807</v>
      </c>
      <c r="F13" t="s">
        <v>808</v>
      </c>
    </row>
    <row r="14" spans="1:6">
      <c r="A14" t="str">
        <f t="shared" si="0"/>
        <v>199750D</v>
      </c>
      <c r="B14">
        <v>1997</v>
      </c>
      <c r="C14" s="4" t="s">
        <v>809</v>
      </c>
      <c r="D14" t="s">
        <v>810</v>
      </c>
      <c r="E14" t="s">
        <v>811</v>
      </c>
      <c r="F14" t="s">
        <v>812</v>
      </c>
    </row>
    <row r="15" spans="1:6">
      <c r="A15" t="str">
        <f t="shared" si="0"/>
        <v>1997missed</v>
      </c>
      <c r="B15">
        <v>1997</v>
      </c>
      <c r="C15" s="4" t="s">
        <v>769</v>
      </c>
      <c r="D15" t="s">
        <v>813</v>
      </c>
      <c r="E15" t="s">
        <v>814</v>
      </c>
      <c r="F15" t="s">
        <v>815</v>
      </c>
    </row>
    <row r="16" spans="1:6">
      <c r="A16" t="str">
        <f t="shared" si="0"/>
        <v>199813B</v>
      </c>
      <c r="B16">
        <v>1998</v>
      </c>
      <c r="C16" s="4" t="s">
        <v>816</v>
      </c>
      <c r="D16" t="s">
        <v>817</v>
      </c>
      <c r="E16" t="s">
        <v>818</v>
      </c>
      <c r="F16" t="s">
        <v>819</v>
      </c>
    </row>
    <row r="17" spans="1:6">
      <c r="A17" t="str">
        <f t="shared" si="0"/>
        <v>199814B</v>
      </c>
      <c r="B17">
        <v>1998</v>
      </c>
      <c r="C17" s="4" t="s">
        <v>820</v>
      </c>
      <c r="D17" t="s">
        <v>821</v>
      </c>
      <c r="E17" t="s">
        <v>822</v>
      </c>
      <c r="F17" t="s">
        <v>823</v>
      </c>
    </row>
    <row r="18" spans="1:6">
      <c r="A18" t="str">
        <f t="shared" si="0"/>
        <v>199822F</v>
      </c>
      <c r="B18">
        <v>1998</v>
      </c>
      <c r="C18" s="4" t="s">
        <v>824</v>
      </c>
      <c r="D18" t="s">
        <v>825</v>
      </c>
      <c r="E18" t="s">
        <v>826</v>
      </c>
      <c r="F18" t="s">
        <v>827</v>
      </c>
    </row>
    <row r="19" spans="1:6">
      <c r="A19" t="str">
        <f t="shared" si="0"/>
        <v>199831F</v>
      </c>
      <c r="B19">
        <v>1998</v>
      </c>
      <c r="C19" s="4" t="s">
        <v>828</v>
      </c>
      <c r="D19" t="s">
        <v>829</v>
      </c>
      <c r="E19" t="s">
        <v>830</v>
      </c>
      <c r="F19" t="s">
        <v>831</v>
      </c>
    </row>
    <row r="20" spans="1:6">
      <c r="A20" t="str">
        <f t="shared" si="0"/>
        <v>19989A</v>
      </c>
      <c r="B20">
        <v>1998</v>
      </c>
      <c r="C20" s="4" t="s">
        <v>832</v>
      </c>
      <c r="D20" t="s">
        <v>833</v>
      </c>
      <c r="E20" t="s">
        <v>834</v>
      </c>
      <c r="F20" t="s">
        <v>835</v>
      </c>
    </row>
    <row r="21" spans="1:6">
      <c r="A21" t="str">
        <f t="shared" si="0"/>
        <v>199910B</v>
      </c>
      <c r="B21">
        <v>1999</v>
      </c>
      <c r="C21" s="4" t="s">
        <v>836</v>
      </c>
      <c r="D21" t="s">
        <v>837</v>
      </c>
      <c r="E21" t="s">
        <v>838</v>
      </c>
      <c r="F21" t="s">
        <v>839</v>
      </c>
    </row>
    <row r="22" spans="1:6">
      <c r="A22" t="str">
        <f t="shared" si="0"/>
        <v>19995A</v>
      </c>
      <c r="B22">
        <v>1999</v>
      </c>
      <c r="C22" s="4" t="s">
        <v>840</v>
      </c>
      <c r="D22" t="s">
        <v>841</v>
      </c>
      <c r="E22" t="s">
        <v>842</v>
      </c>
      <c r="F22" t="s">
        <v>843</v>
      </c>
    </row>
    <row r="23" spans="1:6">
      <c r="A23" t="str">
        <f t="shared" si="0"/>
        <v>19996A</v>
      </c>
      <c r="B23">
        <v>1999</v>
      </c>
      <c r="C23" s="4" t="s">
        <v>844</v>
      </c>
      <c r="D23" t="s">
        <v>845</v>
      </c>
      <c r="E23" t="s">
        <v>846</v>
      </c>
      <c r="F23" t="s">
        <v>847</v>
      </c>
    </row>
    <row r="24" spans="1:6">
      <c r="A24" t="str">
        <f t="shared" si="0"/>
        <v>2006A10</v>
      </c>
      <c r="B24">
        <v>2006</v>
      </c>
      <c r="C24" s="6" t="s">
        <v>848</v>
      </c>
      <c r="D24" t="s">
        <v>849</v>
      </c>
      <c r="E24" t="s">
        <v>850</v>
      </c>
      <c r="F24" t="s">
        <v>851</v>
      </c>
    </row>
    <row r="25" spans="1:6">
      <c r="A25" t="str">
        <f t="shared" si="0"/>
        <v>2006A13</v>
      </c>
      <c r="B25">
        <v>2006</v>
      </c>
      <c r="C25" s="6" t="s">
        <v>852</v>
      </c>
      <c r="D25" t="s">
        <v>853</v>
      </c>
      <c r="E25" t="s">
        <v>854</v>
      </c>
      <c r="F25" t="s">
        <v>855</v>
      </c>
    </row>
    <row r="26" spans="1:6">
      <c r="A26" t="str">
        <f t="shared" si="0"/>
        <v>2006A15</v>
      </c>
      <c r="B26">
        <v>2006</v>
      </c>
      <c r="C26" s="6" t="s">
        <v>856</v>
      </c>
      <c r="D26" t="s">
        <v>857</v>
      </c>
      <c r="E26" t="s">
        <v>858</v>
      </c>
      <c r="F26" t="s">
        <v>859</v>
      </c>
    </row>
    <row r="27" spans="1:6">
      <c r="A27" t="str">
        <f t="shared" si="0"/>
        <v>2006A16</v>
      </c>
      <c r="B27">
        <v>2006</v>
      </c>
      <c r="C27" s="6" t="s">
        <v>860</v>
      </c>
      <c r="D27" t="s">
        <v>861</v>
      </c>
      <c r="E27" t="s">
        <v>862</v>
      </c>
      <c r="F27" t="s">
        <v>863</v>
      </c>
    </row>
    <row r="28" spans="1:6">
      <c r="A28" t="str">
        <f t="shared" si="0"/>
        <v>2006A17</v>
      </c>
      <c r="B28">
        <v>2006</v>
      </c>
      <c r="C28" s="6" t="s">
        <v>864</v>
      </c>
      <c r="D28" t="s">
        <v>865</v>
      </c>
      <c r="E28" t="s">
        <v>866</v>
      </c>
      <c r="F28" t="s">
        <v>867</v>
      </c>
    </row>
    <row r="29" spans="1:6">
      <c r="A29" t="str">
        <f t="shared" si="0"/>
        <v>2006A22</v>
      </c>
      <c r="B29">
        <v>2006</v>
      </c>
      <c r="C29" s="6" t="s">
        <v>868</v>
      </c>
      <c r="D29" t="s">
        <v>869</v>
      </c>
      <c r="E29" t="s">
        <v>870</v>
      </c>
      <c r="F29" t="s">
        <v>871</v>
      </c>
    </row>
    <row r="30" spans="1:6">
      <c r="A30" t="str">
        <f t="shared" si="0"/>
        <v>2006A23</v>
      </c>
      <c r="B30">
        <v>2006</v>
      </c>
      <c r="C30" s="6" t="s">
        <v>872</v>
      </c>
      <c r="D30" t="s">
        <v>873</v>
      </c>
      <c r="E30" t="s">
        <v>874</v>
      </c>
      <c r="F30" t="s">
        <v>875</v>
      </c>
    </row>
    <row r="31" spans="1:6">
      <c r="A31" t="str">
        <f t="shared" si="0"/>
        <v>2006A28</v>
      </c>
      <c r="B31">
        <v>2006</v>
      </c>
      <c r="C31" s="6" t="s">
        <v>876</v>
      </c>
      <c r="D31" t="s">
        <v>877</v>
      </c>
      <c r="E31" t="s">
        <v>878</v>
      </c>
      <c r="F31" t="s">
        <v>879</v>
      </c>
    </row>
    <row r="32" spans="1:6">
      <c r="A32" t="str">
        <f t="shared" si="0"/>
        <v>2006A30</v>
      </c>
      <c r="B32">
        <v>2006</v>
      </c>
      <c r="C32" s="6" t="s">
        <v>880</v>
      </c>
      <c r="D32" t="s">
        <v>881</v>
      </c>
      <c r="E32" t="s">
        <v>882</v>
      </c>
      <c r="F32" t="s">
        <v>883</v>
      </c>
    </row>
    <row r="33" spans="1:6">
      <c r="A33" t="str">
        <f t="shared" si="0"/>
        <v>2006A32</v>
      </c>
      <c r="B33">
        <v>2006</v>
      </c>
      <c r="C33" s="6" t="s">
        <v>884</v>
      </c>
      <c r="D33" t="s">
        <v>885</v>
      </c>
      <c r="E33" t="s">
        <v>886</v>
      </c>
      <c r="F33" t="s">
        <v>887</v>
      </c>
    </row>
    <row r="34" spans="1:6">
      <c r="A34" t="str">
        <f t="shared" si="0"/>
        <v>2006A6</v>
      </c>
      <c r="B34">
        <v>2006</v>
      </c>
      <c r="C34" s="6" t="s">
        <v>888</v>
      </c>
      <c r="D34" t="s">
        <v>889</v>
      </c>
      <c r="E34" t="s">
        <v>890</v>
      </c>
      <c r="F34" t="s">
        <v>891</v>
      </c>
    </row>
    <row r="35" spans="1:6">
      <c r="A35" t="str">
        <f t="shared" si="0"/>
        <v>2006E23</v>
      </c>
      <c r="B35">
        <v>2006</v>
      </c>
      <c r="C35" s="6" t="s">
        <v>892</v>
      </c>
      <c r="D35" t="s">
        <v>893</v>
      </c>
      <c r="E35" t="s">
        <v>894</v>
      </c>
      <c r="F35" t="s">
        <v>895</v>
      </c>
    </row>
    <row r="36" spans="1:6">
      <c r="A36" t="str">
        <f t="shared" si="0"/>
        <v>2006E25</v>
      </c>
      <c r="B36">
        <v>2006</v>
      </c>
      <c r="C36" s="6" t="s">
        <v>896</v>
      </c>
      <c r="D36" t="s">
        <v>897</v>
      </c>
      <c r="E36" t="s">
        <v>898</v>
      </c>
      <c r="F36" t="s">
        <v>899</v>
      </c>
    </row>
    <row r="37" spans="1:6">
      <c r="A37" t="str">
        <f t="shared" si="0"/>
        <v>2006E35</v>
      </c>
      <c r="B37">
        <v>2006</v>
      </c>
      <c r="C37" s="6" t="s">
        <v>900</v>
      </c>
      <c r="D37" t="s">
        <v>901</v>
      </c>
      <c r="E37" t="s">
        <v>902</v>
      </c>
      <c r="F37" t="s">
        <v>903</v>
      </c>
    </row>
    <row r="38" spans="1:6">
      <c r="A38" t="str">
        <f t="shared" si="0"/>
        <v>2006F12</v>
      </c>
      <c r="B38">
        <v>2006</v>
      </c>
      <c r="C38" s="6" t="s">
        <v>904</v>
      </c>
      <c r="D38" t="s">
        <v>905</v>
      </c>
      <c r="E38" t="s">
        <v>906</v>
      </c>
      <c r="F38" t="s">
        <v>907</v>
      </c>
    </row>
    <row r="39" spans="1:6">
      <c r="A39" t="str">
        <f t="shared" si="0"/>
        <v>2006F16</v>
      </c>
      <c r="B39">
        <v>2006</v>
      </c>
      <c r="C39" s="6" t="s">
        <v>908</v>
      </c>
      <c r="D39" t="s">
        <v>909</v>
      </c>
      <c r="E39" t="s">
        <v>910</v>
      </c>
      <c r="F39" t="s">
        <v>911</v>
      </c>
    </row>
    <row r="40" spans="1:6">
      <c r="A40" t="str">
        <f t="shared" si="0"/>
        <v>2006F17</v>
      </c>
      <c r="B40">
        <v>2006</v>
      </c>
      <c r="C40" s="6" t="s">
        <v>912</v>
      </c>
      <c r="D40" t="s">
        <v>913</v>
      </c>
      <c r="E40" t="s">
        <v>914</v>
      </c>
      <c r="F40" t="s">
        <v>915</v>
      </c>
    </row>
    <row r="41" spans="1:6">
      <c r="A41" t="str">
        <f t="shared" si="0"/>
        <v>2009A1</v>
      </c>
      <c r="B41">
        <v>2009</v>
      </c>
      <c r="C41" s="6" t="s">
        <v>916</v>
      </c>
      <c r="D41" t="s">
        <v>917</v>
      </c>
      <c r="E41" t="s">
        <v>918</v>
      </c>
      <c r="F41" t="s">
        <v>919</v>
      </c>
    </row>
    <row r="42" spans="1:6">
      <c r="A42" t="str">
        <f t="shared" si="0"/>
        <v>2009A13</v>
      </c>
      <c r="B42">
        <v>2009</v>
      </c>
      <c r="C42" s="6" t="s">
        <v>852</v>
      </c>
      <c r="D42" t="s">
        <v>920</v>
      </c>
      <c r="E42" t="s">
        <v>921</v>
      </c>
      <c r="F42" t="s">
        <v>922</v>
      </c>
    </row>
    <row r="43" spans="1:6">
      <c r="A43" t="str">
        <f t="shared" si="0"/>
        <v>2009A14</v>
      </c>
      <c r="B43">
        <v>2009</v>
      </c>
      <c r="C43" s="6" t="s">
        <v>923</v>
      </c>
      <c r="D43" t="s">
        <v>924</v>
      </c>
      <c r="E43" t="s">
        <v>925</v>
      </c>
      <c r="F43" t="s">
        <v>926</v>
      </c>
    </row>
    <row r="44" spans="1:6">
      <c r="A44" t="str">
        <f t="shared" si="0"/>
        <v>2009A16</v>
      </c>
      <c r="B44">
        <v>2009</v>
      </c>
      <c r="C44" s="6" t="s">
        <v>860</v>
      </c>
      <c r="D44" t="s">
        <v>927</v>
      </c>
      <c r="E44" t="s">
        <v>928</v>
      </c>
      <c r="F44" t="s">
        <v>929</v>
      </c>
    </row>
    <row r="45" spans="1:6">
      <c r="A45" t="str">
        <f t="shared" si="0"/>
        <v>2009A17</v>
      </c>
      <c r="B45">
        <v>2009</v>
      </c>
      <c r="C45" s="6" t="s">
        <v>864</v>
      </c>
      <c r="D45" t="s">
        <v>930</v>
      </c>
      <c r="E45" t="s">
        <v>931</v>
      </c>
      <c r="F45" t="s">
        <v>932</v>
      </c>
    </row>
    <row r="46" spans="1:6">
      <c r="A46" t="str">
        <f t="shared" si="0"/>
        <v>2009A20</v>
      </c>
      <c r="B46">
        <v>2009</v>
      </c>
      <c r="C46" s="6" t="s">
        <v>933</v>
      </c>
      <c r="D46" t="s">
        <v>934</v>
      </c>
      <c r="E46" t="s">
        <v>935</v>
      </c>
      <c r="F46" t="s">
        <v>936</v>
      </c>
    </row>
    <row r="47" spans="1:6">
      <c r="A47" t="str">
        <f t="shared" si="0"/>
        <v>2009A21</v>
      </c>
      <c r="B47">
        <v>2009</v>
      </c>
      <c r="C47" s="6" t="s">
        <v>937</v>
      </c>
      <c r="D47" t="s">
        <v>938</v>
      </c>
      <c r="E47" t="s">
        <v>939</v>
      </c>
      <c r="F47" t="s">
        <v>940</v>
      </c>
    </row>
    <row r="48" spans="1:6">
      <c r="A48" t="str">
        <f t="shared" si="0"/>
        <v>2009A3</v>
      </c>
      <c r="B48">
        <v>2009</v>
      </c>
      <c r="C48" s="6" t="s">
        <v>941</v>
      </c>
      <c r="D48" t="s">
        <v>942</v>
      </c>
      <c r="E48" t="s">
        <v>943</v>
      </c>
      <c r="F48" t="s">
        <v>944</v>
      </c>
    </row>
    <row r="49" spans="1:6">
      <c r="A49" t="str">
        <f t="shared" si="0"/>
        <v>2009A7</v>
      </c>
      <c r="B49">
        <v>2009</v>
      </c>
      <c r="C49" s="6" t="s">
        <v>945</v>
      </c>
      <c r="D49" t="s">
        <v>946</v>
      </c>
      <c r="E49" t="s">
        <v>947</v>
      </c>
      <c r="F49" t="s">
        <v>948</v>
      </c>
    </row>
    <row r="50" spans="1:6">
      <c r="A50" t="str">
        <f t="shared" si="0"/>
        <v>2009D4</v>
      </c>
      <c r="B50">
        <v>2009</v>
      </c>
      <c r="C50" s="6" t="s">
        <v>949</v>
      </c>
      <c r="D50" t="s">
        <v>950</v>
      </c>
      <c r="E50" t="s">
        <v>951</v>
      </c>
      <c r="F50" t="s">
        <v>952</v>
      </c>
    </row>
    <row r="51" spans="1:6">
      <c r="A51" t="str">
        <f t="shared" si="0"/>
        <v>2009D7</v>
      </c>
      <c r="B51">
        <v>2009</v>
      </c>
      <c r="C51" s="6" t="s">
        <v>953</v>
      </c>
      <c r="D51" t="s">
        <v>954</v>
      </c>
      <c r="E51" t="s">
        <v>955</v>
      </c>
      <c r="F51" t="s">
        <v>956</v>
      </c>
    </row>
    <row r="52" spans="1:6">
      <c r="A52" t="str">
        <f t="shared" si="0"/>
        <v>2009D8</v>
      </c>
      <c r="B52">
        <v>2009</v>
      </c>
      <c r="C52" s="6" t="s">
        <v>957</v>
      </c>
      <c r="D52" t="s">
        <v>958</v>
      </c>
      <c r="E52" t="s">
        <v>959</v>
      </c>
      <c r="F52" t="s">
        <v>960</v>
      </c>
    </row>
    <row r="53" spans="1:6">
      <c r="A53" t="str">
        <f t="shared" si="0"/>
        <v>2009E8</v>
      </c>
      <c r="B53">
        <v>2009</v>
      </c>
      <c r="C53" s="6" t="s">
        <v>961</v>
      </c>
      <c r="D53" t="s">
        <v>962</v>
      </c>
      <c r="E53" t="s">
        <v>963</v>
      </c>
      <c r="F53" t="s">
        <v>964</v>
      </c>
    </row>
    <row r="54" spans="1:6">
      <c r="A54" t="str">
        <f t="shared" si="0"/>
        <v>2009F18</v>
      </c>
      <c r="B54">
        <v>2009</v>
      </c>
      <c r="C54" s="6" t="s">
        <v>965</v>
      </c>
      <c r="D54" t="s">
        <v>966</v>
      </c>
      <c r="E54" t="s">
        <v>967</v>
      </c>
      <c r="F54" t="s">
        <v>968</v>
      </c>
    </row>
    <row r="55" spans="1:6">
      <c r="A55" t="str">
        <f t="shared" si="0"/>
        <v>2009F6</v>
      </c>
      <c r="B55">
        <v>2009</v>
      </c>
      <c r="C55" s="6" t="s">
        <v>969</v>
      </c>
      <c r="D55" t="s">
        <v>970</v>
      </c>
      <c r="E55" t="s">
        <v>971</v>
      </c>
      <c r="F55" t="s">
        <v>972</v>
      </c>
    </row>
    <row r="56" spans="1:6">
      <c r="A56" t="str">
        <f t="shared" si="0"/>
        <v>2011A11</v>
      </c>
      <c r="B56">
        <v>2011</v>
      </c>
      <c r="C56" s="6" t="s">
        <v>973</v>
      </c>
      <c r="D56" t="s">
        <v>974</v>
      </c>
      <c r="E56" s="1" t="s">
        <v>975</v>
      </c>
      <c r="F56" t="s">
        <v>976</v>
      </c>
    </row>
    <row r="57" spans="1:6">
      <c r="A57" t="str">
        <f t="shared" si="0"/>
        <v>2011A17</v>
      </c>
      <c r="B57">
        <v>2011</v>
      </c>
      <c r="C57" s="6" t="s">
        <v>864</v>
      </c>
      <c r="D57" t="s">
        <v>977</v>
      </c>
      <c r="E57" s="1" t="s">
        <v>978</v>
      </c>
      <c r="F57" t="s">
        <v>979</v>
      </c>
    </row>
    <row r="58" spans="1:6">
      <c r="A58" t="str">
        <f t="shared" si="0"/>
        <v>2011A18</v>
      </c>
      <c r="B58">
        <v>2011</v>
      </c>
      <c r="C58" s="6" t="s">
        <v>980</v>
      </c>
      <c r="D58" t="s">
        <v>981</v>
      </c>
      <c r="E58" s="1" t="s">
        <v>982</v>
      </c>
      <c r="F58" t="s">
        <v>983</v>
      </c>
    </row>
    <row r="59" spans="1:6">
      <c r="A59" t="str">
        <f t="shared" si="0"/>
        <v>2011A2</v>
      </c>
      <c r="B59">
        <v>2011</v>
      </c>
      <c r="C59" s="6" t="s">
        <v>984</v>
      </c>
      <c r="D59" t="s">
        <v>985</v>
      </c>
      <c r="E59" s="1" t="s">
        <v>986</v>
      </c>
      <c r="F59" t="s">
        <v>987</v>
      </c>
    </row>
    <row r="60" spans="1:6">
      <c r="A60" t="str">
        <f t="shared" si="0"/>
        <v>2011A22</v>
      </c>
      <c r="B60">
        <v>2011</v>
      </c>
      <c r="C60" s="6" t="s">
        <v>868</v>
      </c>
      <c r="D60" t="s">
        <v>988</v>
      </c>
      <c r="E60" s="1" t="s">
        <v>989</v>
      </c>
      <c r="F60" t="s">
        <v>990</v>
      </c>
    </row>
    <row r="61" spans="1:6">
      <c r="A61" t="str">
        <f t="shared" si="0"/>
        <v>2011A23</v>
      </c>
      <c r="B61">
        <v>2011</v>
      </c>
      <c r="C61" s="6" t="s">
        <v>872</v>
      </c>
      <c r="D61" t="s">
        <v>991</v>
      </c>
      <c r="E61" t="s">
        <v>992</v>
      </c>
      <c r="F61" t="s">
        <v>993</v>
      </c>
    </row>
    <row r="62" spans="1:6">
      <c r="A62" t="str">
        <f t="shared" si="0"/>
        <v>2011A29</v>
      </c>
      <c r="B62">
        <v>2011</v>
      </c>
      <c r="C62" s="6" t="s">
        <v>994</v>
      </c>
      <c r="D62" t="s">
        <v>995</v>
      </c>
      <c r="E62" s="1" t="s">
        <v>996</v>
      </c>
      <c r="F62" t="s">
        <v>997</v>
      </c>
    </row>
    <row r="63" spans="1:6">
      <c r="A63" t="str">
        <f t="shared" si="0"/>
        <v>2011A3</v>
      </c>
      <c r="B63">
        <v>2011</v>
      </c>
      <c r="C63" s="6" t="s">
        <v>941</v>
      </c>
      <c r="D63" t="s">
        <v>998</v>
      </c>
      <c r="E63" s="1" t="s">
        <v>999</v>
      </c>
      <c r="F63" t="s">
        <v>1000</v>
      </c>
    </row>
    <row r="64" spans="1:6">
      <c r="A64" t="str">
        <f t="shared" si="0"/>
        <v>2011A53</v>
      </c>
      <c r="B64">
        <v>2011</v>
      </c>
      <c r="C64" s="6" t="s">
        <v>1001</v>
      </c>
      <c r="D64" t="s">
        <v>1002</v>
      </c>
      <c r="E64" s="1" t="s">
        <v>1003</v>
      </c>
      <c r="F64" t="s">
        <v>1004</v>
      </c>
    </row>
    <row r="65" spans="1:6">
      <c r="A65" t="str">
        <f t="shared" si="0"/>
        <v>2011A59</v>
      </c>
      <c r="B65">
        <v>2011</v>
      </c>
      <c r="C65" s="6" t="s">
        <v>1005</v>
      </c>
      <c r="D65" t="s">
        <v>1006</v>
      </c>
      <c r="E65" s="1" t="s">
        <v>1007</v>
      </c>
      <c r="F65" t="s">
        <v>1008</v>
      </c>
    </row>
    <row r="66" spans="1:6">
      <c r="A66" t="str">
        <f t="shared" ref="A66:A129" si="1">B66&amp;""&amp;C66</f>
        <v>2011A6</v>
      </c>
      <c r="B66">
        <v>2011</v>
      </c>
      <c r="C66" s="6" t="s">
        <v>888</v>
      </c>
      <c r="D66" t="s">
        <v>1009</v>
      </c>
      <c r="E66" s="1" t="s">
        <v>1010</v>
      </c>
      <c r="F66" t="s">
        <v>1011</v>
      </c>
    </row>
    <row r="67" spans="1:6">
      <c r="A67" t="str">
        <f t="shared" si="1"/>
        <v>2011A8</v>
      </c>
      <c r="B67">
        <v>2011</v>
      </c>
      <c r="C67" s="6" t="s">
        <v>1012</v>
      </c>
      <c r="D67" t="s">
        <v>1013</v>
      </c>
      <c r="E67" s="1" t="s">
        <v>1014</v>
      </c>
      <c r="F67" t="s">
        <v>1015</v>
      </c>
    </row>
    <row r="68" spans="1:6">
      <c r="A68" t="str">
        <f t="shared" si="1"/>
        <v>2011A9</v>
      </c>
      <c r="B68">
        <v>2011</v>
      </c>
      <c r="C68" s="6" t="s">
        <v>1016</v>
      </c>
      <c r="D68" t="s">
        <v>1017</v>
      </c>
      <c r="E68" s="1" t="s">
        <v>1018</v>
      </c>
      <c r="F68" t="s">
        <v>1019</v>
      </c>
    </row>
    <row r="69" spans="1:6">
      <c r="A69" t="str">
        <f t="shared" si="1"/>
        <v>2011D1</v>
      </c>
      <c r="B69">
        <v>2011</v>
      </c>
      <c r="C69" s="6" t="s">
        <v>1020</v>
      </c>
      <c r="D69" t="s">
        <v>1021</v>
      </c>
      <c r="E69" s="1" t="s">
        <v>1022</v>
      </c>
      <c r="F69" t="s">
        <v>1023</v>
      </c>
    </row>
    <row r="70" spans="1:6">
      <c r="A70" t="str">
        <f t="shared" si="1"/>
        <v>2011D10</v>
      </c>
      <c r="B70">
        <v>2011</v>
      </c>
      <c r="C70" s="6" t="s">
        <v>1024</v>
      </c>
      <c r="D70" t="s">
        <v>1025</v>
      </c>
      <c r="E70" s="1" t="s">
        <v>1026</v>
      </c>
      <c r="F70" t="s">
        <v>1027</v>
      </c>
    </row>
    <row r="71" spans="1:6">
      <c r="A71" t="str">
        <f t="shared" si="1"/>
        <v>2011D11</v>
      </c>
      <c r="B71">
        <v>2011</v>
      </c>
      <c r="C71" s="6" t="s">
        <v>1028</v>
      </c>
      <c r="D71" t="s">
        <v>1029</v>
      </c>
      <c r="E71" s="1" t="s">
        <v>1030</v>
      </c>
      <c r="F71" t="s">
        <v>1031</v>
      </c>
    </row>
    <row r="72" spans="1:6">
      <c r="A72" t="str">
        <f t="shared" si="1"/>
        <v>2011D12</v>
      </c>
      <c r="B72">
        <v>2011</v>
      </c>
      <c r="C72" s="6" t="s">
        <v>1032</v>
      </c>
      <c r="D72" t="s">
        <v>1033</v>
      </c>
      <c r="E72" s="1" t="s">
        <v>1034</v>
      </c>
      <c r="F72" t="s">
        <v>1035</v>
      </c>
    </row>
    <row r="73" spans="1:6">
      <c r="A73" t="str">
        <f t="shared" si="1"/>
        <v>2011D2</v>
      </c>
      <c r="B73">
        <v>2011</v>
      </c>
      <c r="C73" s="6" t="s">
        <v>1036</v>
      </c>
      <c r="D73" t="s">
        <v>1037</v>
      </c>
      <c r="E73" s="1" t="s">
        <v>1038</v>
      </c>
      <c r="F73" t="s">
        <v>1039</v>
      </c>
    </row>
    <row r="74" spans="1:6">
      <c r="A74" t="str">
        <f t="shared" si="1"/>
        <v>2011D23</v>
      </c>
      <c r="B74">
        <v>2011</v>
      </c>
      <c r="C74" s="6" t="s">
        <v>1040</v>
      </c>
      <c r="D74" t="s">
        <v>1041</v>
      </c>
      <c r="E74" s="1" t="s">
        <v>1042</v>
      </c>
      <c r="F74" t="s">
        <v>1043</v>
      </c>
    </row>
    <row r="75" spans="1:6">
      <c r="A75" t="str">
        <f t="shared" si="1"/>
        <v>2011D27</v>
      </c>
      <c r="B75">
        <v>2011</v>
      </c>
      <c r="C75" s="6" t="s">
        <v>1044</v>
      </c>
      <c r="D75" t="s">
        <v>1045</v>
      </c>
      <c r="E75" s="1" t="s">
        <v>1046</v>
      </c>
      <c r="F75" t="s">
        <v>1047</v>
      </c>
    </row>
    <row r="76" spans="1:6">
      <c r="A76" t="str">
        <f t="shared" si="1"/>
        <v>2011D6</v>
      </c>
      <c r="B76">
        <v>2011</v>
      </c>
      <c r="C76" s="6" t="s">
        <v>1048</v>
      </c>
      <c r="D76" t="s">
        <v>1049</v>
      </c>
      <c r="E76" s="1" t="s">
        <v>1050</v>
      </c>
      <c r="F76" t="s">
        <v>1051</v>
      </c>
    </row>
    <row r="77" spans="1:6">
      <c r="A77" t="str">
        <f t="shared" si="1"/>
        <v>2011D8</v>
      </c>
      <c r="B77">
        <v>2011</v>
      </c>
      <c r="C77" s="6" t="s">
        <v>957</v>
      </c>
      <c r="D77" t="s">
        <v>1052</v>
      </c>
      <c r="E77" s="1" t="s">
        <v>1053</v>
      </c>
      <c r="F77" t="s">
        <v>1054</v>
      </c>
    </row>
    <row r="78" spans="1:6">
      <c r="A78" t="str">
        <f t="shared" si="1"/>
        <v>2011E13</v>
      </c>
      <c r="B78">
        <v>2011</v>
      </c>
      <c r="C78" s="6" t="s">
        <v>1055</v>
      </c>
      <c r="D78" t="s">
        <v>1056</v>
      </c>
      <c r="E78" s="1" t="s">
        <v>1057</v>
      </c>
      <c r="F78" t="s">
        <v>1058</v>
      </c>
    </row>
    <row r="79" spans="1:6">
      <c r="A79" t="str">
        <f t="shared" si="1"/>
        <v>2011E34</v>
      </c>
      <c r="B79">
        <v>2011</v>
      </c>
      <c r="C79" s="6" t="s">
        <v>1059</v>
      </c>
      <c r="D79" t="s">
        <v>1060</v>
      </c>
      <c r="E79" s="1" t="s">
        <v>1061</v>
      </c>
      <c r="F79" t="s">
        <v>1062</v>
      </c>
    </row>
    <row r="80" spans="1:6">
      <c r="A80" t="str">
        <f t="shared" si="1"/>
        <v>2011E47</v>
      </c>
      <c r="B80">
        <v>2011</v>
      </c>
      <c r="C80" s="6" t="s">
        <v>1063</v>
      </c>
      <c r="D80" t="s">
        <v>1064</v>
      </c>
      <c r="E80" s="1" t="s">
        <v>1065</v>
      </c>
      <c r="F80" t="s">
        <v>1066</v>
      </c>
    </row>
    <row r="81" spans="1:6">
      <c r="A81" t="str">
        <f t="shared" si="1"/>
        <v>2011F18</v>
      </c>
      <c r="B81">
        <v>2011</v>
      </c>
      <c r="C81" s="6" t="s">
        <v>965</v>
      </c>
      <c r="D81" t="s">
        <v>1067</v>
      </c>
      <c r="E81" s="1" t="s">
        <v>1068</v>
      </c>
      <c r="F81" t="s">
        <v>1069</v>
      </c>
    </row>
    <row r="82" spans="1:6">
      <c r="A82" t="str">
        <f t="shared" si="1"/>
        <v>2011F19</v>
      </c>
      <c r="B82">
        <v>2011</v>
      </c>
      <c r="C82" s="6" t="s">
        <v>1070</v>
      </c>
      <c r="D82" t="s">
        <v>1071</v>
      </c>
      <c r="E82" s="1" t="s">
        <v>1072</v>
      </c>
      <c r="F82" t="s">
        <v>1073</v>
      </c>
    </row>
    <row r="83" spans="1:6">
      <c r="A83" t="str">
        <f t="shared" si="1"/>
        <v>2011F2</v>
      </c>
      <c r="B83">
        <v>2011</v>
      </c>
      <c r="C83" s="6" t="s">
        <v>1074</v>
      </c>
      <c r="D83" t="s">
        <v>1075</v>
      </c>
      <c r="E83" s="1" t="s">
        <v>1076</v>
      </c>
      <c r="F83" t="s">
        <v>1077</v>
      </c>
    </row>
    <row r="84" spans="1:6">
      <c r="A84" t="str">
        <f t="shared" si="1"/>
        <v>2011F24</v>
      </c>
      <c r="B84">
        <v>2011</v>
      </c>
      <c r="C84" s="6" t="s">
        <v>1078</v>
      </c>
      <c r="D84" t="s">
        <v>1079</v>
      </c>
      <c r="E84" s="1" t="s">
        <v>1080</v>
      </c>
      <c r="F84" t="s">
        <v>1081</v>
      </c>
    </row>
    <row r="85" spans="1:6">
      <c r="A85" t="str">
        <f t="shared" si="1"/>
        <v>2011F26</v>
      </c>
      <c r="B85">
        <v>2011</v>
      </c>
      <c r="C85" s="6" t="s">
        <v>1082</v>
      </c>
      <c r="D85" t="s">
        <v>1083</v>
      </c>
      <c r="E85" s="1" t="s">
        <v>1084</v>
      </c>
      <c r="F85" t="s">
        <v>1085</v>
      </c>
    </row>
    <row r="86" spans="1:6">
      <c r="A86" t="str">
        <f t="shared" si="1"/>
        <v>2013A10</v>
      </c>
      <c r="B86">
        <v>2013</v>
      </c>
      <c r="C86" s="10" t="s">
        <v>848</v>
      </c>
      <c r="D86" t="s">
        <v>1086</v>
      </c>
      <c r="E86" s="1" t="s">
        <v>1087</v>
      </c>
      <c r="F86" t="s">
        <v>1088</v>
      </c>
    </row>
    <row r="87" spans="1:6">
      <c r="A87" t="str">
        <f t="shared" si="1"/>
        <v>2013A11</v>
      </c>
      <c r="B87">
        <v>2013</v>
      </c>
      <c r="C87" s="10" t="s">
        <v>973</v>
      </c>
      <c r="D87" t="s">
        <v>1089</v>
      </c>
      <c r="E87" s="1" t="s">
        <v>1090</v>
      </c>
      <c r="F87" t="s">
        <v>1091</v>
      </c>
    </row>
    <row r="88" spans="1:6">
      <c r="A88" t="str">
        <f t="shared" si="1"/>
        <v>2013A12</v>
      </c>
      <c r="B88">
        <v>2013</v>
      </c>
      <c r="C88" s="10" t="s">
        <v>1092</v>
      </c>
      <c r="D88" t="s">
        <v>1093</v>
      </c>
      <c r="E88" s="1" t="s">
        <v>1094</v>
      </c>
      <c r="F88" t="s">
        <v>1095</v>
      </c>
    </row>
    <row r="89" spans="1:6">
      <c r="A89" t="str">
        <f t="shared" si="1"/>
        <v>2013A13</v>
      </c>
      <c r="B89">
        <v>2013</v>
      </c>
      <c r="C89" s="10" t="s">
        <v>852</v>
      </c>
      <c r="D89" t="s">
        <v>1096</v>
      </c>
      <c r="E89" s="1" t="s">
        <v>1097</v>
      </c>
      <c r="F89" t="s">
        <v>1098</v>
      </c>
    </row>
    <row r="90" spans="1:6">
      <c r="A90" t="str">
        <f t="shared" si="1"/>
        <v>2013A17</v>
      </c>
      <c r="B90">
        <v>2013</v>
      </c>
      <c r="C90" s="10" t="s">
        <v>864</v>
      </c>
      <c r="D90" t="s">
        <v>1099</v>
      </c>
      <c r="E90" s="1" t="s">
        <v>1100</v>
      </c>
      <c r="F90" t="s">
        <v>1101</v>
      </c>
    </row>
    <row r="91" spans="1:6">
      <c r="A91" t="str">
        <f t="shared" si="1"/>
        <v>2013A19</v>
      </c>
      <c r="B91">
        <v>2013</v>
      </c>
      <c r="C91" s="10" t="s">
        <v>1102</v>
      </c>
      <c r="D91" t="s">
        <v>1103</v>
      </c>
      <c r="E91" s="1" t="s">
        <v>1104</v>
      </c>
      <c r="F91" t="s">
        <v>1105</v>
      </c>
    </row>
    <row r="92" spans="1:6">
      <c r="A92" t="str">
        <f t="shared" si="1"/>
        <v>2013A3</v>
      </c>
      <c r="B92">
        <v>2013</v>
      </c>
      <c r="C92" s="10" t="s">
        <v>941</v>
      </c>
      <c r="D92" t="s">
        <v>1106</v>
      </c>
      <c r="E92" s="1" t="s">
        <v>1107</v>
      </c>
      <c r="F92" t="s">
        <v>1108</v>
      </c>
    </row>
    <row r="93" spans="1:6">
      <c r="A93" t="str">
        <f t="shared" si="1"/>
        <v>2013A30</v>
      </c>
      <c r="B93">
        <v>2013</v>
      </c>
      <c r="C93" s="10" t="s">
        <v>880</v>
      </c>
      <c r="D93" t="s">
        <v>1109</v>
      </c>
      <c r="E93" s="1" t="s">
        <v>1110</v>
      </c>
      <c r="F93" t="s">
        <v>1111</v>
      </c>
    </row>
    <row r="94" spans="1:6">
      <c r="A94" t="str">
        <f t="shared" si="1"/>
        <v>2013A33</v>
      </c>
      <c r="B94">
        <v>2013</v>
      </c>
      <c r="C94" s="10" t="s">
        <v>1112</v>
      </c>
      <c r="D94" t="s">
        <v>1113</v>
      </c>
      <c r="E94" s="1" t="s">
        <v>1114</v>
      </c>
      <c r="F94" t="s">
        <v>1115</v>
      </c>
    </row>
    <row r="95" spans="1:6">
      <c r="A95" t="str">
        <f t="shared" si="1"/>
        <v>2013A34</v>
      </c>
      <c r="B95">
        <v>2013</v>
      </c>
      <c r="C95" s="10" t="s">
        <v>1116</v>
      </c>
      <c r="D95" t="s">
        <v>1117</v>
      </c>
      <c r="E95" s="1" t="s">
        <v>1118</v>
      </c>
      <c r="F95" t="s">
        <v>1119</v>
      </c>
    </row>
    <row r="96" spans="1:6">
      <c r="A96" t="str">
        <f t="shared" si="1"/>
        <v>2013A42</v>
      </c>
      <c r="B96">
        <v>2013</v>
      </c>
      <c r="C96" s="9" t="s">
        <v>1120</v>
      </c>
      <c r="D96" t="s">
        <v>1121</v>
      </c>
      <c r="E96" s="1" t="s">
        <v>1122</v>
      </c>
      <c r="F96" t="s">
        <v>1123</v>
      </c>
    </row>
    <row r="97" spans="1:6">
      <c r="A97" t="str">
        <f t="shared" si="1"/>
        <v>2013A45</v>
      </c>
      <c r="B97">
        <v>2013</v>
      </c>
      <c r="C97" s="10" t="s">
        <v>1124</v>
      </c>
      <c r="D97" t="s">
        <v>1125</v>
      </c>
      <c r="E97" s="1" t="s">
        <v>1126</v>
      </c>
      <c r="F97" t="s">
        <v>1127</v>
      </c>
    </row>
    <row r="98" spans="1:6">
      <c r="A98" t="str">
        <f t="shared" si="1"/>
        <v>2013A46</v>
      </c>
      <c r="B98">
        <v>2013</v>
      </c>
      <c r="C98" s="10" t="s">
        <v>1128</v>
      </c>
      <c r="D98" t="s">
        <v>1129</v>
      </c>
      <c r="E98" s="1" t="s">
        <v>1130</v>
      </c>
      <c r="F98" t="s">
        <v>1131</v>
      </c>
    </row>
    <row r="99" spans="1:6">
      <c r="A99" t="str">
        <f t="shared" si="1"/>
        <v>2013A47</v>
      </c>
      <c r="B99">
        <v>2013</v>
      </c>
      <c r="C99" s="10" t="s">
        <v>1132</v>
      </c>
      <c r="D99" t="s">
        <v>1133</v>
      </c>
      <c r="E99" s="1" t="s">
        <v>1134</v>
      </c>
      <c r="F99" t="s">
        <v>1135</v>
      </c>
    </row>
    <row r="100" spans="1:6">
      <c r="A100" t="str">
        <f t="shared" si="1"/>
        <v>2013A5</v>
      </c>
      <c r="B100">
        <v>2013</v>
      </c>
      <c r="C100" s="10" t="s">
        <v>1136</v>
      </c>
      <c r="D100" t="s">
        <v>1137</v>
      </c>
      <c r="E100" s="1" t="s">
        <v>1138</v>
      </c>
      <c r="F100" t="s">
        <v>1139</v>
      </c>
    </row>
    <row r="101" spans="1:6">
      <c r="A101" t="str">
        <f t="shared" si="1"/>
        <v>2013A51</v>
      </c>
      <c r="B101">
        <v>2013</v>
      </c>
      <c r="C101" s="10" t="s">
        <v>1140</v>
      </c>
      <c r="D101" t="s">
        <v>1141</v>
      </c>
      <c r="E101" s="1" t="s">
        <v>1142</v>
      </c>
      <c r="F101" t="s">
        <v>1143</v>
      </c>
    </row>
    <row r="102" spans="1:6">
      <c r="A102" t="str">
        <f t="shared" si="1"/>
        <v>2013A57</v>
      </c>
      <c r="B102">
        <v>2013</v>
      </c>
      <c r="C102" s="9" t="s">
        <v>1144</v>
      </c>
      <c r="D102" t="s">
        <v>1145</v>
      </c>
      <c r="E102" s="1" t="s">
        <v>1146</v>
      </c>
      <c r="F102" t="s">
        <v>1147</v>
      </c>
    </row>
    <row r="103" spans="1:6">
      <c r="A103" t="str">
        <f t="shared" si="1"/>
        <v>2013A62</v>
      </c>
      <c r="B103">
        <v>2013</v>
      </c>
      <c r="C103" s="9" t="s">
        <v>1148</v>
      </c>
      <c r="D103" t="s">
        <v>1149</v>
      </c>
      <c r="E103" s="1" t="s">
        <v>1150</v>
      </c>
      <c r="F103" t="s">
        <v>1151</v>
      </c>
    </row>
    <row r="104" spans="1:6">
      <c r="A104" t="str">
        <f t="shared" si="1"/>
        <v>2013A8</v>
      </c>
      <c r="B104">
        <v>2013</v>
      </c>
      <c r="C104" s="9" t="s">
        <v>1012</v>
      </c>
      <c r="D104" t="s">
        <v>1152</v>
      </c>
      <c r="E104" s="1" t="s">
        <v>1153</v>
      </c>
      <c r="F104" t="s">
        <v>1154</v>
      </c>
    </row>
    <row r="105" spans="1:6">
      <c r="A105" t="str">
        <f t="shared" si="1"/>
        <v>2013D14</v>
      </c>
      <c r="B105">
        <v>2013</v>
      </c>
      <c r="C105" s="10" t="s">
        <v>1155</v>
      </c>
      <c r="D105" t="s">
        <v>1156</v>
      </c>
      <c r="E105" s="1" t="s">
        <v>1157</v>
      </c>
      <c r="F105" t="s">
        <v>1158</v>
      </c>
    </row>
    <row r="106" spans="1:6">
      <c r="A106" t="str">
        <f t="shared" si="1"/>
        <v>2013D16</v>
      </c>
      <c r="B106">
        <v>2013</v>
      </c>
      <c r="C106" s="9" t="s">
        <v>1159</v>
      </c>
      <c r="D106" t="s">
        <v>1160</v>
      </c>
      <c r="E106" s="1" t="s">
        <v>1161</v>
      </c>
      <c r="F106" t="s">
        <v>1162</v>
      </c>
    </row>
    <row r="107" spans="1:6">
      <c r="A107" t="str">
        <f t="shared" si="1"/>
        <v>2013D20</v>
      </c>
      <c r="B107">
        <v>2013</v>
      </c>
      <c r="C107" s="9" t="s">
        <v>1163</v>
      </c>
      <c r="D107" t="s">
        <v>1164</v>
      </c>
      <c r="E107" s="1" t="s">
        <v>1165</v>
      </c>
      <c r="F107" t="s">
        <v>1166</v>
      </c>
    </row>
    <row r="108" spans="1:6">
      <c r="A108" t="str">
        <f t="shared" si="1"/>
        <v>2013D25</v>
      </c>
      <c r="B108">
        <v>2013</v>
      </c>
      <c r="C108" s="9" t="s">
        <v>1167</v>
      </c>
      <c r="D108" t="s">
        <v>1168</v>
      </c>
      <c r="E108" s="1" t="s">
        <v>1169</v>
      </c>
      <c r="F108" t="s">
        <v>1170</v>
      </c>
    </row>
    <row r="109" spans="1:6">
      <c r="A109" t="str">
        <f t="shared" si="1"/>
        <v>2013D28</v>
      </c>
      <c r="B109">
        <v>2013</v>
      </c>
      <c r="C109" s="9" t="s">
        <v>1171</v>
      </c>
      <c r="D109" t="s">
        <v>1172</v>
      </c>
      <c r="E109" s="1" t="s">
        <v>1173</v>
      </c>
      <c r="F109" t="s">
        <v>1174</v>
      </c>
    </row>
    <row r="110" spans="1:6">
      <c r="A110" t="str">
        <f t="shared" si="1"/>
        <v>2013D30</v>
      </c>
      <c r="B110">
        <v>2013</v>
      </c>
      <c r="C110" s="9" t="s">
        <v>1175</v>
      </c>
      <c r="D110" t="s">
        <v>1176</v>
      </c>
      <c r="E110" s="1" t="s">
        <v>1177</v>
      </c>
      <c r="F110" t="s">
        <v>1178</v>
      </c>
    </row>
    <row r="111" spans="1:6">
      <c r="A111" t="str">
        <f t="shared" si="1"/>
        <v>2013D36</v>
      </c>
      <c r="B111">
        <v>2013</v>
      </c>
      <c r="C111" s="10" t="s">
        <v>1179</v>
      </c>
      <c r="D111" t="s">
        <v>1180</v>
      </c>
      <c r="E111" s="1" t="s">
        <v>1181</v>
      </c>
      <c r="F111" t="s">
        <v>1182</v>
      </c>
    </row>
    <row r="112" spans="1:6">
      <c r="A112" t="str">
        <f t="shared" si="1"/>
        <v>2013D37</v>
      </c>
      <c r="B112">
        <v>2013</v>
      </c>
      <c r="C112" s="9" t="s">
        <v>1183</v>
      </c>
      <c r="D112" t="s">
        <v>1184</v>
      </c>
      <c r="E112" s="1" t="s">
        <v>1185</v>
      </c>
      <c r="F112" t="s">
        <v>1186</v>
      </c>
    </row>
    <row r="113" spans="1:6">
      <c r="A113" t="str">
        <f t="shared" si="1"/>
        <v>2013D4</v>
      </c>
      <c r="B113">
        <v>2013</v>
      </c>
      <c r="C113" s="10" t="s">
        <v>949</v>
      </c>
      <c r="D113" t="s">
        <v>1187</v>
      </c>
      <c r="E113" t="s">
        <v>1188</v>
      </c>
      <c r="F113" t="s">
        <v>1189</v>
      </c>
    </row>
    <row r="114" spans="1:6">
      <c r="A114" t="str">
        <f t="shared" si="1"/>
        <v>2013D45</v>
      </c>
      <c r="B114">
        <v>2013</v>
      </c>
      <c r="C114" s="9" t="s">
        <v>1190</v>
      </c>
      <c r="D114" t="s">
        <v>1191</v>
      </c>
      <c r="E114" s="1" t="s">
        <v>1192</v>
      </c>
      <c r="F114" t="s">
        <v>1193</v>
      </c>
    </row>
    <row r="115" spans="1:6">
      <c r="A115" t="str">
        <f t="shared" si="1"/>
        <v>2013D46</v>
      </c>
      <c r="B115">
        <v>2013</v>
      </c>
      <c r="C115" s="10" t="s">
        <v>1194</v>
      </c>
      <c r="D115" t="s">
        <v>1195</v>
      </c>
      <c r="E115" s="1" t="s">
        <v>1196</v>
      </c>
      <c r="F115" t="s">
        <v>1197</v>
      </c>
    </row>
    <row r="116" spans="1:6">
      <c r="A116" t="str">
        <f t="shared" si="1"/>
        <v>2013D5</v>
      </c>
      <c r="B116">
        <v>2013</v>
      </c>
      <c r="C116" s="9" t="s">
        <v>1198</v>
      </c>
      <c r="D116" t="s">
        <v>1199</v>
      </c>
      <c r="E116" s="1" t="s">
        <v>1200</v>
      </c>
      <c r="F116" t="s">
        <v>1201</v>
      </c>
    </row>
    <row r="117" spans="1:6">
      <c r="A117" t="str">
        <f t="shared" si="1"/>
        <v>2013F18</v>
      </c>
      <c r="B117">
        <v>2013</v>
      </c>
      <c r="C117" s="10" t="s">
        <v>965</v>
      </c>
      <c r="D117" t="s">
        <v>1202</v>
      </c>
      <c r="E117" s="1" t="s">
        <v>1203</v>
      </c>
      <c r="F117" t="s">
        <v>1204</v>
      </c>
    </row>
    <row r="118" spans="1:6">
      <c r="A118" t="str">
        <f t="shared" si="1"/>
        <v>2016A11</v>
      </c>
      <c r="B118">
        <v>2016</v>
      </c>
      <c r="C118" s="6" t="s">
        <v>973</v>
      </c>
      <c r="D118" t="s">
        <v>1205</v>
      </c>
      <c r="E118" t="s">
        <v>1206</v>
      </c>
      <c r="F118" t="s">
        <v>1207</v>
      </c>
    </row>
    <row r="119" spans="1:6">
      <c r="A119" t="str">
        <f t="shared" si="1"/>
        <v>2016A19</v>
      </c>
      <c r="B119">
        <v>2016</v>
      </c>
      <c r="C119" s="6" t="s">
        <v>1102</v>
      </c>
      <c r="D119" t="s">
        <v>1208</v>
      </c>
      <c r="E119" t="s">
        <v>1209</v>
      </c>
      <c r="F119" t="s">
        <v>1210</v>
      </c>
    </row>
    <row r="120" spans="1:6">
      <c r="A120" t="str">
        <f t="shared" si="1"/>
        <v>2016A35</v>
      </c>
      <c r="B120">
        <v>2016</v>
      </c>
      <c r="C120" s="6" t="s">
        <v>1211</v>
      </c>
      <c r="D120" t="s">
        <v>1212</v>
      </c>
      <c r="E120" t="s">
        <v>1213</v>
      </c>
      <c r="F120" t="s">
        <v>1214</v>
      </c>
    </row>
    <row r="121" spans="1:6">
      <c r="A121" t="str">
        <f t="shared" si="1"/>
        <v>2016A45</v>
      </c>
      <c r="B121">
        <v>2016</v>
      </c>
      <c r="C121" s="6" t="s">
        <v>1124</v>
      </c>
      <c r="D121" t="s">
        <v>1215</v>
      </c>
      <c r="E121" t="s">
        <v>1216</v>
      </c>
      <c r="F121" t="s">
        <v>1217</v>
      </c>
    </row>
    <row r="122" spans="1:6">
      <c r="A122" t="str">
        <f t="shared" si="1"/>
        <v>2016A47a</v>
      </c>
      <c r="B122">
        <v>2016</v>
      </c>
      <c r="C122" s="6" t="s">
        <v>1218</v>
      </c>
      <c r="D122" t="s">
        <v>1219</v>
      </c>
      <c r="E122" t="s">
        <v>1220</v>
      </c>
      <c r="F122" t="s">
        <v>1221</v>
      </c>
    </row>
    <row r="123" spans="1:6">
      <c r="A123" t="str">
        <f t="shared" si="1"/>
        <v>2016A59a</v>
      </c>
      <c r="B123">
        <v>2016</v>
      </c>
      <c r="C123" s="6" t="s">
        <v>1222</v>
      </c>
      <c r="D123" t="s">
        <v>1223</v>
      </c>
      <c r="E123" t="s">
        <v>1224</v>
      </c>
      <c r="F123" t="s">
        <v>1225</v>
      </c>
    </row>
    <row r="124" spans="1:6">
      <c r="A124" t="str">
        <f t="shared" si="1"/>
        <v>2016A61a</v>
      </c>
      <c r="B124">
        <v>2016</v>
      </c>
      <c r="C124" s="6" t="s">
        <v>1226</v>
      </c>
      <c r="D124" t="s">
        <v>1227</v>
      </c>
      <c r="E124" t="s">
        <v>1228</v>
      </c>
      <c r="F124" t="s">
        <v>1229</v>
      </c>
    </row>
    <row r="125" spans="1:6">
      <c r="A125" t="str">
        <f t="shared" si="1"/>
        <v>2016A68</v>
      </c>
      <c r="B125">
        <v>2016</v>
      </c>
      <c r="C125" s="6" t="s">
        <v>1230</v>
      </c>
      <c r="D125" t="s">
        <v>1231</v>
      </c>
      <c r="E125" t="s">
        <v>1232</v>
      </c>
      <c r="F125" t="s">
        <v>1233</v>
      </c>
    </row>
    <row r="126" spans="1:6">
      <c r="A126" t="str">
        <f t="shared" si="1"/>
        <v>2016D101-2nd</v>
      </c>
      <c r="B126">
        <v>2016</v>
      </c>
      <c r="C126" s="6" t="s">
        <v>1234</v>
      </c>
      <c r="D126" t="s">
        <v>1235</v>
      </c>
      <c r="E126" t="s">
        <v>1236</v>
      </c>
      <c r="F126" t="s">
        <v>1237</v>
      </c>
    </row>
    <row r="127" spans="1:6">
      <c r="A127" t="str">
        <f t="shared" si="1"/>
        <v>2016D15</v>
      </c>
      <c r="B127">
        <v>2016</v>
      </c>
      <c r="C127" s="6" t="s">
        <v>1238</v>
      </c>
      <c r="D127" t="s">
        <v>1239</v>
      </c>
      <c r="E127" t="s">
        <v>1240</v>
      </c>
      <c r="F127" t="s">
        <v>1241</v>
      </c>
    </row>
    <row r="128" spans="1:6">
      <c r="A128" t="str">
        <f t="shared" si="1"/>
        <v>2016D15-2nd</v>
      </c>
      <c r="B128">
        <v>2016</v>
      </c>
      <c r="C128" s="6" t="s">
        <v>1242</v>
      </c>
      <c r="D128" t="s">
        <v>1243</v>
      </c>
      <c r="E128" t="s">
        <v>1244</v>
      </c>
      <c r="F128" t="s">
        <v>1245</v>
      </c>
    </row>
    <row r="129" spans="1:6">
      <c r="A129" t="str">
        <f t="shared" si="1"/>
        <v>2016D18</v>
      </c>
      <c r="B129">
        <v>2016</v>
      </c>
      <c r="C129" s="6" t="s">
        <v>1246</v>
      </c>
      <c r="D129" t="s">
        <v>1247</v>
      </c>
      <c r="E129" t="s">
        <v>1248</v>
      </c>
      <c r="F129" t="s">
        <v>1249</v>
      </c>
    </row>
    <row r="130" spans="1:6">
      <c r="A130" t="str">
        <f t="shared" ref="A130:A193" si="2">B130&amp;""&amp;C130</f>
        <v>2016D19</v>
      </c>
      <c r="B130">
        <v>2016</v>
      </c>
      <c r="C130" s="6" t="s">
        <v>1250</v>
      </c>
      <c r="D130" t="s">
        <v>1251</v>
      </c>
      <c r="E130" t="s">
        <v>1252</v>
      </c>
      <c r="F130" t="s">
        <v>1253</v>
      </c>
    </row>
    <row r="131" spans="1:6">
      <c r="A131" t="str">
        <f t="shared" si="2"/>
        <v>2016D19-2nd</v>
      </c>
      <c r="B131">
        <v>2016</v>
      </c>
      <c r="C131" s="6" t="s">
        <v>1254</v>
      </c>
      <c r="D131" t="s">
        <v>1255</v>
      </c>
      <c r="E131" t="s">
        <v>1256</v>
      </c>
      <c r="F131" t="s">
        <v>1257</v>
      </c>
    </row>
    <row r="132" spans="1:6">
      <c r="A132" t="str">
        <f t="shared" si="2"/>
        <v>2016D21</v>
      </c>
      <c r="B132">
        <v>2016</v>
      </c>
      <c r="C132" s="6" t="s">
        <v>1258</v>
      </c>
      <c r="D132" t="s">
        <v>1259</v>
      </c>
      <c r="E132" t="s">
        <v>1260</v>
      </c>
      <c r="F132" t="s">
        <v>1261</v>
      </c>
    </row>
    <row r="133" spans="1:6">
      <c r="A133" s="7" t="str">
        <f t="shared" si="2"/>
        <v>2016D23-2nd</v>
      </c>
      <c r="B133" s="7">
        <v>2016</v>
      </c>
      <c r="C133" s="12" t="s">
        <v>1262</v>
      </c>
      <c r="D133" s="7" t="s">
        <v>1239</v>
      </c>
      <c r="E133" s="7" t="s">
        <v>1240</v>
      </c>
      <c r="F133" s="7" t="s">
        <v>1241</v>
      </c>
    </row>
    <row r="134" spans="1:6">
      <c r="A134" t="str">
        <f t="shared" si="2"/>
        <v>2016D24</v>
      </c>
      <c r="B134">
        <v>2016</v>
      </c>
      <c r="C134" s="6" t="s">
        <v>1263</v>
      </c>
      <c r="D134" t="s">
        <v>1264</v>
      </c>
      <c r="E134" t="s">
        <v>1265</v>
      </c>
      <c r="F134" t="s">
        <v>1266</v>
      </c>
    </row>
    <row r="135" spans="1:6">
      <c r="A135" t="str">
        <f t="shared" si="2"/>
        <v>2016D25</v>
      </c>
      <c r="B135">
        <v>2016</v>
      </c>
      <c r="C135" s="6" t="s">
        <v>1167</v>
      </c>
      <c r="D135" t="s">
        <v>1267</v>
      </c>
      <c r="E135" t="s">
        <v>1268</v>
      </c>
      <c r="F135" t="s">
        <v>1269</v>
      </c>
    </row>
    <row r="136" spans="1:6">
      <c r="A136" t="str">
        <f t="shared" si="2"/>
        <v>2016D32-2nd</v>
      </c>
      <c r="B136">
        <v>2016</v>
      </c>
      <c r="C136" s="6" t="s">
        <v>1270</v>
      </c>
      <c r="D136" t="s">
        <v>1271</v>
      </c>
      <c r="E136" t="s">
        <v>1272</v>
      </c>
      <c r="F136" t="s">
        <v>1273</v>
      </c>
    </row>
    <row r="137" spans="1:6">
      <c r="A137" t="str">
        <f t="shared" si="2"/>
        <v>2016D35</v>
      </c>
      <c r="B137">
        <v>2016</v>
      </c>
      <c r="C137" s="6" t="s">
        <v>1274</v>
      </c>
      <c r="D137" t="s">
        <v>1275</v>
      </c>
      <c r="E137" t="s">
        <v>1276</v>
      </c>
      <c r="F137" t="s">
        <v>1277</v>
      </c>
    </row>
    <row r="138" spans="1:6">
      <c r="A138" t="str">
        <f t="shared" si="2"/>
        <v>2016D40-2nd</v>
      </c>
      <c r="B138">
        <v>2016</v>
      </c>
      <c r="C138" s="6" t="s">
        <v>1278</v>
      </c>
      <c r="D138" t="s">
        <v>1279</v>
      </c>
      <c r="E138" t="s">
        <v>1280</v>
      </c>
      <c r="F138" t="s">
        <v>1281</v>
      </c>
    </row>
    <row r="139" spans="1:6">
      <c r="A139" t="str">
        <f t="shared" si="2"/>
        <v>2016D41-2nd</v>
      </c>
      <c r="B139">
        <v>2016</v>
      </c>
      <c r="C139" s="6" t="s">
        <v>1282</v>
      </c>
      <c r="D139" t="s">
        <v>1283</v>
      </c>
      <c r="E139" t="s">
        <v>1284</v>
      </c>
      <c r="F139" t="s">
        <v>1285</v>
      </c>
    </row>
    <row r="140" spans="1:6">
      <c r="A140" t="str">
        <f t="shared" si="2"/>
        <v>2016D4-2nd</v>
      </c>
      <c r="B140">
        <v>2016</v>
      </c>
      <c r="C140" s="6" t="s">
        <v>1286</v>
      </c>
      <c r="D140" t="s">
        <v>1287</v>
      </c>
      <c r="E140" t="s">
        <v>1288</v>
      </c>
      <c r="F140" t="s">
        <v>1289</v>
      </c>
    </row>
    <row r="141" spans="1:6">
      <c r="A141" t="str">
        <f t="shared" si="2"/>
        <v>2016D48-2nd</v>
      </c>
      <c r="B141">
        <v>2016</v>
      </c>
      <c r="C141" s="6" t="s">
        <v>1290</v>
      </c>
      <c r="D141" t="s">
        <v>1291</v>
      </c>
      <c r="E141" t="s">
        <v>1280</v>
      </c>
      <c r="F141" t="s">
        <v>1292</v>
      </c>
    </row>
    <row r="142" spans="1:6">
      <c r="A142" t="str">
        <f t="shared" si="2"/>
        <v>2016D5</v>
      </c>
      <c r="B142">
        <v>2016</v>
      </c>
      <c r="C142" s="6" t="s">
        <v>1198</v>
      </c>
      <c r="D142" t="s">
        <v>1293</v>
      </c>
      <c r="E142" t="s">
        <v>1294</v>
      </c>
      <c r="F142" t="s">
        <v>1295</v>
      </c>
    </row>
    <row r="143" spans="1:6">
      <c r="A143" t="str">
        <f t="shared" si="2"/>
        <v>2016D7</v>
      </c>
      <c r="B143">
        <v>2016</v>
      </c>
      <c r="C143" s="6" t="s">
        <v>953</v>
      </c>
      <c r="D143" t="s">
        <v>1296</v>
      </c>
      <c r="E143" t="s">
        <v>1297</v>
      </c>
      <c r="F143" t="s">
        <v>1298</v>
      </c>
    </row>
    <row r="144" spans="1:6">
      <c r="A144" t="str">
        <f t="shared" si="2"/>
        <v>2016E20</v>
      </c>
      <c r="B144">
        <v>2016</v>
      </c>
      <c r="C144" s="6" t="s">
        <v>1299</v>
      </c>
      <c r="D144" t="s">
        <v>1300</v>
      </c>
      <c r="E144" t="s">
        <v>1301</v>
      </c>
      <c r="F144" t="s">
        <v>1302</v>
      </c>
    </row>
    <row r="145" spans="1:6">
      <c r="A145" t="str">
        <f t="shared" si="2"/>
        <v>2016E59</v>
      </c>
      <c r="B145">
        <v>2016</v>
      </c>
      <c r="C145" s="6" t="s">
        <v>1303</v>
      </c>
      <c r="D145" t="s">
        <v>1304</v>
      </c>
      <c r="E145" t="s">
        <v>1305</v>
      </c>
      <c r="F145" t="s">
        <v>1306</v>
      </c>
    </row>
    <row r="146" spans="1:6">
      <c r="A146" t="str">
        <f t="shared" si="2"/>
        <v>2016E65</v>
      </c>
      <c r="B146">
        <v>2016</v>
      </c>
      <c r="C146" s="6" t="s">
        <v>1307</v>
      </c>
      <c r="D146" t="s">
        <v>1308</v>
      </c>
      <c r="E146" t="s">
        <v>1309</v>
      </c>
      <c r="F146" t="s">
        <v>1310</v>
      </c>
    </row>
    <row r="147" spans="1:6">
      <c r="A147" t="str">
        <f t="shared" si="2"/>
        <v>2016E99</v>
      </c>
      <c r="B147">
        <v>2016</v>
      </c>
      <c r="C147" s="6" t="s">
        <v>1311</v>
      </c>
      <c r="D147" t="s">
        <v>1312</v>
      </c>
      <c r="E147" t="s">
        <v>1313</v>
      </c>
      <c r="F147" t="s">
        <v>1314</v>
      </c>
    </row>
    <row r="148" spans="1:6">
      <c r="A148" t="str">
        <f t="shared" si="2"/>
        <v>2016F19</v>
      </c>
      <c r="B148">
        <v>2016</v>
      </c>
      <c r="C148" s="6" t="s">
        <v>1070</v>
      </c>
      <c r="D148" t="s">
        <v>1315</v>
      </c>
      <c r="E148" t="s">
        <v>1316</v>
      </c>
      <c r="F148" t="s">
        <v>1317</v>
      </c>
    </row>
    <row r="149" spans="1:6">
      <c r="A149" t="str">
        <f t="shared" si="2"/>
        <v>2016F30a</v>
      </c>
      <c r="B149">
        <v>2016</v>
      </c>
      <c r="C149" s="6" t="s">
        <v>1318</v>
      </c>
      <c r="D149" t="s">
        <v>1319</v>
      </c>
      <c r="E149" t="s">
        <v>1320</v>
      </c>
      <c r="F149" t="s">
        <v>1321</v>
      </c>
    </row>
    <row r="150" spans="1:6">
      <c r="A150" s="1" t="str">
        <f t="shared" si="2"/>
        <v>2016F8</v>
      </c>
      <c r="B150" s="1">
        <v>2016</v>
      </c>
      <c r="C150" s="10" t="s">
        <v>1322</v>
      </c>
      <c r="D150" t="s">
        <v>1323</v>
      </c>
      <c r="E150" t="s">
        <v>1324</v>
      </c>
      <c r="F150" t="s">
        <v>1325</v>
      </c>
    </row>
    <row r="151" spans="1:6">
      <c r="A151" t="str">
        <f t="shared" si="2"/>
        <v>2017A16</v>
      </c>
      <c r="B151">
        <v>2017</v>
      </c>
      <c r="C151" s="6" t="s">
        <v>860</v>
      </c>
      <c r="D151" t="s">
        <v>1326</v>
      </c>
      <c r="E151" t="s">
        <v>1327</v>
      </c>
      <c r="F151" t="s">
        <v>1328</v>
      </c>
    </row>
    <row r="152" spans="1:6">
      <c r="A152" t="str">
        <f t="shared" si="2"/>
        <v>2017A24</v>
      </c>
      <c r="B152">
        <v>2017</v>
      </c>
      <c r="C152" s="6" t="s">
        <v>1329</v>
      </c>
      <c r="D152" t="s">
        <v>1330</v>
      </c>
      <c r="E152" t="s">
        <v>1331</v>
      </c>
      <c r="F152" t="s">
        <v>1332</v>
      </c>
    </row>
    <row r="153" spans="1:6">
      <c r="A153" t="str">
        <f t="shared" si="2"/>
        <v>2017A28</v>
      </c>
      <c r="B153">
        <v>2017</v>
      </c>
      <c r="C153" s="6" t="s">
        <v>876</v>
      </c>
      <c r="D153" t="s">
        <v>1333</v>
      </c>
      <c r="E153" t="s">
        <v>1334</v>
      </c>
      <c r="F153" t="s">
        <v>1335</v>
      </c>
    </row>
    <row r="154" spans="1:6">
      <c r="A154" t="str">
        <f t="shared" si="2"/>
        <v>2017A3</v>
      </c>
      <c r="B154">
        <v>2017</v>
      </c>
      <c r="C154" s="6" t="s">
        <v>941</v>
      </c>
      <c r="D154" t="s">
        <v>1336</v>
      </c>
      <c r="E154" t="s">
        <v>1337</v>
      </c>
      <c r="F154" t="s">
        <v>1338</v>
      </c>
    </row>
    <row r="155" spans="1:6">
      <c r="A155" t="str">
        <f t="shared" si="2"/>
        <v>2017A41</v>
      </c>
      <c r="B155">
        <v>2017</v>
      </c>
      <c r="C155" s="6" t="s">
        <v>1339</v>
      </c>
      <c r="D155" t="s">
        <v>1340</v>
      </c>
      <c r="E155" t="s">
        <v>1341</v>
      </c>
      <c r="F155" t="s">
        <v>1342</v>
      </c>
    </row>
    <row r="156" spans="1:6">
      <c r="A156" t="str">
        <f t="shared" si="2"/>
        <v>2017A44</v>
      </c>
      <c r="B156">
        <v>2017</v>
      </c>
      <c r="C156" s="6" t="s">
        <v>1343</v>
      </c>
      <c r="D156" t="s">
        <v>1344</v>
      </c>
      <c r="E156" t="s">
        <v>1345</v>
      </c>
      <c r="F156" t="s">
        <v>1346</v>
      </c>
    </row>
    <row r="157" spans="1:6">
      <c r="A157" t="str">
        <f t="shared" si="2"/>
        <v>2017A45</v>
      </c>
      <c r="B157">
        <v>2017</v>
      </c>
      <c r="C157" s="6" t="s">
        <v>1124</v>
      </c>
      <c r="D157" t="s">
        <v>1347</v>
      </c>
      <c r="E157" t="s">
        <v>1348</v>
      </c>
      <c r="F157" t="s">
        <v>1349</v>
      </c>
    </row>
    <row r="158" spans="1:6">
      <c r="A158" t="str">
        <f t="shared" si="2"/>
        <v>2017A48</v>
      </c>
      <c r="B158">
        <v>2017</v>
      </c>
      <c r="C158" s="6" t="s">
        <v>1350</v>
      </c>
      <c r="D158" t="s">
        <v>1351</v>
      </c>
      <c r="E158" t="s">
        <v>1352</v>
      </c>
      <c r="F158" t="s">
        <v>1353</v>
      </c>
    </row>
    <row r="159" spans="1:6">
      <c r="A159" t="str">
        <f t="shared" si="2"/>
        <v>2017A50</v>
      </c>
      <c r="B159">
        <v>2017</v>
      </c>
      <c r="C159" s="6" t="s">
        <v>1354</v>
      </c>
      <c r="D159" t="s">
        <v>1355</v>
      </c>
      <c r="E159" t="s">
        <v>1356</v>
      </c>
      <c r="F159" t="s">
        <v>1357</v>
      </c>
    </row>
    <row r="160" spans="1:6">
      <c r="A160" t="str">
        <f t="shared" si="2"/>
        <v>2017D1</v>
      </c>
      <c r="B160">
        <v>2017</v>
      </c>
      <c r="C160" s="6" t="s">
        <v>1020</v>
      </c>
      <c r="D160" t="s">
        <v>1358</v>
      </c>
      <c r="E160" t="s">
        <v>1359</v>
      </c>
      <c r="F160" t="s">
        <v>1360</v>
      </c>
    </row>
    <row r="161" spans="1:6">
      <c r="A161" t="str">
        <f t="shared" si="2"/>
        <v>2017D15</v>
      </c>
      <c r="B161">
        <v>2017</v>
      </c>
      <c r="C161" s="6" t="s">
        <v>1238</v>
      </c>
      <c r="D161" t="s">
        <v>1361</v>
      </c>
      <c r="E161" t="s">
        <v>1362</v>
      </c>
      <c r="F161" t="s">
        <v>1363</v>
      </c>
    </row>
    <row r="162" spans="1:6">
      <c r="A162" t="str">
        <f t="shared" si="2"/>
        <v>2017D19</v>
      </c>
      <c r="B162">
        <v>2017</v>
      </c>
      <c r="C162" s="6" t="s">
        <v>1250</v>
      </c>
      <c r="D162" t="s">
        <v>1364</v>
      </c>
      <c r="E162" t="s">
        <v>1365</v>
      </c>
      <c r="F162" t="s">
        <v>1366</v>
      </c>
    </row>
    <row r="163" spans="1:6">
      <c r="A163" t="str">
        <f t="shared" si="2"/>
        <v>2017D20</v>
      </c>
      <c r="B163">
        <v>2017</v>
      </c>
      <c r="C163" s="6" t="s">
        <v>1163</v>
      </c>
      <c r="D163" t="s">
        <v>1367</v>
      </c>
      <c r="E163" t="s">
        <v>1368</v>
      </c>
      <c r="F163" t="s">
        <v>1369</v>
      </c>
    </row>
    <row r="164" spans="1:6">
      <c r="A164" t="str">
        <f t="shared" si="2"/>
        <v>2017D21</v>
      </c>
      <c r="B164">
        <v>2017</v>
      </c>
      <c r="C164" s="6" t="s">
        <v>1258</v>
      </c>
      <c r="D164" t="s">
        <v>1370</v>
      </c>
      <c r="E164" t="s">
        <v>1371</v>
      </c>
      <c r="F164" t="s">
        <v>1372</v>
      </c>
    </row>
    <row r="165" spans="1:6">
      <c r="A165" t="str">
        <f t="shared" si="2"/>
        <v>2017D22</v>
      </c>
      <c r="B165">
        <v>2017</v>
      </c>
      <c r="C165" s="6" t="s">
        <v>1373</v>
      </c>
      <c r="D165" t="s">
        <v>1374</v>
      </c>
      <c r="E165" t="s">
        <v>1375</v>
      </c>
      <c r="F165" t="s">
        <v>1376</v>
      </c>
    </row>
    <row r="166" spans="1:6">
      <c r="A166" t="str">
        <f t="shared" si="2"/>
        <v>2017D26</v>
      </c>
      <c r="B166">
        <v>2017</v>
      </c>
      <c r="C166" s="6" t="s">
        <v>1377</v>
      </c>
      <c r="D166" t="s">
        <v>1378</v>
      </c>
      <c r="E166" t="s">
        <v>1379</v>
      </c>
      <c r="F166" t="s">
        <v>1380</v>
      </c>
    </row>
    <row r="167" spans="1:6">
      <c r="A167" t="str">
        <f t="shared" si="2"/>
        <v>2017D34</v>
      </c>
      <c r="B167">
        <v>2017</v>
      </c>
      <c r="C167" s="6" t="s">
        <v>1381</v>
      </c>
      <c r="D167" t="s">
        <v>1382</v>
      </c>
      <c r="E167" t="s">
        <v>1383</v>
      </c>
      <c r="F167" t="s">
        <v>1384</v>
      </c>
    </row>
    <row r="168" spans="1:6">
      <c r="A168" t="str">
        <f t="shared" si="2"/>
        <v>2017D36</v>
      </c>
      <c r="B168">
        <v>2017</v>
      </c>
      <c r="C168" s="6" t="s">
        <v>1179</v>
      </c>
      <c r="D168" t="s">
        <v>1385</v>
      </c>
      <c r="E168" t="s">
        <v>1386</v>
      </c>
      <c r="F168" t="s">
        <v>1387</v>
      </c>
    </row>
    <row r="169" spans="1:6">
      <c r="A169" t="str">
        <f t="shared" si="2"/>
        <v>2017D39</v>
      </c>
      <c r="B169">
        <v>2017</v>
      </c>
      <c r="C169" s="6" t="s">
        <v>1388</v>
      </c>
      <c r="D169" t="s">
        <v>1389</v>
      </c>
      <c r="E169" t="s">
        <v>1390</v>
      </c>
      <c r="F169" t="s">
        <v>1391</v>
      </c>
    </row>
    <row r="170" spans="1:6" s="7" customFormat="1">
      <c r="A170" t="str">
        <f t="shared" si="2"/>
        <v>2017D43</v>
      </c>
      <c r="B170">
        <v>2017</v>
      </c>
      <c r="C170" s="6" t="s">
        <v>1392</v>
      </c>
      <c r="D170" t="s">
        <v>1393</v>
      </c>
      <c r="E170" t="s">
        <v>1394</v>
      </c>
      <c r="F170" t="s">
        <v>1395</v>
      </c>
    </row>
    <row r="171" spans="1:6">
      <c r="A171" t="str">
        <f t="shared" si="2"/>
        <v>2017D45</v>
      </c>
      <c r="B171">
        <v>2017</v>
      </c>
      <c r="C171" s="6" t="s">
        <v>1190</v>
      </c>
      <c r="D171" t="s">
        <v>1396</v>
      </c>
      <c r="E171" t="s">
        <v>1397</v>
      </c>
      <c r="F171" t="s">
        <v>1398</v>
      </c>
    </row>
    <row r="172" spans="1:6">
      <c r="A172" t="str">
        <f t="shared" si="2"/>
        <v>2017D5</v>
      </c>
      <c r="B172">
        <v>2017</v>
      </c>
      <c r="C172" s="6" t="s">
        <v>1198</v>
      </c>
      <c r="D172" t="s">
        <v>1399</v>
      </c>
      <c r="E172" t="s">
        <v>1400</v>
      </c>
      <c r="F172" t="s">
        <v>1401</v>
      </c>
    </row>
    <row r="173" spans="1:6">
      <c r="A173" t="str">
        <f t="shared" si="2"/>
        <v>2017D50</v>
      </c>
      <c r="B173">
        <v>2017</v>
      </c>
      <c r="C173" s="6" t="s">
        <v>1402</v>
      </c>
      <c r="D173" t="s">
        <v>1403</v>
      </c>
      <c r="E173" t="s">
        <v>1404</v>
      </c>
      <c r="F173" t="s">
        <v>1405</v>
      </c>
    </row>
    <row r="174" spans="1:6">
      <c r="A174" t="str">
        <f t="shared" si="2"/>
        <v>2017D55</v>
      </c>
      <c r="B174">
        <v>2017</v>
      </c>
      <c r="C174" s="6" t="s">
        <v>1406</v>
      </c>
      <c r="D174" t="s">
        <v>1407</v>
      </c>
      <c r="E174" t="s">
        <v>1408</v>
      </c>
      <c r="F174" t="s">
        <v>1409</v>
      </c>
    </row>
    <row r="175" spans="1:6">
      <c r="A175" t="str">
        <f t="shared" si="2"/>
        <v>2017D56</v>
      </c>
      <c r="B175">
        <v>2017</v>
      </c>
      <c r="C175" s="6" t="s">
        <v>1410</v>
      </c>
      <c r="D175" t="s">
        <v>1411</v>
      </c>
      <c r="E175" t="s">
        <v>1412</v>
      </c>
      <c r="F175" t="s">
        <v>1413</v>
      </c>
    </row>
    <row r="176" spans="1:6">
      <c r="A176" t="str">
        <f t="shared" si="2"/>
        <v>2017D58</v>
      </c>
      <c r="B176">
        <v>2017</v>
      </c>
      <c r="C176" s="6" t="s">
        <v>1414</v>
      </c>
      <c r="D176" t="s">
        <v>1415</v>
      </c>
      <c r="E176" t="s">
        <v>1416</v>
      </c>
      <c r="F176" t="s">
        <v>1417</v>
      </c>
    </row>
    <row r="177" spans="1:6">
      <c r="A177" t="str">
        <f t="shared" si="2"/>
        <v>2017D64</v>
      </c>
      <c r="B177">
        <v>2017</v>
      </c>
      <c r="C177" s="6" t="s">
        <v>1418</v>
      </c>
      <c r="D177" t="s">
        <v>1419</v>
      </c>
      <c r="E177" t="s">
        <v>1420</v>
      </c>
      <c r="F177" t="s">
        <v>1421</v>
      </c>
    </row>
    <row r="178" spans="1:6">
      <c r="A178" t="str">
        <f t="shared" si="2"/>
        <v>2017D68</v>
      </c>
      <c r="B178">
        <v>2017</v>
      </c>
      <c r="C178" s="6" t="s">
        <v>1422</v>
      </c>
      <c r="D178" t="s">
        <v>1423</v>
      </c>
      <c r="E178" t="s">
        <v>1424</v>
      </c>
      <c r="F178" t="s">
        <v>1425</v>
      </c>
    </row>
    <row r="179" spans="1:6">
      <c r="A179" t="str">
        <f t="shared" si="2"/>
        <v>2017D86</v>
      </c>
      <c r="B179">
        <v>2017</v>
      </c>
      <c r="C179" s="6" t="s">
        <v>1426</v>
      </c>
      <c r="D179" t="s">
        <v>1427</v>
      </c>
      <c r="E179" t="s">
        <v>1428</v>
      </c>
      <c r="F179" t="s">
        <v>1429</v>
      </c>
    </row>
    <row r="180" spans="1:6">
      <c r="A180" t="str">
        <f t="shared" si="2"/>
        <v>2017D99</v>
      </c>
      <c r="B180">
        <v>2017</v>
      </c>
      <c r="C180" s="6" t="s">
        <v>1430</v>
      </c>
      <c r="D180" t="s">
        <v>1431</v>
      </c>
      <c r="E180" t="s">
        <v>1432</v>
      </c>
      <c r="F180" t="s">
        <v>1433</v>
      </c>
    </row>
    <row r="181" spans="1:6">
      <c r="A181" t="str">
        <f t="shared" si="2"/>
        <v>2017E24</v>
      </c>
      <c r="B181">
        <v>2017</v>
      </c>
      <c r="C181" s="6" t="s">
        <v>1434</v>
      </c>
      <c r="D181" t="s">
        <v>1435</v>
      </c>
      <c r="E181" t="s">
        <v>1436</v>
      </c>
      <c r="F181" t="s">
        <v>1437</v>
      </c>
    </row>
    <row r="182" spans="1:6">
      <c r="A182" t="str">
        <f t="shared" si="2"/>
        <v>2017E27</v>
      </c>
      <c r="B182">
        <v>2017</v>
      </c>
      <c r="C182" s="6" t="s">
        <v>1438</v>
      </c>
      <c r="D182" t="s">
        <v>1439</v>
      </c>
      <c r="E182" t="s">
        <v>1440</v>
      </c>
      <c r="F182" t="s">
        <v>1441</v>
      </c>
    </row>
    <row r="183" spans="1:6">
      <c r="A183" t="str">
        <f t="shared" si="2"/>
        <v>2017E38</v>
      </c>
      <c r="B183">
        <v>2017</v>
      </c>
      <c r="C183" s="6" t="s">
        <v>1442</v>
      </c>
      <c r="D183" t="s">
        <v>1443</v>
      </c>
      <c r="E183" t="s">
        <v>1444</v>
      </c>
      <c r="F183" t="s">
        <v>1445</v>
      </c>
    </row>
    <row r="184" spans="1:6">
      <c r="A184" t="str">
        <f t="shared" si="2"/>
        <v>2017E61</v>
      </c>
      <c r="B184">
        <v>2017</v>
      </c>
      <c r="C184" s="6" t="s">
        <v>1446</v>
      </c>
      <c r="D184" t="s">
        <v>1447</v>
      </c>
      <c r="E184" t="s">
        <v>1448</v>
      </c>
      <c r="F184" t="s">
        <v>1449</v>
      </c>
    </row>
    <row r="185" spans="1:6">
      <c r="A185" t="str">
        <f t="shared" si="2"/>
        <v>2017F10</v>
      </c>
      <c r="B185">
        <v>2017</v>
      </c>
      <c r="C185" s="6" t="s">
        <v>1450</v>
      </c>
      <c r="D185" t="s">
        <v>1451</v>
      </c>
      <c r="E185" t="s">
        <v>1452</v>
      </c>
      <c r="F185" t="s">
        <v>1453</v>
      </c>
    </row>
    <row r="186" spans="1:6">
      <c r="A186" t="str">
        <f t="shared" si="2"/>
        <v>2017F25</v>
      </c>
      <c r="B186">
        <v>2017</v>
      </c>
      <c r="C186" s="6" t="s">
        <v>1454</v>
      </c>
      <c r="D186" t="s">
        <v>1455</v>
      </c>
      <c r="E186" t="s">
        <v>1456</v>
      </c>
      <c r="F186" t="s">
        <v>1457</v>
      </c>
    </row>
    <row r="187" spans="1:6">
      <c r="A187" t="str">
        <f t="shared" si="2"/>
        <v>2017G1</v>
      </c>
      <c r="B187">
        <v>2017</v>
      </c>
      <c r="C187" s="6" t="s">
        <v>1458</v>
      </c>
      <c r="D187" t="s">
        <v>1459</v>
      </c>
      <c r="E187" t="s">
        <v>1460</v>
      </c>
      <c r="F187" t="s">
        <v>1461</v>
      </c>
    </row>
    <row r="188" spans="1:6">
      <c r="A188" s="1" t="str">
        <f t="shared" si="2"/>
        <v>2004A10</v>
      </c>
      <c r="B188">
        <v>2004</v>
      </c>
      <c r="C188" s="6" t="s">
        <v>848</v>
      </c>
      <c r="D188" t="s">
        <v>1462</v>
      </c>
      <c r="E188" t="s">
        <v>1463</v>
      </c>
      <c r="F188" t="s">
        <v>1464</v>
      </c>
    </row>
    <row r="189" spans="1:6">
      <c r="A189" s="1" t="str">
        <f t="shared" si="2"/>
        <v>2004A14</v>
      </c>
      <c r="B189">
        <v>2004</v>
      </c>
      <c r="C189" s="6" t="s">
        <v>923</v>
      </c>
      <c r="D189" t="s">
        <v>1465</v>
      </c>
      <c r="E189" t="s">
        <v>1466</v>
      </c>
      <c r="F189" t="s">
        <v>1467</v>
      </c>
    </row>
    <row r="190" spans="1:6">
      <c r="A190" s="1" t="str">
        <f t="shared" si="2"/>
        <v>2004A15</v>
      </c>
      <c r="B190">
        <v>2004</v>
      </c>
      <c r="C190" s="6" t="s">
        <v>856</v>
      </c>
      <c r="D190" t="s">
        <v>1468</v>
      </c>
      <c r="E190" t="s">
        <v>1469</v>
      </c>
      <c r="F190" t="s">
        <v>1470</v>
      </c>
    </row>
    <row r="191" spans="1:6">
      <c r="A191" s="1" t="str">
        <f t="shared" si="2"/>
        <v>2004A2</v>
      </c>
      <c r="B191">
        <v>2004</v>
      </c>
      <c r="C191" s="6" t="s">
        <v>984</v>
      </c>
      <c r="D191" t="s">
        <v>1471</v>
      </c>
      <c r="E191" t="s">
        <v>1472</v>
      </c>
      <c r="F191" t="s">
        <v>1473</v>
      </c>
    </row>
    <row r="192" spans="1:6">
      <c r="A192" s="1" t="str">
        <f t="shared" si="2"/>
        <v>2003A27</v>
      </c>
      <c r="B192">
        <v>2003</v>
      </c>
      <c r="C192" s="6" t="s">
        <v>1474</v>
      </c>
      <c r="D192" t="s">
        <v>1475</v>
      </c>
      <c r="E192" t="s">
        <v>1476</v>
      </c>
      <c r="F192" t="s">
        <v>1477</v>
      </c>
    </row>
    <row r="193" spans="1:6">
      <c r="A193" s="1" t="str">
        <f t="shared" si="2"/>
        <v>2003A35</v>
      </c>
      <c r="B193">
        <v>2003</v>
      </c>
      <c r="C193" s="6" t="s">
        <v>1211</v>
      </c>
      <c r="D193" t="s">
        <v>1478</v>
      </c>
      <c r="E193" t="s">
        <v>1479</v>
      </c>
      <c r="F193" t="s">
        <v>1480</v>
      </c>
    </row>
    <row r="194" spans="1:6">
      <c r="A194" s="1" t="str">
        <f t="shared" ref="A194:A257" si="3">B194&amp;""&amp;C194</f>
        <v>2003A36</v>
      </c>
      <c r="B194">
        <v>2003</v>
      </c>
      <c r="C194" s="6" t="s">
        <v>1481</v>
      </c>
      <c r="D194" t="s">
        <v>1482</v>
      </c>
      <c r="E194" t="s">
        <v>1483</v>
      </c>
      <c r="F194" t="s">
        <v>1484</v>
      </c>
    </row>
    <row r="195" spans="1:6">
      <c r="A195" s="1" t="str">
        <f t="shared" si="3"/>
        <v>2003A37</v>
      </c>
      <c r="B195">
        <v>2003</v>
      </c>
      <c r="C195" s="6" t="s">
        <v>1485</v>
      </c>
      <c r="D195" t="s">
        <v>1486</v>
      </c>
      <c r="E195" t="s">
        <v>1487</v>
      </c>
      <c r="F195" t="s">
        <v>1488</v>
      </c>
    </row>
    <row r="196" spans="1:6">
      <c r="A196" s="1" t="str">
        <f t="shared" si="3"/>
        <v>2002A43</v>
      </c>
      <c r="B196">
        <v>2002</v>
      </c>
      <c r="C196" s="6" t="s">
        <v>1489</v>
      </c>
      <c r="D196" t="s">
        <v>1490</v>
      </c>
      <c r="E196" t="s">
        <v>1491</v>
      </c>
      <c r="F196" t="s">
        <v>1492</v>
      </c>
    </row>
    <row r="197" spans="1:6">
      <c r="A197" s="1" t="str">
        <f t="shared" si="3"/>
        <v>2002A45</v>
      </c>
      <c r="B197">
        <v>2002</v>
      </c>
      <c r="C197" s="6" t="s">
        <v>1124</v>
      </c>
      <c r="D197" t="s">
        <v>1493</v>
      </c>
      <c r="E197" t="s">
        <v>1494</v>
      </c>
      <c r="F197" t="s">
        <v>1495</v>
      </c>
    </row>
    <row r="198" spans="1:6">
      <c r="A198" s="1" t="str">
        <f t="shared" si="3"/>
        <v>2002A46</v>
      </c>
      <c r="B198" s="1">
        <v>2002</v>
      </c>
      <c r="C198" s="10" t="s">
        <v>1128</v>
      </c>
      <c r="D198" t="s">
        <v>1496</v>
      </c>
      <c r="E198" t="s">
        <v>1497</v>
      </c>
      <c r="F198" t="s">
        <v>1498</v>
      </c>
    </row>
    <row r="199" spans="1:6">
      <c r="A199" s="1" t="str">
        <f t="shared" si="3"/>
        <v>2002A47</v>
      </c>
      <c r="B199">
        <v>2002</v>
      </c>
      <c r="C199" s="6" t="s">
        <v>1132</v>
      </c>
      <c r="D199" t="s">
        <v>1499</v>
      </c>
      <c r="E199" t="s">
        <v>1500</v>
      </c>
      <c r="F199" t="s">
        <v>1501</v>
      </c>
    </row>
    <row r="200" spans="1:6">
      <c r="A200" s="1" t="str">
        <f t="shared" si="3"/>
        <v>2002A49</v>
      </c>
      <c r="B200">
        <v>2002</v>
      </c>
      <c r="C200" s="6" t="s">
        <v>1502</v>
      </c>
      <c r="D200" t="s">
        <v>1503</v>
      </c>
      <c r="E200" t="s">
        <v>1504</v>
      </c>
      <c r="F200" t="s">
        <v>1505</v>
      </c>
    </row>
    <row r="201" spans="1:6" ht="14.15" customHeight="1">
      <c r="A201" s="1" t="str">
        <f t="shared" si="3"/>
        <v>2002A50</v>
      </c>
      <c r="B201">
        <v>2002</v>
      </c>
      <c r="C201" s="6" t="s">
        <v>1354</v>
      </c>
      <c r="D201" t="s">
        <v>1506</v>
      </c>
      <c r="E201" t="s">
        <v>1507</v>
      </c>
      <c r="F201" t="s">
        <v>1508</v>
      </c>
    </row>
    <row r="202" spans="1:6">
      <c r="A202" s="1" t="str">
        <f t="shared" si="3"/>
        <v>2002A51</v>
      </c>
      <c r="B202">
        <v>2002</v>
      </c>
      <c r="C202" s="6" t="s">
        <v>1140</v>
      </c>
      <c r="D202" t="s">
        <v>1509</v>
      </c>
      <c r="E202" t="s">
        <v>1479</v>
      </c>
      <c r="F202" t="s">
        <v>1510</v>
      </c>
    </row>
    <row r="203" spans="1:6">
      <c r="A203" s="1" t="str">
        <f t="shared" si="3"/>
        <v>2002A52</v>
      </c>
      <c r="B203">
        <v>2002</v>
      </c>
      <c r="C203" s="6" t="s">
        <v>1511</v>
      </c>
      <c r="D203" t="s">
        <v>1512</v>
      </c>
      <c r="E203" t="s">
        <v>1513</v>
      </c>
      <c r="F203" t="s">
        <v>1514</v>
      </c>
    </row>
    <row r="204" spans="1:6">
      <c r="A204" s="1" t="str">
        <f t="shared" si="3"/>
        <v>2001A53</v>
      </c>
      <c r="B204">
        <v>2001</v>
      </c>
      <c r="C204" s="6" t="s">
        <v>1001</v>
      </c>
      <c r="D204" t="s">
        <v>1515</v>
      </c>
      <c r="E204" t="s">
        <v>1516</v>
      </c>
      <c r="F204" t="s">
        <v>1517</v>
      </c>
    </row>
    <row r="205" spans="1:6" ht="14.15" customHeight="1">
      <c r="A205" s="1" t="str">
        <f t="shared" si="3"/>
        <v>2001A54</v>
      </c>
      <c r="B205">
        <v>2001</v>
      </c>
      <c r="C205" s="6" t="s">
        <v>1518</v>
      </c>
      <c r="D205" t="s">
        <v>1519</v>
      </c>
      <c r="E205" t="s">
        <v>1520</v>
      </c>
      <c r="F205" t="s">
        <v>1521</v>
      </c>
    </row>
    <row r="206" spans="1:6">
      <c r="A206" s="1" t="str">
        <f t="shared" si="3"/>
        <v>2001A55</v>
      </c>
      <c r="B206">
        <v>2001</v>
      </c>
      <c r="C206" s="6" t="s">
        <v>1522</v>
      </c>
      <c r="D206" t="s">
        <v>1523</v>
      </c>
      <c r="E206" t="s">
        <v>1524</v>
      </c>
      <c r="F206" t="s">
        <v>1525</v>
      </c>
    </row>
    <row r="207" spans="1:6">
      <c r="A207" s="1" t="str">
        <f t="shared" si="3"/>
        <v>2000A58</v>
      </c>
      <c r="B207">
        <v>2000</v>
      </c>
      <c r="C207" s="6" t="s">
        <v>1526</v>
      </c>
      <c r="D207" t="s">
        <v>1527</v>
      </c>
      <c r="E207" t="s">
        <v>1528</v>
      </c>
      <c r="F207" t="s">
        <v>1529</v>
      </c>
    </row>
    <row r="208" spans="1:6">
      <c r="A208" s="1" t="str">
        <f t="shared" si="3"/>
        <v>2000A59</v>
      </c>
      <c r="B208">
        <v>2000</v>
      </c>
      <c r="C208" s="6" t="s">
        <v>1005</v>
      </c>
      <c r="D208" t="s">
        <v>1530</v>
      </c>
      <c r="E208" t="s">
        <v>1531</v>
      </c>
      <c r="F208" t="s">
        <v>1532</v>
      </c>
    </row>
    <row r="209" spans="1:6">
      <c r="A209" s="1" t="str">
        <f t="shared" si="3"/>
        <v>2000A60</v>
      </c>
      <c r="B209">
        <v>2000</v>
      </c>
      <c r="C209" s="6" t="s">
        <v>1533</v>
      </c>
      <c r="D209" t="s">
        <v>1534</v>
      </c>
      <c r="E209" t="s">
        <v>1535</v>
      </c>
      <c r="F209" t="s">
        <v>1536</v>
      </c>
    </row>
    <row r="210" spans="1:6">
      <c r="A210" s="1" t="str">
        <f t="shared" si="3"/>
        <v>2000A61</v>
      </c>
      <c r="B210">
        <v>2000</v>
      </c>
      <c r="C210" s="6" t="s">
        <v>1537</v>
      </c>
      <c r="D210" t="s">
        <v>1538</v>
      </c>
      <c r="E210" t="s">
        <v>1539</v>
      </c>
      <c r="F210" t="s">
        <v>1540</v>
      </c>
    </row>
    <row r="211" spans="1:6">
      <c r="A211" s="1" t="str">
        <f t="shared" si="3"/>
        <v>2002D46</v>
      </c>
      <c r="B211">
        <v>2002</v>
      </c>
      <c r="C211" s="6" t="s">
        <v>1194</v>
      </c>
      <c r="D211" t="s">
        <v>1541</v>
      </c>
      <c r="E211" t="s">
        <v>1542</v>
      </c>
      <c r="F211" t="s">
        <v>1543</v>
      </c>
    </row>
    <row r="212" spans="1:6">
      <c r="A212" s="1" t="str">
        <f t="shared" si="3"/>
        <v>2002E103</v>
      </c>
      <c r="B212">
        <v>2002</v>
      </c>
      <c r="C212" s="6" t="s">
        <v>1544</v>
      </c>
      <c r="D212" t="s">
        <v>1545</v>
      </c>
      <c r="E212" t="s">
        <v>1546</v>
      </c>
      <c r="F212" t="s">
        <v>1547</v>
      </c>
    </row>
    <row r="213" spans="1:6">
      <c r="A213" s="1" t="str">
        <f t="shared" si="3"/>
        <v>2001E135</v>
      </c>
      <c r="B213">
        <v>2001</v>
      </c>
      <c r="C213" s="6" t="s">
        <v>1548</v>
      </c>
      <c r="D213" t="s">
        <v>1549</v>
      </c>
      <c r="E213" t="s">
        <v>1550</v>
      </c>
      <c r="F213" t="s">
        <v>1551</v>
      </c>
    </row>
    <row r="214" spans="1:6">
      <c r="A214" s="1" t="str">
        <f t="shared" si="3"/>
        <v>2003E61</v>
      </c>
      <c r="B214">
        <v>2003</v>
      </c>
      <c r="C214" s="6" t="s">
        <v>1446</v>
      </c>
      <c r="D214" t="s">
        <v>1552</v>
      </c>
      <c r="E214" t="s">
        <v>1535</v>
      </c>
      <c r="F214" t="s">
        <v>1553</v>
      </c>
    </row>
    <row r="215" spans="1:6">
      <c r="A215" s="1" t="str">
        <f t="shared" si="3"/>
        <v>2000F104</v>
      </c>
      <c r="B215">
        <v>2000</v>
      </c>
      <c r="C215" s="6" t="s">
        <v>1554</v>
      </c>
      <c r="D215" t="s">
        <v>1555</v>
      </c>
      <c r="E215" t="s">
        <v>1556</v>
      </c>
      <c r="F215" t="s">
        <v>1557</v>
      </c>
    </row>
    <row r="216" spans="1:6">
      <c r="A216" s="1" t="str">
        <f t="shared" si="3"/>
        <v>2000F106</v>
      </c>
      <c r="B216">
        <v>2000</v>
      </c>
      <c r="C216" s="6" t="s">
        <v>1558</v>
      </c>
      <c r="D216" t="s">
        <v>1559</v>
      </c>
      <c r="E216" t="s">
        <v>1560</v>
      </c>
      <c r="F216" t="s">
        <v>1561</v>
      </c>
    </row>
    <row r="217" spans="1:6">
      <c r="A217" s="1" t="str">
        <f t="shared" si="3"/>
        <v>2000F108</v>
      </c>
      <c r="B217">
        <v>2000</v>
      </c>
      <c r="C217" s="6" t="s">
        <v>1562</v>
      </c>
      <c r="D217" t="s">
        <v>1563</v>
      </c>
      <c r="E217" t="s">
        <v>1564</v>
      </c>
      <c r="F217" t="s">
        <v>1565</v>
      </c>
    </row>
    <row r="218" spans="1:6">
      <c r="A218" s="1" t="str">
        <f t="shared" si="3"/>
        <v>2004F11</v>
      </c>
      <c r="B218">
        <v>2004</v>
      </c>
      <c r="C218" s="6" t="s">
        <v>1566</v>
      </c>
      <c r="D218" t="s">
        <v>1567</v>
      </c>
      <c r="E218" t="s">
        <v>1568</v>
      </c>
      <c r="F218" t="s">
        <v>1569</v>
      </c>
    </row>
    <row r="219" spans="1:6">
      <c r="A219" s="1" t="str">
        <f t="shared" si="3"/>
        <v>2000F110</v>
      </c>
      <c r="B219">
        <v>2000</v>
      </c>
      <c r="C219" s="6" t="s">
        <v>1570</v>
      </c>
      <c r="D219" t="s">
        <v>1571</v>
      </c>
      <c r="E219" t="s">
        <v>1572</v>
      </c>
      <c r="F219" t="s">
        <v>1573</v>
      </c>
    </row>
    <row r="220" spans="1:6" ht="14.15" customHeight="1">
      <c r="A220" s="1" t="str">
        <f t="shared" si="3"/>
        <v>2000F111</v>
      </c>
      <c r="B220">
        <v>2000</v>
      </c>
      <c r="C220" s="6" t="s">
        <v>1574</v>
      </c>
      <c r="D220" t="s">
        <v>1575</v>
      </c>
      <c r="E220" t="s">
        <v>1576</v>
      </c>
      <c r="F220" t="s">
        <v>1573</v>
      </c>
    </row>
    <row r="221" spans="1:6">
      <c r="A221" s="1" t="str">
        <f t="shared" si="3"/>
        <v>2004F18</v>
      </c>
      <c r="B221">
        <v>2004</v>
      </c>
      <c r="C221" s="6" t="s">
        <v>965</v>
      </c>
      <c r="D221" t="s">
        <v>1577</v>
      </c>
      <c r="E221" t="s">
        <v>1578</v>
      </c>
      <c r="F221" t="s">
        <v>1579</v>
      </c>
    </row>
    <row r="222" spans="1:6">
      <c r="A222" s="1" t="str">
        <f t="shared" si="3"/>
        <v>2004F20</v>
      </c>
      <c r="B222">
        <v>2004</v>
      </c>
      <c r="C222" s="6" t="s">
        <v>1580</v>
      </c>
      <c r="D222" t="s">
        <v>1581</v>
      </c>
      <c r="E222" t="s">
        <v>1582</v>
      </c>
      <c r="F222" t="s">
        <v>1583</v>
      </c>
    </row>
    <row r="223" spans="1:6">
      <c r="A223" s="1" t="str">
        <f t="shared" si="3"/>
        <v>2004F22</v>
      </c>
      <c r="B223">
        <v>2004</v>
      </c>
      <c r="C223" s="6" t="s">
        <v>1584</v>
      </c>
      <c r="D223" t="s">
        <v>1585</v>
      </c>
      <c r="E223" t="s">
        <v>1586</v>
      </c>
      <c r="F223" t="s">
        <v>1587</v>
      </c>
    </row>
    <row r="224" spans="1:6">
      <c r="A224" s="1" t="str">
        <f t="shared" si="3"/>
        <v>2004F23</v>
      </c>
      <c r="B224">
        <v>2004</v>
      </c>
      <c r="C224" s="6" t="s">
        <v>1588</v>
      </c>
      <c r="D224" t="s">
        <v>1589</v>
      </c>
      <c r="E224" t="s">
        <v>1590</v>
      </c>
      <c r="F224" t="s">
        <v>1591</v>
      </c>
    </row>
    <row r="225" spans="1:6">
      <c r="A225" s="1" t="str">
        <f t="shared" si="3"/>
        <v>2004F29</v>
      </c>
      <c r="B225">
        <v>2004</v>
      </c>
      <c r="C225" s="6" t="s">
        <v>1592</v>
      </c>
      <c r="D225" t="s">
        <v>1593</v>
      </c>
      <c r="E225" t="s">
        <v>1539</v>
      </c>
      <c r="F225" t="s">
        <v>1594</v>
      </c>
    </row>
    <row r="226" spans="1:6">
      <c r="A226" s="1" t="str">
        <f t="shared" si="3"/>
        <v>2004F30</v>
      </c>
      <c r="B226">
        <v>2004</v>
      </c>
      <c r="C226" s="6" t="s">
        <v>1595</v>
      </c>
      <c r="D226" t="s">
        <v>1596</v>
      </c>
      <c r="E226" t="s">
        <v>1597</v>
      </c>
      <c r="F226" t="s">
        <v>1598</v>
      </c>
    </row>
    <row r="227" spans="1:6">
      <c r="A227" s="1" t="str">
        <f t="shared" si="3"/>
        <v>2004F32</v>
      </c>
      <c r="B227">
        <v>2004</v>
      </c>
      <c r="C227" s="6" t="s">
        <v>1599</v>
      </c>
      <c r="D227" t="s">
        <v>1600</v>
      </c>
      <c r="E227" t="s">
        <v>1601</v>
      </c>
      <c r="F227" t="s">
        <v>1602</v>
      </c>
    </row>
    <row r="228" spans="1:6">
      <c r="A228" s="1" t="str">
        <f t="shared" si="3"/>
        <v>2003F41</v>
      </c>
      <c r="B228">
        <v>2003</v>
      </c>
      <c r="C228" s="6" t="s">
        <v>1603</v>
      </c>
      <c r="D228" t="s">
        <v>1604</v>
      </c>
      <c r="E228" t="s">
        <v>1605</v>
      </c>
      <c r="F228" t="s">
        <v>1606</v>
      </c>
    </row>
    <row r="229" spans="1:6">
      <c r="A229" s="1" t="str">
        <f t="shared" si="3"/>
        <v>2003F42</v>
      </c>
      <c r="B229">
        <v>2003</v>
      </c>
      <c r="C229" s="6" t="s">
        <v>1607</v>
      </c>
      <c r="D229" t="s">
        <v>1608</v>
      </c>
      <c r="E229" t="s">
        <v>1609</v>
      </c>
      <c r="F229" t="s">
        <v>1610</v>
      </c>
    </row>
    <row r="230" spans="1:6">
      <c r="A230" s="1" t="str">
        <f t="shared" si="3"/>
        <v>2003F43</v>
      </c>
      <c r="B230">
        <v>2003</v>
      </c>
      <c r="C230" s="6" t="s">
        <v>1611</v>
      </c>
      <c r="D230" t="s">
        <v>1612</v>
      </c>
      <c r="E230" t="s">
        <v>1613</v>
      </c>
      <c r="F230" t="s">
        <v>1614</v>
      </c>
    </row>
    <row r="231" spans="1:6">
      <c r="A231" s="1" t="str">
        <f t="shared" si="3"/>
        <v>2004F5</v>
      </c>
      <c r="B231">
        <v>2004</v>
      </c>
      <c r="C231" s="6" t="s">
        <v>1615</v>
      </c>
      <c r="D231" t="s">
        <v>1616</v>
      </c>
      <c r="E231" t="s">
        <v>1617</v>
      </c>
      <c r="F231" t="s">
        <v>1618</v>
      </c>
    </row>
    <row r="232" spans="1:6">
      <c r="A232" s="1" t="str">
        <f t="shared" si="3"/>
        <v>2003F51</v>
      </c>
      <c r="B232">
        <v>2003</v>
      </c>
      <c r="C232" s="6" t="s">
        <v>1619</v>
      </c>
      <c r="D232" t="s">
        <v>1620</v>
      </c>
      <c r="E232" t="s">
        <v>1621</v>
      </c>
      <c r="F232" t="s">
        <v>1622</v>
      </c>
    </row>
    <row r="233" spans="1:6">
      <c r="A233" s="1" t="str">
        <f t="shared" si="3"/>
        <v>2003F61</v>
      </c>
      <c r="B233">
        <v>2003</v>
      </c>
      <c r="C233" s="6" t="s">
        <v>1623</v>
      </c>
      <c r="D233" t="s">
        <v>1624</v>
      </c>
      <c r="E233" t="s">
        <v>1625</v>
      </c>
      <c r="F233" t="s">
        <v>1626</v>
      </c>
    </row>
    <row r="234" spans="1:6">
      <c r="A234" s="1" t="str">
        <f t="shared" si="3"/>
        <v>2002F68</v>
      </c>
      <c r="B234">
        <v>2002</v>
      </c>
      <c r="C234" s="6" t="s">
        <v>1627</v>
      </c>
      <c r="D234" t="s">
        <v>1628</v>
      </c>
      <c r="E234" t="s">
        <v>1504</v>
      </c>
      <c r="F234" t="s">
        <v>1629</v>
      </c>
    </row>
    <row r="235" spans="1:6">
      <c r="A235" s="1" t="str">
        <f t="shared" si="3"/>
        <v>2002F69</v>
      </c>
      <c r="B235">
        <v>2002</v>
      </c>
      <c r="C235" s="6" t="s">
        <v>1630</v>
      </c>
      <c r="D235" t="s">
        <v>1631</v>
      </c>
      <c r="E235" t="s">
        <v>1632</v>
      </c>
      <c r="F235" t="s">
        <v>1633</v>
      </c>
    </row>
    <row r="236" spans="1:6">
      <c r="A236" s="1" t="str">
        <f t="shared" si="3"/>
        <v>2004F6a</v>
      </c>
      <c r="B236">
        <v>2004</v>
      </c>
      <c r="C236" s="6" t="s">
        <v>1634</v>
      </c>
      <c r="D236" t="s">
        <v>1635</v>
      </c>
      <c r="E236" t="s">
        <v>1636</v>
      </c>
      <c r="F236" t="s">
        <v>1637</v>
      </c>
    </row>
    <row r="237" spans="1:6">
      <c r="A237" s="1" t="str">
        <f t="shared" si="3"/>
        <v>2002F71</v>
      </c>
      <c r="B237">
        <v>2002</v>
      </c>
      <c r="C237" s="6" t="s">
        <v>1638</v>
      </c>
      <c r="D237" t="s">
        <v>1639</v>
      </c>
      <c r="E237" t="s">
        <v>1640</v>
      </c>
      <c r="F237" t="s">
        <v>1641</v>
      </c>
    </row>
    <row r="238" spans="1:6">
      <c r="A238" s="1" t="str">
        <f t="shared" si="3"/>
        <v>2002F73</v>
      </c>
      <c r="B238">
        <v>2002</v>
      </c>
      <c r="C238" s="6" t="s">
        <v>1642</v>
      </c>
      <c r="D238" t="s">
        <v>1643</v>
      </c>
      <c r="E238" t="s">
        <v>1644</v>
      </c>
      <c r="F238" t="s">
        <v>1645</v>
      </c>
    </row>
    <row r="239" spans="1:6">
      <c r="A239" s="1" t="str">
        <f t="shared" si="3"/>
        <v>2002F74</v>
      </c>
      <c r="B239">
        <v>2002</v>
      </c>
      <c r="C239" s="6" t="s">
        <v>1646</v>
      </c>
      <c r="D239" t="s">
        <v>1647</v>
      </c>
      <c r="E239" t="s">
        <v>1617</v>
      </c>
      <c r="F239" t="s">
        <v>1648</v>
      </c>
    </row>
    <row r="240" spans="1:6">
      <c r="A240" s="1" t="str">
        <f t="shared" si="3"/>
        <v>2002F81</v>
      </c>
      <c r="B240">
        <v>2002</v>
      </c>
      <c r="C240" s="6" t="s">
        <v>1649</v>
      </c>
      <c r="D240" t="s">
        <v>1650</v>
      </c>
      <c r="E240" t="s">
        <v>1651</v>
      </c>
      <c r="F240" t="s">
        <v>1652</v>
      </c>
    </row>
    <row r="241" spans="1:6">
      <c r="A241" s="1" t="str">
        <f t="shared" si="3"/>
        <v>2001F90</v>
      </c>
      <c r="B241">
        <v>2001</v>
      </c>
      <c r="C241" s="6" t="s">
        <v>1653</v>
      </c>
      <c r="D241" t="s">
        <v>1654</v>
      </c>
      <c r="E241" t="s">
        <v>1655</v>
      </c>
      <c r="F241" t="s">
        <v>1656</v>
      </c>
    </row>
    <row r="242" spans="1:6">
      <c r="A242" s="1" t="str">
        <f t="shared" si="3"/>
        <v>2001F93</v>
      </c>
      <c r="B242">
        <v>2001</v>
      </c>
      <c r="C242" s="6" t="s">
        <v>1657</v>
      </c>
      <c r="D242" t="s">
        <v>1658</v>
      </c>
      <c r="E242" t="s">
        <v>1659</v>
      </c>
      <c r="F242" t="s">
        <v>1660</v>
      </c>
    </row>
    <row r="243" spans="1:6">
      <c r="A243" s="1" t="str">
        <f t="shared" si="3"/>
        <v>2001F94</v>
      </c>
      <c r="B243">
        <v>2001</v>
      </c>
      <c r="C243" s="6" t="s">
        <v>1661</v>
      </c>
      <c r="D243" t="s">
        <v>1662</v>
      </c>
      <c r="E243" t="s">
        <v>1663</v>
      </c>
      <c r="F243" t="s">
        <v>1664</v>
      </c>
    </row>
    <row r="244" spans="1:6">
      <c r="A244" s="1" t="str">
        <f t="shared" si="3"/>
        <v>2001F96</v>
      </c>
      <c r="B244">
        <v>2001</v>
      </c>
      <c r="C244" s="6" t="s">
        <v>1665</v>
      </c>
      <c r="D244" t="s">
        <v>1666</v>
      </c>
      <c r="E244" t="s">
        <v>1667</v>
      </c>
      <c r="F244" t="s">
        <v>1668</v>
      </c>
    </row>
    <row r="245" spans="1:6">
      <c r="A245" s="1" t="str">
        <f t="shared" si="3"/>
        <v>2011E22</v>
      </c>
      <c r="B245">
        <v>2011</v>
      </c>
      <c r="C245" s="6" t="s">
        <v>1669</v>
      </c>
      <c r="D245" t="s">
        <v>1670</v>
      </c>
      <c r="E245" t="s">
        <v>1671</v>
      </c>
      <c r="F245" t="s">
        <v>1672</v>
      </c>
    </row>
    <row r="246" spans="1:6">
      <c r="A246" s="1" t="str">
        <f t="shared" si="3"/>
        <v>2000Ex1-1844</v>
      </c>
      <c r="B246">
        <v>2000</v>
      </c>
      <c r="C246" s="6" t="s">
        <v>1673</v>
      </c>
      <c r="D246" s="1" t="s">
        <v>1674</v>
      </c>
      <c r="E246" t="s">
        <v>1675</v>
      </c>
    </row>
    <row r="247" spans="1:6">
      <c r="A247" s="1" t="str">
        <f t="shared" si="3"/>
        <v>2003Ex1-2440</v>
      </c>
      <c r="B247">
        <v>2003</v>
      </c>
      <c r="C247" s="6" t="s">
        <v>1676</v>
      </c>
      <c r="D247" t="s">
        <v>1677</v>
      </c>
      <c r="E247" t="s">
        <v>1678</v>
      </c>
    </row>
    <row r="248" spans="1:6">
      <c r="A248" s="1" t="str">
        <f t="shared" si="3"/>
        <v>2004Ex1-1726</v>
      </c>
      <c r="B248">
        <v>2004</v>
      </c>
      <c r="C248" s="6" t="s">
        <v>1679</v>
      </c>
      <c r="D248" t="s">
        <v>1680</v>
      </c>
      <c r="E248" t="s">
        <v>1681</v>
      </c>
    </row>
    <row r="249" spans="1:6">
      <c r="A249" s="1" t="str">
        <f t="shared" si="3"/>
        <v>2005Ex1-18</v>
      </c>
      <c r="B249" s="1">
        <v>2005</v>
      </c>
      <c r="C249" s="6" t="s">
        <v>1682</v>
      </c>
      <c r="D249" s="1" t="s">
        <v>1683</v>
      </c>
      <c r="E249" t="s">
        <v>1684</v>
      </c>
    </row>
    <row r="250" spans="1:6">
      <c r="A250" s="1" t="str">
        <f t="shared" si="3"/>
        <v>2005Ex1-2036</v>
      </c>
      <c r="B250">
        <v>2005</v>
      </c>
      <c r="C250" s="6" t="s">
        <v>1685</v>
      </c>
      <c r="D250" t="s">
        <v>1686</v>
      </c>
      <c r="E250" t="s">
        <v>1687</v>
      </c>
    </row>
    <row r="251" spans="1:6">
      <c r="A251" s="1" t="str">
        <f t="shared" si="3"/>
        <v>2005Ex1-2465</v>
      </c>
      <c r="B251">
        <v>2005</v>
      </c>
      <c r="C251" s="6" t="s">
        <v>1688</v>
      </c>
      <c r="D251" t="s">
        <v>1689</v>
      </c>
      <c r="E251" t="s">
        <v>1690</v>
      </c>
    </row>
    <row r="252" spans="1:6">
      <c r="A252" s="1" t="str">
        <f t="shared" si="3"/>
        <v>2006Ex1-1207</v>
      </c>
      <c r="B252" s="1">
        <v>2006</v>
      </c>
      <c r="C252" s="6" t="s">
        <v>1691</v>
      </c>
      <c r="D252" s="14" t="s">
        <v>1692</v>
      </c>
      <c r="E252" t="s">
        <v>1693</v>
      </c>
    </row>
    <row r="253" spans="1:6">
      <c r="A253" s="1" t="str">
        <f t="shared" si="3"/>
        <v>2006Ex1-146</v>
      </c>
      <c r="B253" s="1">
        <v>2006</v>
      </c>
      <c r="C253" s="6" t="s">
        <v>1694</v>
      </c>
      <c r="D253" s="1" t="s">
        <v>1695</v>
      </c>
      <c r="E253" t="s">
        <v>1678</v>
      </c>
    </row>
    <row r="254" spans="1:6">
      <c r="A254" s="1" t="str">
        <f t="shared" si="3"/>
        <v>2006Ex1-1532</v>
      </c>
      <c r="B254">
        <v>2006</v>
      </c>
      <c r="C254" s="6" t="s">
        <v>1696</v>
      </c>
      <c r="D254" t="s">
        <v>1697</v>
      </c>
      <c r="E254" t="s">
        <v>1698</v>
      </c>
    </row>
    <row r="255" spans="1:6">
      <c r="A255" s="1" t="str">
        <f t="shared" si="3"/>
        <v>2006Ex1-1737</v>
      </c>
      <c r="B255">
        <v>2006</v>
      </c>
      <c r="C255" s="6" t="s">
        <v>1699</v>
      </c>
      <c r="D255" t="s">
        <v>1700</v>
      </c>
      <c r="E255" t="s">
        <v>1701</v>
      </c>
    </row>
    <row r="256" spans="1:6">
      <c r="A256" s="1" t="str">
        <f t="shared" si="3"/>
        <v>2006Ex1-212</v>
      </c>
      <c r="B256" s="1">
        <v>2006</v>
      </c>
      <c r="C256" s="6" t="s">
        <v>1702</v>
      </c>
      <c r="D256" s="1" t="s">
        <v>1703</v>
      </c>
      <c r="E256" t="s">
        <v>1704</v>
      </c>
    </row>
    <row r="257" spans="1:5">
      <c r="A257" s="1" t="str">
        <f t="shared" si="3"/>
        <v>2006Ex1-2246</v>
      </c>
      <c r="B257">
        <v>2006</v>
      </c>
      <c r="C257" s="6" t="s">
        <v>1705</v>
      </c>
      <c r="D257" t="s">
        <v>1706</v>
      </c>
      <c r="E257" t="s">
        <v>1707</v>
      </c>
    </row>
    <row r="258" spans="1:5">
      <c r="A258" s="1" t="str">
        <f t="shared" ref="A258:A320" si="4">B258&amp;""&amp;C258</f>
        <v>2006Ex1-36</v>
      </c>
      <c r="B258" s="1">
        <v>2006</v>
      </c>
      <c r="C258" s="6" t="s">
        <v>1708</v>
      </c>
      <c r="D258" s="1" t="s">
        <v>1709</v>
      </c>
      <c r="E258" t="s">
        <v>1710</v>
      </c>
    </row>
    <row r="259" spans="1:5">
      <c r="A259" s="1" t="str">
        <f t="shared" si="4"/>
        <v>2007Ex1-186a</v>
      </c>
      <c r="B259" s="1">
        <v>2007</v>
      </c>
      <c r="C259" s="6" t="s">
        <v>1711</v>
      </c>
      <c r="D259" s="1" t="s">
        <v>1712</v>
      </c>
      <c r="E259" t="s">
        <v>1713</v>
      </c>
    </row>
    <row r="260" spans="1:5">
      <c r="A260" s="1" t="str">
        <f t="shared" si="4"/>
        <v>2007Ex1-2686</v>
      </c>
      <c r="B260">
        <v>2007</v>
      </c>
      <c r="C260" s="6" t="s">
        <v>1714</v>
      </c>
      <c r="D260" s="15" t="s">
        <v>1715</v>
      </c>
      <c r="E260" t="s">
        <v>1678</v>
      </c>
    </row>
    <row r="261" spans="1:5">
      <c r="A261" s="1" t="str">
        <f t="shared" si="4"/>
        <v>2008Ex1-1067</v>
      </c>
      <c r="B261" s="1">
        <v>2008</v>
      </c>
      <c r="C261" s="6" t="s">
        <v>1716</v>
      </c>
      <c r="D261" t="s">
        <v>1717</v>
      </c>
      <c r="E261" t="s">
        <v>1718</v>
      </c>
    </row>
    <row r="262" spans="1:5">
      <c r="A262" s="1" t="str">
        <f t="shared" si="4"/>
        <v>2008Ex1-1167</v>
      </c>
      <c r="B262" s="1">
        <v>2008</v>
      </c>
      <c r="C262" s="6" t="s">
        <v>1719</v>
      </c>
      <c r="D262" t="s">
        <v>1720</v>
      </c>
      <c r="E262" t="s">
        <v>1721</v>
      </c>
    </row>
    <row r="263" spans="1:5">
      <c r="A263" s="1" t="str">
        <f t="shared" si="4"/>
        <v>2008Ex1-1742</v>
      </c>
      <c r="B263">
        <v>2008</v>
      </c>
      <c r="C263" s="6" t="s">
        <v>1722</v>
      </c>
      <c r="D263" s="1" t="s">
        <v>1723</v>
      </c>
      <c r="E263" t="s">
        <v>1724</v>
      </c>
    </row>
    <row r="264" spans="1:5">
      <c r="A264" s="1" t="str">
        <f t="shared" si="4"/>
        <v>2008Ex1-19</v>
      </c>
      <c r="B264" s="1">
        <v>2008</v>
      </c>
      <c r="C264" s="6" t="s">
        <v>1725</v>
      </c>
      <c r="D264" s="1" t="s">
        <v>1726</v>
      </c>
      <c r="E264" t="s">
        <v>1727</v>
      </c>
    </row>
    <row r="265" spans="1:5">
      <c r="A265" s="1" t="str">
        <f t="shared" si="4"/>
        <v>2008Ex1-2362</v>
      </c>
      <c r="B265">
        <v>2008</v>
      </c>
      <c r="C265" s="6" t="s">
        <v>1728</v>
      </c>
      <c r="D265" t="s">
        <v>1729</v>
      </c>
      <c r="E265" t="s">
        <v>1730</v>
      </c>
    </row>
    <row r="266" spans="1:5">
      <c r="A266" s="1" t="str">
        <f t="shared" si="4"/>
        <v>2008Ex1-393</v>
      </c>
      <c r="B266" s="1">
        <v>2008</v>
      </c>
      <c r="C266" s="6" t="s">
        <v>1731</v>
      </c>
      <c r="D266" s="1" t="s">
        <v>1732</v>
      </c>
      <c r="E266" t="s">
        <v>1733</v>
      </c>
    </row>
    <row r="267" spans="1:5">
      <c r="A267" s="1" t="str">
        <f t="shared" si="4"/>
        <v>2008Ex1-503</v>
      </c>
      <c r="B267" s="1">
        <v>2008</v>
      </c>
      <c r="C267" s="6" t="s">
        <v>1734</v>
      </c>
      <c r="D267" s="1" t="s">
        <v>1735</v>
      </c>
      <c r="E267" t="s">
        <v>1736</v>
      </c>
    </row>
    <row r="268" spans="1:5">
      <c r="A268" s="1" t="str">
        <f t="shared" si="4"/>
        <v>2009Ex1-1740</v>
      </c>
      <c r="B268">
        <v>2009</v>
      </c>
      <c r="C268" s="6" t="s">
        <v>1737</v>
      </c>
      <c r="D268" t="s">
        <v>1738</v>
      </c>
      <c r="E268" t="s">
        <v>1739</v>
      </c>
    </row>
    <row r="269" spans="1:5">
      <c r="A269" s="1" t="str">
        <f t="shared" si="4"/>
        <v>2009Ex1-2082</v>
      </c>
      <c r="B269">
        <v>2009</v>
      </c>
      <c r="C269" s="6" t="s">
        <v>1740</v>
      </c>
      <c r="D269" t="s">
        <v>1741</v>
      </c>
      <c r="E269" t="s">
        <v>1698</v>
      </c>
    </row>
    <row r="270" spans="1:5">
      <c r="A270" s="1" t="str">
        <f t="shared" si="4"/>
        <v>2009Ex1-2377</v>
      </c>
      <c r="B270">
        <v>2009</v>
      </c>
      <c r="C270" s="6" t="s">
        <v>1742</v>
      </c>
      <c r="D270" s="15" t="s">
        <v>1743</v>
      </c>
      <c r="E270" t="s">
        <v>134</v>
      </c>
    </row>
    <row r="271" spans="1:5">
      <c r="A271" s="1" t="str">
        <f t="shared" si="4"/>
        <v>2009Ex1-247</v>
      </c>
      <c r="B271" s="1">
        <v>2009</v>
      </c>
      <c r="C271" s="6" t="s">
        <v>1744</v>
      </c>
      <c r="D271" s="1" t="s">
        <v>1745</v>
      </c>
      <c r="E271" t="s">
        <v>1746</v>
      </c>
    </row>
    <row r="272" spans="1:5">
      <c r="A272" s="1" t="str">
        <f t="shared" si="4"/>
        <v>2010Ex1-1199</v>
      </c>
      <c r="B272" s="1">
        <v>2010</v>
      </c>
      <c r="C272" s="6" t="s">
        <v>1747</v>
      </c>
      <c r="D272" t="s">
        <v>1748</v>
      </c>
      <c r="E272" t="s">
        <v>1749</v>
      </c>
    </row>
    <row r="273" spans="1:5">
      <c r="A273" s="1" t="str">
        <f t="shared" si="4"/>
        <v>2010Ex1-2367</v>
      </c>
      <c r="B273">
        <v>2010</v>
      </c>
      <c r="C273" s="6" t="s">
        <v>1750</v>
      </c>
      <c r="D273" t="s">
        <v>1751</v>
      </c>
      <c r="E273" t="s">
        <v>1752</v>
      </c>
    </row>
    <row r="274" spans="1:5">
      <c r="A274" s="1" t="str">
        <f t="shared" si="4"/>
        <v>2010Ex1-2492</v>
      </c>
      <c r="B274">
        <v>2010</v>
      </c>
      <c r="C274" s="6" t="s">
        <v>1753</v>
      </c>
      <c r="D274" t="s">
        <v>1754</v>
      </c>
      <c r="E274" t="s">
        <v>1755</v>
      </c>
    </row>
    <row r="275" spans="1:5">
      <c r="A275" s="1" t="str">
        <f t="shared" si="4"/>
        <v>2010Ex1-2687</v>
      </c>
      <c r="B275">
        <v>2010</v>
      </c>
      <c r="C275" s="6" t="s">
        <v>1756</v>
      </c>
      <c r="D275" t="s">
        <v>1757</v>
      </c>
      <c r="E275" t="s">
        <v>1758</v>
      </c>
    </row>
    <row r="276" spans="1:5">
      <c r="A276" s="1" t="str">
        <f t="shared" si="4"/>
        <v>2010Ex1-516</v>
      </c>
      <c r="B276" s="1">
        <v>2010</v>
      </c>
      <c r="C276" s="6" t="s">
        <v>1759</v>
      </c>
      <c r="D276" s="1" t="s">
        <v>1760</v>
      </c>
      <c r="E276" t="s">
        <v>1761</v>
      </c>
    </row>
    <row r="277" spans="1:5">
      <c r="A277" s="1" t="str">
        <f t="shared" si="4"/>
        <v>2010Ex1-637</v>
      </c>
      <c r="B277" s="1">
        <v>2010</v>
      </c>
      <c r="C277" s="6" t="s">
        <v>1762</v>
      </c>
      <c r="D277" t="s">
        <v>1763</v>
      </c>
      <c r="E277" t="s">
        <v>1764</v>
      </c>
    </row>
    <row r="278" spans="1:5">
      <c r="A278" s="1" t="str">
        <f t="shared" si="4"/>
        <v>2010Ex1-741</v>
      </c>
      <c r="B278" s="1">
        <v>2010</v>
      </c>
      <c r="C278" s="6" t="s">
        <v>1765</v>
      </c>
      <c r="D278" t="s">
        <v>1766</v>
      </c>
      <c r="E278" t="s">
        <v>1767</v>
      </c>
    </row>
    <row r="279" spans="1:5">
      <c r="A279" s="1" t="str">
        <f t="shared" si="4"/>
        <v>2011Ex1-1404</v>
      </c>
      <c r="B279" s="1">
        <v>2011</v>
      </c>
      <c r="C279" s="6" t="s">
        <v>1768</v>
      </c>
      <c r="D279" t="s">
        <v>1769</v>
      </c>
      <c r="E279" t="s">
        <v>1770</v>
      </c>
    </row>
    <row r="280" spans="1:5">
      <c r="A280" s="1" t="str">
        <f t="shared" si="4"/>
        <v>2011Ex1-1649</v>
      </c>
      <c r="B280">
        <v>2011</v>
      </c>
      <c r="C280" s="6" t="s">
        <v>1771</v>
      </c>
      <c r="D280" s="1" t="s">
        <v>1772</v>
      </c>
      <c r="E280" t="s">
        <v>1773</v>
      </c>
    </row>
    <row r="281" spans="1:5">
      <c r="A281" s="1" t="str">
        <f t="shared" si="4"/>
        <v>2011Ex1-1753</v>
      </c>
      <c r="B281">
        <v>2011</v>
      </c>
      <c r="C281" s="6" t="s">
        <v>1774</v>
      </c>
      <c r="D281" s="1" t="s">
        <v>1775</v>
      </c>
      <c r="E281" t="s">
        <v>1776</v>
      </c>
    </row>
    <row r="282" spans="1:5">
      <c r="A282" s="1" t="str">
        <f t="shared" si="4"/>
        <v>2011Ex1-1755</v>
      </c>
      <c r="B282">
        <v>2011</v>
      </c>
      <c r="C282" s="6" t="s">
        <v>1777</v>
      </c>
      <c r="D282" t="s">
        <v>1778</v>
      </c>
      <c r="E282" t="s">
        <v>1779</v>
      </c>
    </row>
    <row r="283" spans="1:5">
      <c r="A283" s="1" t="str">
        <f t="shared" si="4"/>
        <v>2011Ex1-472</v>
      </c>
      <c r="B283" s="1">
        <v>2011</v>
      </c>
      <c r="C283" s="6" t="s">
        <v>1780</v>
      </c>
      <c r="D283" s="1" t="s">
        <v>1781</v>
      </c>
      <c r="E283" t="s">
        <v>1782</v>
      </c>
    </row>
    <row r="284" spans="1:5">
      <c r="A284" s="1" t="str">
        <f t="shared" si="4"/>
        <v>2011Ex1-980</v>
      </c>
      <c r="B284" s="1">
        <v>2011</v>
      </c>
      <c r="C284" s="6" t="s">
        <v>1783</v>
      </c>
      <c r="D284" t="s">
        <v>1784</v>
      </c>
      <c r="E284" t="s">
        <v>1785</v>
      </c>
    </row>
    <row r="285" spans="1:5">
      <c r="A285" s="1" t="str">
        <f t="shared" si="4"/>
        <v>2012Ex1-1103</v>
      </c>
      <c r="B285" s="1">
        <v>2012</v>
      </c>
      <c r="C285" s="6" t="s">
        <v>1786</v>
      </c>
      <c r="D285" s="14" t="s">
        <v>1787</v>
      </c>
      <c r="E285" t="s">
        <v>1788</v>
      </c>
    </row>
    <row r="286" spans="1:5">
      <c r="A286" s="1" t="str">
        <f t="shared" si="4"/>
        <v>2012Ex1-1151</v>
      </c>
      <c r="B286" s="1">
        <v>2012</v>
      </c>
      <c r="C286" s="6" t="s">
        <v>1789</v>
      </c>
      <c r="D286" s="1" t="s">
        <v>1790</v>
      </c>
      <c r="E286" t="s">
        <v>1791</v>
      </c>
    </row>
    <row r="287" spans="1:5">
      <c r="A287" s="1" t="str">
        <f t="shared" si="4"/>
        <v>2012Ex1-1722</v>
      </c>
      <c r="B287">
        <v>2012</v>
      </c>
      <c r="C287" s="6" t="s">
        <v>1792</v>
      </c>
      <c r="D287" s="1" t="s">
        <v>1793</v>
      </c>
      <c r="E287" t="s">
        <v>1794</v>
      </c>
    </row>
    <row r="288" spans="1:5">
      <c r="A288" s="1" t="str">
        <f t="shared" si="4"/>
        <v>2012Ex1-2334</v>
      </c>
      <c r="B288">
        <v>2012</v>
      </c>
      <c r="C288" s="6" t="s">
        <v>1795</v>
      </c>
      <c r="D288" s="16" t="s">
        <v>1796</v>
      </c>
      <c r="E288" t="s">
        <v>1678</v>
      </c>
    </row>
    <row r="289" spans="1:5">
      <c r="A289" s="1" t="str">
        <f t="shared" si="4"/>
        <v>2012Ex1-2566</v>
      </c>
      <c r="B289">
        <v>2012</v>
      </c>
      <c r="C289" s="6" t="s">
        <v>1797</v>
      </c>
      <c r="D289" t="s">
        <v>1798</v>
      </c>
      <c r="E289" t="s">
        <v>1799</v>
      </c>
    </row>
    <row r="290" spans="1:5">
      <c r="A290" s="1" t="str">
        <f t="shared" si="4"/>
        <v>2012Ex1-318</v>
      </c>
      <c r="B290" s="1">
        <v>2012</v>
      </c>
      <c r="C290" s="6" t="s">
        <v>1800</v>
      </c>
      <c r="D290" s="1" t="s">
        <v>1801</v>
      </c>
      <c r="E290" t="s">
        <v>1802</v>
      </c>
    </row>
    <row r="291" spans="1:5">
      <c r="A291" s="1" t="str">
        <f t="shared" si="4"/>
        <v>2012Ex1-34</v>
      </c>
      <c r="B291" s="1">
        <v>2012</v>
      </c>
      <c r="C291" s="6" t="s">
        <v>1803</v>
      </c>
      <c r="D291" s="1" t="s">
        <v>1804</v>
      </c>
      <c r="E291" t="s">
        <v>1805</v>
      </c>
    </row>
    <row r="292" spans="1:5">
      <c r="A292" s="1" t="str">
        <f t="shared" si="4"/>
        <v>2012Ex1-69</v>
      </c>
      <c r="B292" s="1">
        <v>2012</v>
      </c>
      <c r="C292" s="6" t="s">
        <v>1806</v>
      </c>
      <c r="D292" s="1" t="s">
        <v>1807</v>
      </c>
      <c r="E292" t="s">
        <v>542</v>
      </c>
    </row>
    <row r="293" spans="1:5">
      <c r="A293" s="1" t="str">
        <f t="shared" si="4"/>
        <v>2012Ex1-856</v>
      </c>
      <c r="B293" s="1">
        <v>2012</v>
      </c>
      <c r="C293" s="6" t="s">
        <v>1808</v>
      </c>
      <c r="D293" t="s">
        <v>1809</v>
      </c>
      <c r="E293" t="s">
        <v>1810</v>
      </c>
    </row>
    <row r="294" spans="1:5">
      <c r="A294" s="1" t="str">
        <f t="shared" si="4"/>
        <v>2013Ex1-1371</v>
      </c>
      <c r="B294" s="1">
        <v>2013</v>
      </c>
      <c r="C294" s="6" t="s">
        <v>1811</v>
      </c>
      <c r="D294" t="s">
        <v>1812</v>
      </c>
      <c r="E294" t="s">
        <v>89</v>
      </c>
    </row>
    <row r="295" spans="1:5">
      <c r="A295" s="1" t="str">
        <f t="shared" si="4"/>
        <v>2013Ex1-1623</v>
      </c>
      <c r="B295">
        <v>2013</v>
      </c>
      <c r="C295" s="6" t="s">
        <v>1813</v>
      </c>
      <c r="D295" t="s">
        <v>1814</v>
      </c>
      <c r="E295" t="s">
        <v>1815</v>
      </c>
    </row>
    <row r="296" spans="1:5">
      <c r="A296" s="1" t="str">
        <f t="shared" si="4"/>
        <v>2013Ex1-1647</v>
      </c>
      <c r="B296">
        <v>2013</v>
      </c>
      <c r="C296" s="6" t="s">
        <v>1816</v>
      </c>
      <c r="D296" s="1" t="s">
        <v>1817</v>
      </c>
      <c r="E296" t="s">
        <v>1818</v>
      </c>
    </row>
    <row r="297" spans="1:5">
      <c r="A297" s="1" t="str">
        <f t="shared" si="4"/>
        <v>2013Ex1-2408</v>
      </c>
      <c r="B297">
        <v>2013</v>
      </c>
      <c r="C297" s="6" t="s">
        <v>1819</v>
      </c>
      <c r="D297" t="s">
        <v>1820</v>
      </c>
      <c r="E297" t="s">
        <v>1821</v>
      </c>
    </row>
    <row r="298" spans="1:5">
      <c r="A298" s="1" t="str">
        <f t="shared" si="4"/>
        <v>2013Ex1-2663</v>
      </c>
      <c r="B298">
        <v>2013</v>
      </c>
      <c r="C298" s="6" t="s">
        <v>1822</v>
      </c>
      <c r="D298" t="s">
        <v>1823</v>
      </c>
      <c r="E298" t="s">
        <v>1824</v>
      </c>
    </row>
    <row r="299" spans="1:5">
      <c r="A299" s="1" t="str">
        <f t="shared" si="4"/>
        <v>2013Ex1-270</v>
      </c>
      <c r="B299" s="1">
        <v>2013</v>
      </c>
      <c r="C299" s="6" t="s">
        <v>1825</v>
      </c>
      <c r="D299" s="1" t="s">
        <v>1826</v>
      </c>
      <c r="E299" t="s">
        <v>1827</v>
      </c>
    </row>
    <row r="300" spans="1:5">
      <c r="A300" s="1" t="str">
        <f t="shared" si="4"/>
        <v>2013Ex1-2700</v>
      </c>
      <c r="B300">
        <v>2013</v>
      </c>
      <c r="C300" s="6" t="s">
        <v>1828</v>
      </c>
      <c r="D300" t="s">
        <v>1829</v>
      </c>
      <c r="E300" t="s">
        <v>1830</v>
      </c>
    </row>
    <row r="301" spans="1:5">
      <c r="A301" s="1" t="str">
        <f t="shared" si="4"/>
        <v>2013Ex1-44a</v>
      </c>
      <c r="B301" s="1">
        <v>2013</v>
      </c>
      <c r="C301" s="6" t="s">
        <v>1831</v>
      </c>
      <c r="D301" s="1" t="s">
        <v>1832</v>
      </c>
      <c r="E301" t="s">
        <v>1833</v>
      </c>
    </row>
    <row r="302" spans="1:5">
      <c r="A302" s="1" t="str">
        <f t="shared" si="4"/>
        <v>2013Ex1-44b</v>
      </c>
      <c r="B302" s="1">
        <v>2013</v>
      </c>
      <c r="C302" s="6" t="s">
        <v>1834</v>
      </c>
      <c r="D302" s="1" t="s">
        <v>1832</v>
      </c>
      <c r="E302" t="s">
        <v>1833</v>
      </c>
    </row>
    <row r="303" spans="1:5">
      <c r="A303" s="1" t="str">
        <f t="shared" si="4"/>
        <v>2013Ex1-57</v>
      </c>
      <c r="B303" s="1">
        <v>2013</v>
      </c>
      <c r="C303" s="6" t="s">
        <v>1835</v>
      </c>
      <c r="D303" s="1" t="s">
        <v>1836</v>
      </c>
      <c r="E303" t="s">
        <v>1837</v>
      </c>
    </row>
    <row r="304" spans="1:5">
      <c r="A304" s="1" t="str">
        <f t="shared" si="4"/>
        <v>2013Ex1-754</v>
      </c>
      <c r="B304" s="1">
        <v>2013</v>
      </c>
      <c r="C304" s="6" t="s">
        <v>1838</v>
      </c>
      <c r="D304" t="s">
        <v>1839</v>
      </c>
      <c r="E304" t="s">
        <v>1840</v>
      </c>
    </row>
    <row r="305" spans="1:5">
      <c r="A305" s="1" t="str">
        <f t="shared" si="4"/>
        <v>2013Ex1-844</v>
      </c>
      <c r="B305" s="1">
        <v>2013</v>
      </c>
      <c r="C305" s="6" t="s">
        <v>1841</v>
      </c>
      <c r="D305" t="s">
        <v>1842</v>
      </c>
      <c r="E305" t="s">
        <v>1843</v>
      </c>
    </row>
    <row r="306" spans="1:5">
      <c r="A306" s="1" t="str">
        <f t="shared" si="4"/>
        <v>2014Ex1-1144</v>
      </c>
      <c r="B306" s="1">
        <v>2014</v>
      </c>
      <c r="C306" s="6" t="s">
        <v>1844</v>
      </c>
      <c r="D306" t="s">
        <v>1845</v>
      </c>
      <c r="E306" t="s">
        <v>1846</v>
      </c>
    </row>
    <row r="307" spans="1:5">
      <c r="A307" s="1" t="str">
        <f t="shared" si="4"/>
        <v>2014Ex1-1188</v>
      </c>
      <c r="B307" s="1">
        <v>2014</v>
      </c>
      <c r="C307" s="6" t="s">
        <v>1847</v>
      </c>
      <c r="D307" t="s">
        <v>1848</v>
      </c>
      <c r="E307" t="s">
        <v>293</v>
      </c>
    </row>
    <row r="308" spans="1:5">
      <c r="A308" s="1" t="str">
        <f t="shared" si="4"/>
        <v>2014Ex1-2141</v>
      </c>
      <c r="B308">
        <v>2014</v>
      </c>
      <c r="C308" s="6" t="s">
        <v>1849</v>
      </c>
      <c r="D308" s="15" t="s">
        <v>1850</v>
      </c>
      <c r="E308" t="s">
        <v>1851</v>
      </c>
    </row>
    <row r="309" spans="1:5">
      <c r="A309" s="1" t="str">
        <f t="shared" si="4"/>
        <v>2014Ex1-289</v>
      </c>
      <c r="B309" s="1">
        <v>2014</v>
      </c>
      <c r="C309" s="6" t="s">
        <v>1852</v>
      </c>
      <c r="D309" s="1" t="s">
        <v>1853</v>
      </c>
      <c r="E309" t="s">
        <v>1854</v>
      </c>
    </row>
    <row r="310" spans="1:5">
      <c r="A310" s="1" t="str">
        <f t="shared" si="4"/>
        <v>2014Ex1-514</v>
      </c>
      <c r="B310" s="1">
        <v>2014</v>
      </c>
      <c r="C310" s="6" t="s">
        <v>1855</v>
      </c>
      <c r="D310" s="1" t="s">
        <v>1856</v>
      </c>
      <c r="E310" t="s">
        <v>1857</v>
      </c>
    </row>
    <row r="311" spans="1:5">
      <c r="A311" s="1" t="str">
        <f t="shared" si="4"/>
        <v>2014Ex1-647</v>
      </c>
      <c r="B311" s="1">
        <v>2014</v>
      </c>
      <c r="C311" s="6" t="s">
        <v>1858</v>
      </c>
      <c r="D311" t="s">
        <v>1859</v>
      </c>
      <c r="E311" t="s">
        <v>1860</v>
      </c>
    </row>
    <row r="312" spans="1:5">
      <c r="A312" s="1" t="str">
        <f t="shared" si="4"/>
        <v>2014Ex1-70</v>
      </c>
      <c r="B312" s="1">
        <v>2014</v>
      </c>
      <c r="C312" s="6" t="s">
        <v>1861</v>
      </c>
      <c r="D312" s="1" t="s">
        <v>1862</v>
      </c>
      <c r="E312" t="s">
        <v>1863</v>
      </c>
    </row>
    <row r="313" spans="1:5">
      <c r="A313" s="1" t="str">
        <f t="shared" si="4"/>
        <v>2015Ex1-1070</v>
      </c>
      <c r="B313" s="1">
        <v>2015</v>
      </c>
      <c r="C313" s="6" t="s">
        <v>1864</v>
      </c>
      <c r="D313" s="1" t="s">
        <v>1865</v>
      </c>
      <c r="E313" t="s">
        <v>1866</v>
      </c>
    </row>
    <row r="314" spans="1:5">
      <c r="A314" s="1" t="str">
        <f t="shared" si="4"/>
        <v>2015Ex1-128</v>
      </c>
      <c r="B314" s="1">
        <v>2015</v>
      </c>
      <c r="C314" s="6" t="s">
        <v>1867</v>
      </c>
      <c r="D314" s="1" t="s">
        <v>1868</v>
      </c>
      <c r="E314" t="s">
        <v>1869</v>
      </c>
    </row>
    <row r="315" spans="1:5">
      <c r="A315" s="1" t="str">
        <f t="shared" si="4"/>
        <v>2015Ex1-1585</v>
      </c>
      <c r="B315">
        <v>2015</v>
      </c>
      <c r="C315" s="6" t="s">
        <v>1870</v>
      </c>
      <c r="D315" t="s">
        <v>1871</v>
      </c>
      <c r="E315" t="s">
        <v>1872</v>
      </c>
    </row>
    <row r="316" spans="1:5">
      <c r="A316" s="1" t="str">
        <f t="shared" si="4"/>
        <v>2015Ex1-1612</v>
      </c>
      <c r="B316">
        <v>2015</v>
      </c>
      <c r="C316" s="6" t="s">
        <v>1873</v>
      </c>
      <c r="D316" t="s">
        <v>1874</v>
      </c>
      <c r="E316" t="s">
        <v>1875</v>
      </c>
    </row>
    <row r="317" spans="1:5">
      <c r="A317" s="1" t="str">
        <f t="shared" si="4"/>
        <v>2015Ex1-1628</v>
      </c>
      <c r="B317">
        <v>2015</v>
      </c>
      <c r="C317" s="6" t="s">
        <v>1876</v>
      </c>
      <c r="D317" t="s">
        <v>1877</v>
      </c>
      <c r="E317" t="s">
        <v>1878</v>
      </c>
    </row>
    <row r="318" spans="1:5">
      <c r="A318" s="1" t="str">
        <f t="shared" si="4"/>
        <v>2015Ex1-1973</v>
      </c>
      <c r="B318">
        <v>2015</v>
      </c>
      <c r="C318" s="6" t="s">
        <v>1879</v>
      </c>
      <c r="D318" t="s">
        <v>1880</v>
      </c>
      <c r="E318" t="s">
        <v>1881</v>
      </c>
    </row>
    <row r="319" spans="1:5">
      <c r="A319" s="1" t="str">
        <f t="shared" si="4"/>
        <v>2015Ex1-2326</v>
      </c>
      <c r="B319">
        <v>2015</v>
      </c>
      <c r="C319" s="6" t="s">
        <v>1882</v>
      </c>
      <c r="D319" t="s">
        <v>1883</v>
      </c>
      <c r="E319" t="s">
        <v>1884</v>
      </c>
    </row>
    <row r="320" spans="1:5">
      <c r="A320" s="1" t="str">
        <f t="shared" si="4"/>
        <v>2016Ex1-1163</v>
      </c>
      <c r="B320" s="1">
        <v>2016</v>
      </c>
      <c r="C320" s="6" t="s">
        <v>1885</v>
      </c>
      <c r="D320" t="s">
        <v>1886</v>
      </c>
      <c r="E320" t="s">
        <v>1887</v>
      </c>
    </row>
    <row r="321" spans="1:5">
      <c r="A321" s="1" t="str">
        <f t="shared" ref="A321:A381" si="5">B321&amp;""&amp;C321</f>
        <v>2016Ex1-1283</v>
      </c>
      <c r="B321" s="1">
        <v>2016</v>
      </c>
      <c r="C321" s="6" t="s">
        <v>1888</v>
      </c>
      <c r="D321" s="1" t="s">
        <v>1889</v>
      </c>
      <c r="E321" t="s">
        <v>1890</v>
      </c>
    </row>
    <row r="322" spans="1:5">
      <c r="A322" s="1" t="str">
        <f t="shared" si="5"/>
        <v>2016Ex1-1486</v>
      </c>
      <c r="B322">
        <v>2016</v>
      </c>
      <c r="C322" s="6" t="s">
        <v>1891</v>
      </c>
      <c r="D322" t="s">
        <v>1892</v>
      </c>
      <c r="E322" t="s">
        <v>1893</v>
      </c>
    </row>
    <row r="323" spans="1:5">
      <c r="A323" s="1" t="str">
        <f t="shared" si="5"/>
        <v>2016Ex1-1595</v>
      </c>
      <c r="B323">
        <v>2016</v>
      </c>
      <c r="C323" s="6" t="s">
        <v>1894</v>
      </c>
      <c r="D323" t="s">
        <v>1895</v>
      </c>
      <c r="E323" t="s">
        <v>1896</v>
      </c>
    </row>
    <row r="324" spans="1:5">
      <c r="A324" s="1" t="str">
        <f t="shared" si="5"/>
        <v>2016Ex1-1748</v>
      </c>
      <c r="B324">
        <v>2016</v>
      </c>
      <c r="C324" s="6" t="s">
        <v>1897</v>
      </c>
      <c r="D324" t="s">
        <v>1898</v>
      </c>
      <c r="E324" t="s">
        <v>1899</v>
      </c>
    </row>
    <row r="325" spans="1:5">
      <c r="A325" s="1" t="str">
        <f t="shared" si="5"/>
        <v>2016Ex1-1974</v>
      </c>
      <c r="B325">
        <v>2016</v>
      </c>
      <c r="C325" s="6" t="s">
        <v>1900</v>
      </c>
      <c r="D325" t="s">
        <v>1901</v>
      </c>
      <c r="E325" t="s">
        <v>1902</v>
      </c>
    </row>
    <row r="326" spans="1:5">
      <c r="A326" s="1" t="str">
        <f t="shared" si="5"/>
        <v>2016Ex1-2069</v>
      </c>
      <c r="B326">
        <v>2016</v>
      </c>
      <c r="C326" s="6" t="s">
        <v>1903</v>
      </c>
      <c r="D326" t="s">
        <v>1904</v>
      </c>
      <c r="E326" t="s">
        <v>1905</v>
      </c>
    </row>
    <row r="327" spans="1:5">
      <c r="A327" s="1" t="str">
        <f t="shared" si="5"/>
        <v>2016Ex1-2214</v>
      </c>
      <c r="B327">
        <v>2016</v>
      </c>
      <c r="C327" s="6" t="s">
        <v>1906</v>
      </c>
      <c r="D327" t="s">
        <v>1907</v>
      </c>
      <c r="E327" t="s">
        <v>1908</v>
      </c>
    </row>
    <row r="328" spans="1:5">
      <c r="A328" s="1" t="str">
        <f t="shared" si="5"/>
        <v>2016Ex1-240</v>
      </c>
      <c r="B328" s="1">
        <v>2016</v>
      </c>
      <c r="C328" s="6" t="s">
        <v>1909</v>
      </c>
      <c r="D328" s="1" t="s">
        <v>1910</v>
      </c>
      <c r="E328" t="s">
        <v>1911</v>
      </c>
    </row>
    <row r="329" spans="1:5">
      <c r="A329" s="1" t="str">
        <f t="shared" si="5"/>
        <v>2016Ex1-2402</v>
      </c>
      <c r="B329">
        <v>2016</v>
      </c>
      <c r="C329" s="6" t="s">
        <v>1912</v>
      </c>
      <c r="D329" t="s">
        <v>1913</v>
      </c>
      <c r="E329" t="s">
        <v>227</v>
      </c>
    </row>
    <row r="330" spans="1:5">
      <c r="A330" s="1" t="str">
        <f t="shared" si="5"/>
        <v>2016Ex1-2435</v>
      </c>
      <c r="B330">
        <v>2016</v>
      </c>
      <c r="C330" s="6" t="s">
        <v>1914</v>
      </c>
      <c r="D330" s="15" t="s">
        <v>1915</v>
      </c>
      <c r="E330" t="s">
        <v>1916</v>
      </c>
    </row>
    <row r="331" spans="1:5">
      <c r="A331" s="1" t="str">
        <f t="shared" si="5"/>
        <v>2016Ex1-2658</v>
      </c>
      <c r="B331">
        <v>2016</v>
      </c>
      <c r="C331" s="6" t="s">
        <v>1917</v>
      </c>
      <c r="D331" t="s">
        <v>1918</v>
      </c>
      <c r="E331" t="s">
        <v>1919</v>
      </c>
    </row>
    <row r="332" spans="1:5">
      <c r="A332" s="1" t="str">
        <f t="shared" si="5"/>
        <v>2016Ex1-290a</v>
      </c>
      <c r="B332" s="1">
        <v>2016</v>
      </c>
      <c r="C332" s="6" t="s">
        <v>1920</v>
      </c>
      <c r="D332" s="1" t="s">
        <v>1921</v>
      </c>
      <c r="E332" t="s">
        <v>1922</v>
      </c>
    </row>
    <row r="333" spans="1:5">
      <c r="A333" s="1" t="str">
        <f t="shared" si="5"/>
        <v>2016Ex1-387</v>
      </c>
      <c r="B333" s="1">
        <v>2016</v>
      </c>
      <c r="C333" s="6" t="s">
        <v>1923</v>
      </c>
      <c r="D333" s="1" t="s">
        <v>1924</v>
      </c>
      <c r="E333" t="s">
        <v>1925</v>
      </c>
    </row>
    <row r="334" spans="1:5">
      <c r="A334" s="1" t="str">
        <f t="shared" si="5"/>
        <v>2016Ex1-480</v>
      </c>
      <c r="B334" s="1">
        <v>2016</v>
      </c>
      <c r="C334" s="6" t="s">
        <v>1926</v>
      </c>
      <c r="D334" s="1" t="s">
        <v>1927</v>
      </c>
      <c r="E334" t="s">
        <v>1928</v>
      </c>
    </row>
    <row r="335" spans="1:5">
      <c r="A335" s="1" t="str">
        <f t="shared" si="5"/>
        <v>2016Ex1-536</v>
      </c>
      <c r="B335" s="1">
        <v>2016</v>
      </c>
      <c r="C335" s="6" t="s">
        <v>1929</v>
      </c>
      <c r="D335" t="s">
        <v>1930</v>
      </c>
      <c r="E335" t="s">
        <v>1931</v>
      </c>
    </row>
    <row r="336" spans="1:5">
      <c r="A336" s="1" t="str">
        <f t="shared" si="5"/>
        <v>2016Ex1-623</v>
      </c>
      <c r="B336" s="1">
        <v>2016</v>
      </c>
      <c r="C336" s="6" t="s">
        <v>1932</v>
      </c>
      <c r="D336" t="s">
        <v>1933</v>
      </c>
      <c r="E336" t="s">
        <v>1934</v>
      </c>
    </row>
    <row r="337" spans="1:5">
      <c r="A337" s="1" t="str">
        <f t="shared" si="5"/>
        <v>2017Ex1-1177</v>
      </c>
      <c r="B337" s="1">
        <v>2017</v>
      </c>
      <c r="C337" s="6" t="s">
        <v>1935</v>
      </c>
      <c r="D337" t="s">
        <v>1936</v>
      </c>
      <c r="E337" t="s">
        <v>1937</v>
      </c>
    </row>
    <row r="338" spans="1:5">
      <c r="A338" s="1" t="str">
        <f t="shared" si="5"/>
        <v>2017Ex1-1249</v>
      </c>
      <c r="B338" s="1">
        <v>2017</v>
      </c>
      <c r="C338" s="6" t="s">
        <v>1938</v>
      </c>
      <c r="D338" t="s">
        <v>1939</v>
      </c>
      <c r="E338" t="s">
        <v>1940</v>
      </c>
    </row>
    <row r="339" spans="1:5">
      <c r="A339" s="1" t="str">
        <f t="shared" si="5"/>
        <v>2017Ex1-1346</v>
      </c>
      <c r="B339" s="1">
        <v>2017</v>
      </c>
      <c r="C339" s="6" t="s">
        <v>1941</v>
      </c>
      <c r="D339" t="s">
        <v>1942</v>
      </c>
      <c r="E339" t="s">
        <v>1943</v>
      </c>
    </row>
    <row r="340" spans="1:5">
      <c r="A340" s="1" t="str">
        <f t="shared" si="5"/>
        <v>2017Ex1-1364</v>
      </c>
      <c r="B340" s="1">
        <v>2017</v>
      </c>
      <c r="C340" s="6" t="s">
        <v>1944</v>
      </c>
      <c r="D340" s="13" t="s">
        <v>1945</v>
      </c>
      <c r="E340" t="s">
        <v>1946</v>
      </c>
    </row>
    <row r="341" spans="1:5">
      <c r="A341" s="1" t="str">
        <f t="shared" si="5"/>
        <v>2017Ex1-1373b</v>
      </c>
      <c r="B341" s="1">
        <v>2017</v>
      </c>
      <c r="C341" s="6" t="s">
        <v>1947</v>
      </c>
      <c r="D341" s="13" t="s">
        <v>1948</v>
      </c>
      <c r="E341" t="s">
        <v>1949</v>
      </c>
    </row>
    <row r="342" spans="1:5">
      <c r="A342" s="1" t="str">
        <f t="shared" si="5"/>
        <v>2017Ex1-1468</v>
      </c>
      <c r="B342">
        <v>2017</v>
      </c>
      <c r="C342" s="6" t="s">
        <v>1950</v>
      </c>
      <c r="D342" t="s">
        <v>1951</v>
      </c>
      <c r="E342" t="s">
        <v>1952</v>
      </c>
    </row>
    <row r="343" spans="1:5">
      <c r="A343" s="1" t="str">
        <f t="shared" si="5"/>
        <v>2017Ex1-1558</v>
      </c>
      <c r="B343">
        <v>2017</v>
      </c>
      <c r="C343" s="6" t="s">
        <v>1953</v>
      </c>
      <c r="D343" t="s">
        <v>1954</v>
      </c>
      <c r="E343" t="s">
        <v>1955</v>
      </c>
    </row>
    <row r="344" spans="1:5">
      <c r="A344" s="1" t="str">
        <f t="shared" si="5"/>
        <v>2017Ex1-1665</v>
      </c>
      <c r="B344">
        <v>2017</v>
      </c>
      <c r="C344" s="6" t="s">
        <v>1956</v>
      </c>
      <c r="D344" s="1" t="s">
        <v>1957</v>
      </c>
      <c r="E344" t="s">
        <v>249</v>
      </c>
    </row>
    <row r="345" spans="1:5">
      <c r="A345" s="1" t="str">
        <f t="shared" si="5"/>
        <v>2017Ex1-1918</v>
      </c>
      <c r="B345">
        <v>2017</v>
      </c>
      <c r="C345" s="6" t="s">
        <v>1958</v>
      </c>
      <c r="D345" t="s">
        <v>1959</v>
      </c>
      <c r="E345" t="s">
        <v>267</v>
      </c>
    </row>
    <row r="346" spans="1:5">
      <c r="A346" s="1" t="str">
        <f t="shared" si="5"/>
        <v>2017Ex1-2379</v>
      </c>
      <c r="B346">
        <v>2017</v>
      </c>
      <c r="C346" s="6" t="s">
        <v>1960</v>
      </c>
      <c r="D346" s="15" t="s">
        <v>1961</v>
      </c>
      <c r="E346" t="s">
        <v>1962</v>
      </c>
    </row>
    <row r="347" spans="1:5">
      <c r="A347" s="1" t="str">
        <f t="shared" si="5"/>
        <v>2017Ex1-2514</v>
      </c>
      <c r="B347">
        <v>2017</v>
      </c>
      <c r="C347" s="6" t="s">
        <v>1963</v>
      </c>
      <c r="D347" t="s">
        <v>1964</v>
      </c>
      <c r="E347" t="s">
        <v>1965</v>
      </c>
    </row>
    <row r="348" spans="1:5">
      <c r="A348" s="1" t="str">
        <f t="shared" si="5"/>
        <v>2017Ex1-941</v>
      </c>
      <c r="B348" s="1">
        <v>2017</v>
      </c>
      <c r="C348" s="6" t="s">
        <v>1966</v>
      </c>
      <c r="D348" s="1" t="s">
        <v>1967</v>
      </c>
      <c r="E348" t="s">
        <v>1968</v>
      </c>
    </row>
    <row r="349" spans="1:5">
      <c r="A349" s="1" t="str">
        <f t="shared" si="5"/>
        <v>2018Ex1-1056</v>
      </c>
      <c r="B349" s="1">
        <v>2018</v>
      </c>
      <c r="C349" s="6" t="s">
        <v>1969</v>
      </c>
      <c r="D349" t="s">
        <v>1970</v>
      </c>
      <c r="E349" t="s">
        <v>1971</v>
      </c>
    </row>
    <row r="350" spans="1:5">
      <c r="A350" s="1" t="str">
        <f t="shared" si="5"/>
        <v>2018Ex1-1106</v>
      </c>
      <c r="B350" s="1">
        <v>2018</v>
      </c>
      <c r="C350" s="6" t="s">
        <v>1972</v>
      </c>
      <c r="D350" t="s">
        <v>1973</v>
      </c>
      <c r="E350" t="s">
        <v>1974</v>
      </c>
    </row>
    <row r="351" spans="1:5">
      <c r="A351" s="1" t="str">
        <f t="shared" si="5"/>
        <v>2018Ex1-1236</v>
      </c>
      <c r="B351" s="1">
        <v>2018</v>
      </c>
      <c r="C351" s="6" t="s">
        <v>1975</v>
      </c>
      <c r="D351" t="s">
        <v>1976</v>
      </c>
      <c r="E351" t="s">
        <v>1977</v>
      </c>
    </row>
    <row r="352" spans="1:5">
      <c r="A352" s="1" t="str">
        <f t="shared" si="5"/>
        <v>2018Ex1-1307</v>
      </c>
      <c r="B352" s="1">
        <v>2018</v>
      </c>
      <c r="C352" s="6" t="s">
        <v>1978</v>
      </c>
      <c r="D352" t="s">
        <v>1979</v>
      </c>
      <c r="E352" t="s">
        <v>1980</v>
      </c>
    </row>
    <row r="353" spans="1:5">
      <c r="A353" s="1" t="str">
        <f t="shared" si="5"/>
        <v>2018Ex1-1437</v>
      </c>
      <c r="B353">
        <v>2018</v>
      </c>
      <c r="C353" s="6" t="s">
        <v>1981</v>
      </c>
      <c r="D353" t="s">
        <v>1982</v>
      </c>
      <c r="E353" t="s">
        <v>1983</v>
      </c>
    </row>
    <row r="354" spans="1:5">
      <c r="A354" s="1" t="str">
        <f t="shared" si="5"/>
        <v>2018Ex1-1533</v>
      </c>
      <c r="B354">
        <v>2018</v>
      </c>
      <c r="C354" s="6" t="s">
        <v>1984</v>
      </c>
      <c r="D354" s="13" t="s">
        <v>1985</v>
      </c>
      <c r="E354" t="s">
        <v>1986</v>
      </c>
    </row>
    <row r="355" spans="1:5">
      <c r="A355" s="1" t="str">
        <f t="shared" si="5"/>
        <v>2018Ex1-1533</v>
      </c>
      <c r="B355">
        <v>2018</v>
      </c>
      <c r="C355" s="6" t="s">
        <v>1984</v>
      </c>
      <c r="D355" s="13" t="s">
        <v>1985</v>
      </c>
      <c r="E355" t="s">
        <v>1986</v>
      </c>
    </row>
    <row r="356" spans="1:5">
      <c r="A356" s="1" t="str">
        <f t="shared" si="5"/>
        <v>2018Ex1-1581</v>
      </c>
      <c r="B356">
        <v>2018</v>
      </c>
      <c r="C356" s="6" t="s">
        <v>1987</v>
      </c>
      <c r="D356" t="s">
        <v>1988</v>
      </c>
      <c r="E356" t="s">
        <v>1989</v>
      </c>
    </row>
    <row r="357" spans="1:5">
      <c r="A357" s="1" t="str">
        <f t="shared" si="5"/>
        <v>2018Ex1-1706</v>
      </c>
      <c r="B357">
        <v>2018</v>
      </c>
      <c r="C357" s="6" t="s">
        <v>1990</v>
      </c>
      <c r="D357" s="1" t="s">
        <v>1991</v>
      </c>
      <c r="E357" t="s">
        <v>1992</v>
      </c>
    </row>
    <row r="358" spans="1:5">
      <c r="A358" s="1" t="str">
        <f t="shared" si="5"/>
        <v>2018Ex1-1733</v>
      </c>
      <c r="B358">
        <v>2018</v>
      </c>
      <c r="C358" s="6" t="s">
        <v>1993</v>
      </c>
      <c r="D358" s="1" t="s">
        <v>1994</v>
      </c>
      <c r="E358" t="s">
        <v>1995</v>
      </c>
    </row>
    <row r="359" spans="1:5">
      <c r="A359" s="1" t="str">
        <f t="shared" si="5"/>
        <v>2018Ex1-2208</v>
      </c>
      <c r="B359">
        <v>2018</v>
      </c>
      <c r="C359" s="6" t="s">
        <v>1996</v>
      </c>
      <c r="D359" t="s">
        <v>1997</v>
      </c>
      <c r="E359" t="s">
        <v>1998</v>
      </c>
    </row>
    <row r="360" spans="1:5">
      <c r="A360" s="1" t="str">
        <f t="shared" si="5"/>
        <v>2018Ex1-2493</v>
      </c>
      <c r="B360">
        <v>2018</v>
      </c>
      <c r="C360" s="6" t="s">
        <v>1999</v>
      </c>
      <c r="D360" s="15" t="s">
        <v>2000</v>
      </c>
      <c r="E360" t="s">
        <v>2001</v>
      </c>
    </row>
    <row r="361" spans="1:5">
      <c r="A361" s="1" t="str">
        <f t="shared" si="5"/>
        <v>2018Ex1-2493</v>
      </c>
      <c r="B361">
        <v>2018</v>
      </c>
      <c r="C361" s="6" t="s">
        <v>1999</v>
      </c>
      <c r="D361" s="15" t="s">
        <v>2000</v>
      </c>
      <c r="E361" t="s">
        <v>2001</v>
      </c>
    </row>
    <row r="362" spans="1:5">
      <c r="A362" s="1" t="str">
        <f t="shared" si="5"/>
        <v>2018Ex1-2580</v>
      </c>
      <c r="B362">
        <v>2018</v>
      </c>
      <c r="C362" s="6" t="s">
        <v>2002</v>
      </c>
      <c r="D362" s="15" t="s">
        <v>2003</v>
      </c>
      <c r="E362" t="s">
        <v>2004</v>
      </c>
    </row>
    <row r="363" spans="1:5">
      <c r="A363" s="1" t="str">
        <f t="shared" si="5"/>
        <v>2018Ex1-2603</v>
      </c>
      <c r="B363">
        <v>2018</v>
      </c>
      <c r="C363" s="6" t="s">
        <v>2005</v>
      </c>
      <c r="D363" t="s">
        <v>2006</v>
      </c>
      <c r="E363" t="s">
        <v>2007</v>
      </c>
    </row>
    <row r="364" spans="1:5">
      <c r="A364" s="1" t="str">
        <f t="shared" si="5"/>
        <v>2018Ex1-489</v>
      </c>
      <c r="B364" s="1">
        <v>2018</v>
      </c>
      <c r="C364" s="6" t="s">
        <v>2008</v>
      </c>
      <c r="D364" s="1" t="s">
        <v>2009</v>
      </c>
      <c r="E364" t="s">
        <v>134</v>
      </c>
    </row>
    <row r="365" spans="1:5">
      <c r="A365" s="1" t="str">
        <f t="shared" si="5"/>
        <v>2018Ex1-780</v>
      </c>
      <c r="B365" s="1">
        <v>2018</v>
      </c>
      <c r="C365" s="6" t="s">
        <v>2010</v>
      </c>
      <c r="D365" t="s">
        <v>2011</v>
      </c>
      <c r="E365" t="s">
        <v>2012</v>
      </c>
    </row>
    <row r="366" spans="1:5">
      <c r="A366" s="1" t="str">
        <f t="shared" si="5"/>
        <v>2019Ex1-1011</v>
      </c>
      <c r="B366" s="1">
        <v>2019</v>
      </c>
      <c r="C366" s="6" t="s">
        <v>2013</v>
      </c>
      <c r="D366" t="s">
        <v>2014</v>
      </c>
      <c r="E366" t="s">
        <v>2015</v>
      </c>
    </row>
    <row r="367" spans="1:5">
      <c r="A367" s="1" t="str">
        <f t="shared" si="5"/>
        <v>2019Ex1-1123</v>
      </c>
      <c r="B367" s="1">
        <v>2019</v>
      </c>
      <c r="C367" s="6" t="s">
        <v>2016</v>
      </c>
      <c r="D367" t="s">
        <v>2017</v>
      </c>
      <c r="E367" t="s">
        <v>2018</v>
      </c>
    </row>
    <row r="368" spans="1:5">
      <c r="A368" s="1" t="str">
        <f t="shared" si="5"/>
        <v>2019Ex1-1414</v>
      </c>
      <c r="B368" s="1">
        <v>2019</v>
      </c>
      <c r="C368" s="6" t="s">
        <v>2019</v>
      </c>
      <c r="D368" s="13" t="s">
        <v>2020</v>
      </c>
      <c r="E368" t="s">
        <v>2021</v>
      </c>
    </row>
    <row r="369" spans="1:6">
      <c r="A369" s="1" t="str">
        <f t="shared" si="5"/>
        <v>2019Ex1-1597</v>
      </c>
      <c r="B369">
        <v>2019</v>
      </c>
      <c r="C369" s="6" t="s">
        <v>2022</v>
      </c>
      <c r="D369" t="s">
        <v>2023</v>
      </c>
      <c r="E369" t="s">
        <v>2024</v>
      </c>
    </row>
    <row r="370" spans="1:6">
      <c r="A370" s="1" t="str">
        <f t="shared" si="5"/>
        <v>2019Ex1-1800</v>
      </c>
      <c r="B370">
        <v>2019</v>
      </c>
      <c r="C370" s="6" t="s">
        <v>2025</v>
      </c>
      <c r="D370" s="1" t="s">
        <v>2026</v>
      </c>
      <c r="E370" t="s">
        <v>640</v>
      </c>
    </row>
    <row r="371" spans="1:6">
      <c r="A371" s="1" t="str">
        <f t="shared" si="5"/>
        <v>2019Ex1-1942</v>
      </c>
      <c r="B371">
        <v>2019</v>
      </c>
      <c r="C371" s="6" t="s">
        <v>2027</v>
      </c>
      <c r="D371" s="15" t="s">
        <v>2028</v>
      </c>
      <c r="E371" t="s">
        <v>2029</v>
      </c>
    </row>
    <row r="372" spans="1:6">
      <c r="A372" s="1" t="str">
        <f t="shared" si="5"/>
        <v>2019Ex1-1963</v>
      </c>
      <c r="B372">
        <v>2019</v>
      </c>
      <c r="C372" s="6" t="s">
        <v>2030</v>
      </c>
      <c r="D372" t="s">
        <v>2031</v>
      </c>
      <c r="E372" t="s">
        <v>2032</v>
      </c>
    </row>
    <row r="373" spans="1:6">
      <c r="A373" s="1" t="str">
        <f t="shared" si="5"/>
        <v>2019Ex1-2042</v>
      </c>
      <c r="B373">
        <v>2019</v>
      </c>
      <c r="C373" s="6" t="s">
        <v>2033</v>
      </c>
      <c r="D373" t="s">
        <v>2034</v>
      </c>
      <c r="E373" t="s">
        <v>2035</v>
      </c>
    </row>
    <row r="374" spans="1:6">
      <c r="A374" s="1" t="str">
        <f t="shared" si="5"/>
        <v>2019Ex1-599</v>
      </c>
      <c r="B374" s="1">
        <v>2019</v>
      </c>
      <c r="C374" s="6" t="s">
        <v>2036</v>
      </c>
      <c r="D374" s="1" t="s">
        <v>2037</v>
      </c>
      <c r="E374" t="s">
        <v>2038</v>
      </c>
    </row>
    <row r="375" spans="1:6">
      <c r="A375" s="1" t="str">
        <f t="shared" si="5"/>
        <v>2019Ex1-686</v>
      </c>
      <c r="B375" s="1">
        <v>2019</v>
      </c>
      <c r="C375" s="6" t="s">
        <v>2039</v>
      </c>
      <c r="D375" t="s">
        <v>2040</v>
      </c>
      <c r="E375" t="s">
        <v>2041</v>
      </c>
    </row>
    <row r="376" spans="1:6">
      <c r="A376" s="1" t="str">
        <f t="shared" si="5"/>
        <v>2019Ex1-833</v>
      </c>
      <c r="B376" s="1">
        <v>2019</v>
      </c>
      <c r="C376" s="6" t="s">
        <v>2042</v>
      </c>
      <c r="D376" t="s">
        <v>2043</v>
      </c>
      <c r="E376" t="s">
        <v>2044</v>
      </c>
    </row>
    <row r="377" spans="1:6">
      <c r="A377" s="1" t="str">
        <f t="shared" si="5"/>
        <v>2020Ex1-1807</v>
      </c>
      <c r="B377">
        <v>2020</v>
      </c>
      <c r="C377" s="6" t="s">
        <v>2045</v>
      </c>
      <c r="D377" s="1" t="s">
        <v>2046</v>
      </c>
      <c r="E377" t="s">
        <v>2024</v>
      </c>
    </row>
    <row r="378" spans="1:6">
      <c r="A378" s="1" t="str">
        <f t="shared" si="5"/>
        <v>2020Ex1-260</v>
      </c>
      <c r="B378" s="1">
        <v>2020</v>
      </c>
      <c r="C378" s="6" t="s">
        <v>2047</v>
      </c>
      <c r="D378" s="1" t="s">
        <v>2048</v>
      </c>
      <c r="E378" t="s">
        <v>2049</v>
      </c>
    </row>
    <row r="379" spans="1:6">
      <c r="A379" s="1" t="str">
        <f t="shared" si="5"/>
        <v>2005A14</v>
      </c>
      <c r="B379" s="1">
        <v>2005</v>
      </c>
      <c r="C379" s="10" t="s">
        <v>923</v>
      </c>
      <c r="D379" t="s">
        <v>2050</v>
      </c>
      <c r="E379" t="s">
        <v>2051</v>
      </c>
      <c r="F379" t="s">
        <v>2052</v>
      </c>
    </row>
    <row r="380" spans="1:6">
      <c r="A380" s="1" t="str">
        <f t="shared" si="5"/>
        <v>2005A15</v>
      </c>
      <c r="B380" s="1">
        <v>2005</v>
      </c>
      <c r="C380" s="10" t="s">
        <v>856</v>
      </c>
      <c r="D380" t="s">
        <v>2053</v>
      </c>
      <c r="E380" t="s">
        <v>2054</v>
      </c>
      <c r="F380" t="s">
        <v>2055</v>
      </c>
    </row>
    <row r="381" spans="1:6">
      <c r="A381" s="1" t="str">
        <f t="shared" si="5"/>
        <v>2005A18</v>
      </c>
      <c r="B381" s="1">
        <v>2005</v>
      </c>
      <c r="C381" s="10" t="s">
        <v>980</v>
      </c>
      <c r="D381" t="s">
        <v>2056</v>
      </c>
      <c r="E381" t="s">
        <v>2057</v>
      </c>
      <c r="F381" t="s">
        <v>2058</v>
      </c>
    </row>
    <row r="382" spans="1:6">
      <c r="A382" s="1" t="str">
        <f t="shared" ref="A382:A390" si="6">B382&amp;""&amp;C382</f>
        <v>2005A5</v>
      </c>
      <c r="B382" s="1">
        <v>2005</v>
      </c>
      <c r="C382" s="10" t="s">
        <v>1136</v>
      </c>
      <c r="D382" t="s">
        <v>2059</v>
      </c>
      <c r="E382" t="s">
        <v>2060</v>
      </c>
      <c r="F382" t="s">
        <v>2061</v>
      </c>
    </row>
    <row r="383" spans="1:6">
      <c r="A383" s="1" t="str">
        <f t="shared" si="6"/>
        <v>2005A7</v>
      </c>
      <c r="B383" s="1">
        <v>2005</v>
      </c>
      <c r="C383" s="10" t="s">
        <v>945</v>
      </c>
      <c r="D383" t="s">
        <v>2062</v>
      </c>
      <c r="E383" t="s">
        <v>2063</v>
      </c>
      <c r="F383" t="s">
        <v>2064</v>
      </c>
    </row>
    <row r="384" spans="1:6">
      <c r="A384" s="1" t="str">
        <f t="shared" si="6"/>
        <v>2005D3</v>
      </c>
      <c r="B384" s="1">
        <v>2005</v>
      </c>
      <c r="C384" s="10" t="s">
        <v>2065</v>
      </c>
      <c r="D384" t="s">
        <v>2066</v>
      </c>
      <c r="E384" t="s">
        <v>2067</v>
      </c>
      <c r="F384" t="s">
        <v>2068</v>
      </c>
    </row>
    <row r="385" spans="1:6">
      <c r="A385" s="1" t="str">
        <f t="shared" si="6"/>
        <v>2005F15</v>
      </c>
      <c r="B385" s="1">
        <v>2005</v>
      </c>
      <c r="C385" s="10" t="s">
        <v>2069</v>
      </c>
      <c r="D385" t="s">
        <v>2070</v>
      </c>
      <c r="E385" t="s">
        <v>2071</v>
      </c>
      <c r="F385" t="s">
        <v>2072</v>
      </c>
    </row>
    <row r="386" spans="1:6">
      <c r="A386" s="1" t="str">
        <f t="shared" si="6"/>
        <v>2005F15</v>
      </c>
      <c r="B386" s="1">
        <v>2005</v>
      </c>
      <c r="C386" s="10" t="s">
        <v>2069</v>
      </c>
      <c r="D386" t="s">
        <v>2070</v>
      </c>
      <c r="E386" t="s">
        <v>2071</v>
      </c>
      <c r="F386" t="s">
        <v>2072</v>
      </c>
    </row>
    <row r="387" spans="1:6">
      <c r="A387" s="1" t="str">
        <f t="shared" si="6"/>
        <v>2005F2</v>
      </c>
      <c r="B387" s="1">
        <v>2005</v>
      </c>
      <c r="C387" s="10" t="s">
        <v>1074</v>
      </c>
      <c r="D387" t="s">
        <v>2073</v>
      </c>
      <c r="E387" t="s">
        <v>2074</v>
      </c>
      <c r="F387" t="s">
        <v>2075</v>
      </c>
    </row>
    <row r="388" spans="1:6">
      <c r="A388" s="1" t="str">
        <f t="shared" si="6"/>
        <v>2007A11</v>
      </c>
      <c r="B388" s="2">
        <v>2007</v>
      </c>
      <c r="C388" s="1" t="s">
        <v>973</v>
      </c>
      <c r="D388" t="s">
        <v>2076</v>
      </c>
      <c r="E388" t="s">
        <v>2077</v>
      </c>
      <c r="F388" t="s">
        <v>2078</v>
      </c>
    </row>
    <row r="389" spans="1:6">
      <c r="A389" s="1" t="str">
        <f t="shared" si="6"/>
        <v>2007A19</v>
      </c>
      <c r="B389" s="2">
        <v>2007</v>
      </c>
      <c r="C389" s="1" t="s">
        <v>1102</v>
      </c>
      <c r="D389" t="s">
        <v>2079</v>
      </c>
      <c r="E389" t="s">
        <v>2080</v>
      </c>
      <c r="F389" t="s">
        <v>2081</v>
      </c>
    </row>
    <row r="390" spans="1:6">
      <c r="A390" s="1" t="str">
        <f t="shared" si="6"/>
        <v>2007A34</v>
      </c>
      <c r="B390" s="2">
        <v>2007</v>
      </c>
      <c r="C390" s="1" t="s">
        <v>1116</v>
      </c>
      <c r="D390" t="s">
        <v>2082</v>
      </c>
      <c r="E390" t="s">
        <v>2083</v>
      </c>
      <c r="F390" t="s">
        <v>2084</v>
      </c>
    </row>
    <row r="391" spans="1:6">
      <c r="A391" s="1" t="str">
        <f t="shared" ref="A391:A444" si="7">B391&amp;""&amp;C391</f>
        <v>2007A34</v>
      </c>
      <c r="B391" s="2">
        <v>2007</v>
      </c>
      <c r="C391" s="1" t="s">
        <v>1116</v>
      </c>
      <c r="D391" t="s">
        <v>2082</v>
      </c>
      <c r="E391" t="s">
        <v>2083</v>
      </c>
      <c r="F391" t="s">
        <v>2084</v>
      </c>
    </row>
    <row r="392" spans="1:6">
      <c r="A392" s="1" t="str">
        <f t="shared" si="7"/>
        <v>2007A35</v>
      </c>
      <c r="B392" s="2">
        <v>2007</v>
      </c>
      <c r="C392" s="1" t="s">
        <v>1211</v>
      </c>
      <c r="D392" t="s">
        <v>2085</v>
      </c>
      <c r="E392" t="s">
        <v>2086</v>
      </c>
      <c r="F392" t="s">
        <v>2087</v>
      </c>
    </row>
    <row r="393" spans="1:6">
      <c r="A393" s="1" t="str">
        <f t="shared" si="7"/>
        <v>2007A36</v>
      </c>
      <c r="B393" s="2">
        <v>2007</v>
      </c>
      <c r="C393" s="1" t="s">
        <v>1481</v>
      </c>
      <c r="D393" t="s">
        <v>2088</v>
      </c>
      <c r="E393" t="s">
        <v>2089</v>
      </c>
      <c r="F393" t="s">
        <v>2090</v>
      </c>
    </row>
    <row r="394" spans="1:6">
      <c r="A394" s="1" t="str">
        <f t="shared" si="7"/>
        <v>2007A36</v>
      </c>
      <c r="B394" s="2">
        <v>2007</v>
      </c>
      <c r="C394" s="1" t="s">
        <v>1481</v>
      </c>
      <c r="D394" t="s">
        <v>2088</v>
      </c>
      <c r="E394" t="s">
        <v>2089</v>
      </c>
      <c r="F394" t="s">
        <v>2090</v>
      </c>
    </row>
    <row r="395" spans="1:6">
      <c r="A395" s="1" t="str">
        <f t="shared" si="7"/>
        <v>2007A7</v>
      </c>
      <c r="B395" s="2">
        <v>2007</v>
      </c>
      <c r="C395" s="1" t="s">
        <v>945</v>
      </c>
      <c r="D395" t="s">
        <v>2091</v>
      </c>
      <c r="E395" t="s">
        <v>2092</v>
      </c>
      <c r="F395" t="s">
        <v>2093</v>
      </c>
    </row>
    <row r="396" spans="1:6">
      <c r="A396" s="1" t="str">
        <f t="shared" si="7"/>
        <v>2007A7</v>
      </c>
      <c r="B396" s="2">
        <v>2007</v>
      </c>
      <c r="C396" s="1" t="s">
        <v>945</v>
      </c>
      <c r="D396" t="s">
        <v>2091</v>
      </c>
      <c r="E396" t="s">
        <v>2092</v>
      </c>
      <c r="F396" t="s">
        <v>2093</v>
      </c>
    </row>
    <row r="397" spans="1:6">
      <c r="A397" s="1" t="str">
        <f t="shared" si="7"/>
        <v>2007A8</v>
      </c>
      <c r="B397" s="2">
        <v>2007</v>
      </c>
      <c r="C397" s="1" t="s">
        <v>1012</v>
      </c>
      <c r="D397" t="s">
        <v>2094</v>
      </c>
      <c r="E397" t="s">
        <v>2095</v>
      </c>
      <c r="F397" t="s">
        <v>2096</v>
      </c>
    </row>
    <row r="398" spans="1:6">
      <c r="A398" s="1" t="str">
        <f t="shared" si="7"/>
        <v>2007D10</v>
      </c>
      <c r="B398" s="2">
        <v>2007</v>
      </c>
      <c r="C398" s="1" t="s">
        <v>1024</v>
      </c>
      <c r="D398" t="s">
        <v>2097</v>
      </c>
      <c r="E398" t="s">
        <v>2098</v>
      </c>
      <c r="F398" t="s">
        <v>2099</v>
      </c>
    </row>
    <row r="399" spans="1:6">
      <c r="A399" s="1" t="str">
        <f t="shared" si="7"/>
        <v>2007D12</v>
      </c>
      <c r="B399" s="2">
        <v>2007</v>
      </c>
      <c r="C399" s="1" t="s">
        <v>1032</v>
      </c>
      <c r="D399" t="s">
        <v>2100</v>
      </c>
      <c r="E399" t="s">
        <v>2101</v>
      </c>
      <c r="F399" t="s">
        <v>2102</v>
      </c>
    </row>
    <row r="400" spans="1:6">
      <c r="A400" s="1" t="str">
        <f t="shared" si="7"/>
        <v>2007E15</v>
      </c>
      <c r="B400" s="2">
        <v>2007</v>
      </c>
      <c r="C400" s="2" t="s">
        <v>2103</v>
      </c>
      <c r="D400" t="s">
        <v>2104</v>
      </c>
      <c r="E400" t="s">
        <v>2105</v>
      </c>
      <c r="F400" t="s">
        <v>2106</v>
      </c>
    </row>
    <row r="401" spans="1:6">
      <c r="A401" s="1" t="str">
        <f t="shared" si="7"/>
        <v>2007E23</v>
      </c>
      <c r="B401" s="2">
        <v>2007</v>
      </c>
      <c r="C401" s="1" t="s">
        <v>892</v>
      </c>
      <c r="D401" t="s">
        <v>2107</v>
      </c>
      <c r="E401" t="s">
        <v>2108</v>
      </c>
      <c r="F401" t="s">
        <v>2109</v>
      </c>
    </row>
    <row r="402" spans="1:6">
      <c r="A402" s="1" t="str">
        <f t="shared" si="7"/>
        <v>2007E23</v>
      </c>
      <c r="B402" s="2">
        <v>2007</v>
      </c>
      <c r="C402" s="1" t="s">
        <v>892</v>
      </c>
      <c r="D402" t="s">
        <v>2107</v>
      </c>
      <c r="E402" t="s">
        <v>2108</v>
      </c>
      <c r="F402" t="s">
        <v>2109</v>
      </c>
    </row>
    <row r="403" spans="1:6">
      <c r="A403" s="1" t="str">
        <f t="shared" si="7"/>
        <v>2007E3</v>
      </c>
      <c r="B403" s="2">
        <v>2007</v>
      </c>
      <c r="C403" s="1" t="s">
        <v>2110</v>
      </c>
      <c r="D403" t="s">
        <v>2111</v>
      </c>
      <c r="E403" t="s">
        <v>2112</v>
      </c>
      <c r="F403" t="s">
        <v>2113</v>
      </c>
    </row>
    <row r="404" spans="1:6">
      <c r="A404" s="1" t="str">
        <f t="shared" si="7"/>
        <v xml:space="preserve">2007F1 </v>
      </c>
      <c r="B404" s="2">
        <v>2007</v>
      </c>
      <c r="C404" s="1" t="s">
        <v>2114</v>
      </c>
      <c r="D404" t="s">
        <v>2115</v>
      </c>
      <c r="E404" t="s">
        <v>2116</v>
      </c>
      <c r="F404" t="s">
        <v>2117</v>
      </c>
    </row>
    <row r="405" spans="1:6">
      <c r="A405" s="1" t="str">
        <f t="shared" si="7"/>
        <v>2007F12</v>
      </c>
      <c r="B405" s="2">
        <v>2007</v>
      </c>
      <c r="C405" s="1" t="s">
        <v>904</v>
      </c>
      <c r="D405" t="s">
        <v>2118</v>
      </c>
      <c r="E405" t="s">
        <v>2119</v>
      </c>
      <c r="F405" t="s">
        <v>2120</v>
      </c>
    </row>
    <row r="406" spans="1:6">
      <c r="A406" s="1" t="str">
        <f t="shared" si="7"/>
        <v>2007F2</v>
      </c>
      <c r="B406" s="2">
        <v>2007</v>
      </c>
      <c r="C406" s="1" t="s">
        <v>1074</v>
      </c>
      <c r="D406" t="s">
        <v>2121</v>
      </c>
      <c r="E406" t="s">
        <v>2122</v>
      </c>
      <c r="F406" t="s">
        <v>2123</v>
      </c>
    </row>
    <row r="407" spans="1:6">
      <c r="A407" s="1" t="str">
        <f t="shared" si="7"/>
        <v>2008A12a</v>
      </c>
      <c r="B407" s="2">
        <v>2008</v>
      </c>
      <c r="C407" s="1" t="s">
        <v>2124</v>
      </c>
      <c r="D407" t="s">
        <v>2125</v>
      </c>
      <c r="E407" t="s">
        <v>2126</v>
      </c>
      <c r="F407" t="s">
        <v>2127</v>
      </c>
    </row>
    <row r="408" spans="1:6">
      <c r="A408" s="1" t="str">
        <f t="shared" si="7"/>
        <v>2008A15</v>
      </c>
      <c r="B408" s="2">
        <v>2008</v>
      </c>
      <c r="C408" s="1" t="s">
        <v>856</v>
      </c>
      <c r="D408" t="s">
        <v>2128</v>
      </c>
      <c r="E408" t="s">
        <v>2129</v>
      </c>
      <c r="F408" t="s">
        <v>2130</v>
      </c>
    </row>
    <row r="409" spans="1:6">
      <c r="A409" s="1" t="str">
        <f t="shared" si="7"/>
        <v>2008A17</v>
      </c>
      <c r="B409" s="2">
        <v>2008</v>
      </c>
      <c r="C409" s="1" t="s">
        <v>864</v>
      </c>
      <c r="D409" t="s">
        <v>2131</v>
      </c>
      <c r="E409" t="s">
        <v>2132</v>
      </c>
      <c r="F409" t="s">
        <v>2133</v>
      </c>
    </row>
    <row r="410" spans="1:6">
      <c r="A410" s="1" t="str">
        <f t="shared" si="7"/>
        <v>2008A19a</v>
      </c>
      <c r="B410" s="2">
        <v>2008</v>
      </c>
      <c r="C410" s="1" t="s">
        <v>2134</v>
      </c>
      <c r="D410" t="s">
        <v>2135</v>
      </c>
      <c r="E410" t="s">
        <v>2136</v>
      </c>
      <c r="F410" t="s">
        <v>2137</v>
      </c>
    </row>
    <row r="411" spans="1:6">
      <c r="A411" s="1" t="str">
        <f t="shared" si="7"/>
        <v>2008A22a</v>
      </c>
      <c r="B411" s="2">
        <v>2008</v>
      </c>
      <c r="C411" s="1" t="s">
        <v>2138</v>
      </c>
      <c r="D411" t="s">
        <v>2139</v>
      </c>
      <c r="E411" t="s">
        <v>2140</v>
      </c>
      <c r="F411" t="s">
        <v>2141</v>
      </c>
    </row>
    <row r="412" spans="1:6">
      <c r="A412" s="1" t="str">
        <f t="shared" si="7"/>
        <v>2008A23</v>
      </c>
      <c r="B412" s="2">
        <v>2008</v>
      </c>
      <c r="C412" s="1" t="s">
        <v>872</v>
      </c>
      <c r="D412" t="s">
        <v>2142</v>
      </c>
      <c r="E412" t="s">
        <v>2143</v>
      </c>
      <c r="F412" t="s">
        <v>2144</v>
      </c>
    </row>
    <row r="413" spans="1:6">
      <c r="A413" s="1" t="str">
        <f t="shared" si="7"/>
        <v>2008A25a</v>
      </c>
      <c r="B413" s="2">
        <v>2008</v>
      </c>
      <c r="C413" s="1" t="s">
        <v>2145</v>
      </c>
      <c r="D413" t="s">
        <v>2146</v>
      </c>
      <c r="E413" t="s">
        <v>2147</v>
      </c>
      <c r="F413" t="s">
        <v>2148</v>
      </c>
    </row>
    <row r="414" spans="1:6">
      <c r="A414" s="1" t="str">
        <f t="shared" si="7"/>
        <v>2008A3</v>
      </c>
      <c r="B414" s="2">
        <v>2008</v>
      </c>
      <c r="C414" s="1" t="s">
        <v>941</v>
      </c>
      <c r="D414" t="s">
        <v>2149</v>
      </c>
      <c r="E414" t="s">
        <v>2150</v>
      </c>
      <c r="F414" t="s">
        <v>2151</v>
      </c>
    </row>
    <row r="415" spans="1:6">
      <c r="A415" s="1" t="str">
        <f t="shared" si="7"/>
        <v>2008A30</v>
      </c>
      <c r="B415" s="2">
        <v>2008</v>
      </c>
      <c r="C415" s="1" t="s">
        <v>880</v>
      </c>
      <c r="D415" t="s">
        <v>2152</v>
      </c>
      <c r="E415" t="s">
        <v>2153</v>
      </c>
      <c r="F415" t="s">
        <v>2154</v>
      </c>
    </row>
    <row r="416" spans="1:6">
      <c r="A416" s="1" t="str">
        <f t="shared" si="7"/>
        <v>2008A31a</v>
      </c>
      <c r="B416" s="2">
        <v>2008</v>
      </c>
      <c r="C416" s="1" t="s">
        <v>2155</v>
      </c>
      <c r="D416" t="s">
        <v>2156</v>
      </c>
      <c r="E416" t="s">
        <v>2157</v>
      </c>
      <c r="F416" t="s">
        <v>2158</v>
      </c>
    </row>
    <row r="417" spans="1:6">
      <c r="A417" s="1" t="str">
        <f t="shared" si="7"/>
        <v>2008A4</v>
      </c>
      <c r="B417" s="2">
        <v>2008</v>
      </c>
      <c r="C417" s="1" t="s">
        <v>2159</v>
      </c>
      <c r="D417" t="s">
        <v>2160</v>
      </c>
      <c r="E417" t="s">
        <v>2161</v>
      </c>
      <c r="F417" t="s">
        <v>2162</v>
      </c>
    </row>
    <row r="418" spans="1:6">
      <c r="A418" s="1" t="str">
        <f t="shared" si="7"/>
        <v>2008A44</v>
      </c>
      <c r="B418" s="2">
        <v>2008</v>
      </c>
      <c r="C418" s="1" t="s">
        <v>1343</v>
      </c>
      <c r="D418" t="s">
        <v>2163</v>
      </c>
      <c r="E418" t="s">
        <v>2164</v>
      </c>
      <c r="F418" t="s">
        <v>2165</v>
      </c>
    </row>
    <row r="419" spans="1:6">
      <c r="A419" s="1" t="str">
        <f t="shared" si="7"/>
        <v>2008A47</v>
      </c>
      <c r="B419" s="2">
        <v>2008</v>
      </c>
      <c r="C419" s="1" t="s">
        <v>1132</v>
      </c>
      <c r="D419" t="s">
        <v>2166</v>
      </c>
      <c r="E419" t="s">
        <v>2167</v>
      </c>
      <c r="F419" t="s">
        <v>2168</v>
      </c>
    </row>
    <row r="420" spans="1:6">
      <c r="A420" s="1" t="str">
        <f t="shared" si="7"/>
        <v>2008A48a</v>
      </c>
      <c r="B420" s="2">
        <v>2008</v>
      </c>
      <c r="C420" s="1" t="s">
        <v>2169</v>
      </c>
      <c r="D420" t="s">
        <v>2170</v>
      </c>
      <c r="E420" t="s">
        <v>2171</v>
      </c>
      <c r="F420" t="s">
        <v>2172</v>
      </c>
    </row>
    <row r="421" spans="1:6">
      <c r="A421" s="1" t="str">
        <f t="shared" si="7"/>
        <v>2008A6</v>
      </c>
      <c r="B421" s="2">
        <v>2008</v>
      </c>
      <c r="C421" s="1" t="s">
        <v>888</v>
      </c>
      <c r="D421" t="s">
        <v>2173</v>
      </c>
      <c r="E421" t="s">
        <v>2153</v>
      </c>
      <c r="F421" t="s">
        <v>2174</v>
      </c>
    </row>
    <row r="422" spans="1:6">
      <c r="A422" s="1" t="str">
        <f t="shared" si="7"/>
        <v>2008D8</v>
      </c>
      <c r="B422" s="2">
        <v>2008</v>
      </c>
      <c r="C422" s="1" t="s">
        <v>957</v>
      </c>
      <c r="D422" t="s">
        <v>2175</v>
      </c>
      <c r="E422" t="s">
        <v>2176</v>
      </c>
      <c r="F422" t="s">
        <v>2177</v>
      </c>
    </row>
    <row r="423" spans="1:6">
      <c r="A423" s="1" t="str">
        <f t="shared" si="7"/>
        <v>2008E3</v>
      </c>
      <c r="B423" s="2">
        <v>2008</v>
      </c>
      <c r="C423" s="1" t="s">
        <v>2110</v>
      </c>
      <c r="D423" t="s">
        <v>2178</v>
      </c>
      <c r="E423" t="s">
        <v>2179</v>
      </c>
      <c r="F423" t="s">
        <v>2180</v>
      </c>
    </row>
    <row r="424" spans="1:6">
      <c r="A424" s="1" t="str">
        <f t="shared" si="7"/>
        <v>2008F13</v>
      </c>
      <c r="B424" s="2">
        <v>2008</v>
      </c>
      <c r="C424" s="1" t="s">
        <v>2181</v>
      </c>
      <c r="D424" t="s">
        <v>2182</v>
      </c>
      <c r="E424" t="s">
        <v>2183</v>
      </c>
      <c r="F424" t="s">
        <v>2184</v>
      </c>
    </row>
    <row r="425" spans="1:6">
      <c r="A425" s="1" t="str">
        <f t="shared" si="7"/>
        <v>2008F21</v>
      </c>
      <c r="B425" s="2">
        <v>2008</v>
      </c>
      <c r="C425" s="1" t="s">
        <v>2185</v>
      </c>
      <c r="D425" t="s">
        <v>2186</v>
      </c>
      <c r="E425" t="s">
        <v>2187</v>
      </c>
      <c r="F425" t="s">
        <v>2188</v>
      </c>
    </row>
    <row r="426" spans="1:6">
      <c r="A426" s="1" t="str">
        <f t="shared" si="7"/>
        <v>2008F24</v>
      </c>
      <c r="B426" s="2">
        <v>2008</v>
      </c>
      <c r="C426" s="1" t="s">
        <v>1078</v>
      </c>
      <c r="D426" t="s">
        <v>2189</v>
      </c>
      <c r="E426" t="s">
        <v>2190</v>
      </c>
      <c r="F426" t="s">
        <v>2191</v>
      </c>
    </row>
    <row r="427" spans="1:6" ht="15" thickBot="1">
      <c r="A427" s="1" t="str">
        <f t="shared" si="7"/>
        <v>2008F6</v>
      </c>
      <c r="B427" s="2">
        <v>2008</v>
      </c>
      <c r="C427" s="1" t="s">
        <v>969</v>
      </c>
      <c r="D427" t="s">
        <v>2192</v>
      </c>
      <c r="E427" t="s">
        <v>2193</v>
      </c>
      <c r="F427" t="s">
        <v>2194</v>
      </c>
    </row>
    <row r="428" spans="1:6" ht="15" thickBot="1">
      <c r="A428" s="1" t="str">
        <f t="shared" si="7"/>
        <v>2010A12</v>
      </c>
      <c r="B428" s="3">
        <v>2010</v>
      </c>
      <c r="C428" s="18" t="s">
        <v>1092</v>
      </c>
      <c r="D428" t="s">
        <v>2195</v>
      </c>
      <c r="E428" t="s">
        <v>2196</v>
      </c>
      <c r="F428" t="s">
        <v>2197</v>
      </c>
    </row>
    <row r="429" spans="1:6" ht="15" thickBot="1">
      <c r="A429" s="1" t="str">
        <f t="shared" si="7"/>
        <v>2010A13</v>
      </c>
      <c r="B429" s="3">
        <v>2010</v>
      </c>
      <c r="C429" s="11" t="s">
        <v>852</v>
      </c>
      <c r="D429" t="s">
        <v>2198</v>
      </c>
      <c r="E429" t="s">
        <v>2199</v>
      </c>
      <c r="F429" t="s">
        <v>2200</v>
      </c>
    </row>
    <row r="430" spans="1:6" ht="15" thickBot="1">
      <c r="A430" s="1" t="str">
        <f t="shared" si="7"/>
        <v>2010A15</v>
      </c>
      <c r="B430" s="3">
        <v>2010</v>
      </c>
      <c r="C430" s="21" t="s">
        <v>856</v>
      </c>
      <c r="D430" t="s">
        <v>2201</v>
      </c>
      <c r="E430" t="s">
        <v>2202</v>
      </c>
      <c r="F430" t="s">
        <v>2203</v>
      </c>
    </row>
    <row r="431" spans="1:6" ht="15" thickBot="1">
      <c r="A431" s="1" t="str">
        <f t="shared" si="7"/>
        <v>2010A17</v>
      </c>
      <c r="B431" s="3">
        <v>2010</v>
      </c>
      <c r="C431" s="11" t="s">
        <v>864</v>
      </c>
      <c r="D431" t="s">
        <v>2204</v>
      </c>
      <c r="E431" t="s">
        <v>2205</v>
      </c>
      <c r="F431" t="s">
        <v>2206</v>
      </c>
    </row>
    <row r="432" spans="1:6" ht="15" thickBot="1">
      <c r="A432" s="1" t="str">
        <f t="shared" si="7"/>
        <v>2010A2</v>
      </c>
      <c r="B432" s="3">
        <v>2010</v>
      </c>
      <c r="C432" s="18" t="s">
        <v>984</v>
      </c>
      <c r="D432" t="s">
        <v>2207</v>
      </c>
      <c r="E432" t="s">
        <v>2208</v>
      </c>
      <c r="F432" t="s">
        <v>2209</v>
      </c>
    </row>
    <row r="433" spans="1:6" ht="15" thickBot="1">
      <c r="A433" s="1" t="str">
        <f t="shared" si="7"/>
        <v>2010A21</v>
      </c>
      <c r="B433" s="3">
        <v>2010</v>
      </c>
      <c r="C433" s="11" t="s">
        <v>937</v>
      </c>
      <c r="D433" t="s">
        <v>2210</v>
      </c>
      <c r="E433" t="s">
        <v>2211</v>
      </c>
      <c r="F433" t="s">
        <v>2212</v>
      </c>
    </row>
    <row r="434" spans="1:6" ht="15" thickBot="1">
      <c r="A434" s="1" t="str">
        <f t="shared" si="7"/>
        <v>2010A31</v>
      </c>
      <c r="B434" s="3">
        <v>2010</v>
      </c>
      <c r="C434" s="18" t="s">
        <v>2213</v>
      </c>
      <c r="D434" t="s">
        <v>2214</v>
      </c>
      <c r="E434" t="s">
        <v>2215</v>
      </c>
      <c r="F434" t="s">
        <v>2216</v>
      </c>
    </row>
    <row r="435" spans="1:6" ht="15" thickBot="1">
      <c r="A435" s="1" t="str">
        <f t="shared" si="7"/>
        <v>2010A35</v>
      </c>
      <c r="B435" s="3">
        <v>2010</v>
      </c>
      <c r="C435" s="18" t="s">
        <v>1211</v>
      </c>
      <c r="D435" t="s">
        <v>2217</v>
      </c>
      <c r="E435" t="s">
        <v>2218</v>
      </c>
      <c r="F435" t="s">
        <v>2219</v>
      </c>
    </row>
    <row r="436" spans="1:6" ht="15" thickBot="1">
      <c r="A436" s="1" t="str">
        <f t="shared" si="7"/>
        <v>2010A3</v>
      </c>
      <c r="B436" s="3">
        <v>2010</v>
      </c>
      <c r="C436" s="18" t="s">
        <v>941</v>
      </c>
      <c r="D436" t="s">
        <v>2220</v>
      </c>
      <c r="E436" t="s">
        <v>2221</v>
      </c>
      <c r="F436" t="s">
        <v>2222</v>
      </c>
    </row>
    <row r="437" spans="1:6" ht="15" thickBot="1">
      <c r="A437" s="1" t="str">
        <f t="shared" si="7"/>
        <v>2010A4</v>
      </c>
      <c r="B437" s="3">
        <v>2010</v>
      </c>
      <c r="C437" s="11" t="s">
        <v>2159</v>
      </c>
      <c r="D437" t="s">
        <v>2223</v>
      </c>
      <c r="E437" t="s">
        <v>2224</v>
      </c>
      <c r="F437" t="s">
        <v>2225</v>
      </c>
    </row>
    <row r="438" spans="1:6" ht="15" thickBot="1">
      <c r="A438" s="1" t="str">
        <f t="shared" si="7"/>
        <v>2010A40</v>
      </c>
      <c r="B438" s="3">
        <v>2010</v>
      </c>
      <c r="C438" s="19" t="s">
        <v>2226</v>
      </c>
      <c r="D438" t="s">
        <v>2227</v>
      </c>
      <c r="E438" t="s">
        <v>2228</v>
      </c>
      <c r="F438" t="s">
        <v>2229</v>
      </c>
    </row>
    <row r="439" spans="1:6" ht="15" thickBot="1">
      <c r="A439" s="1" t="str">
        <f t="shared" si="7"/>
        <v>2010A42</v>
      </c>
      <c r="B439" s="3">
        <v>2010</v>
      </c>
      <c r="C439" s="11" t="s">
        <v>1120</v>
      </c>
      <c r="D439" t="s">
        <v>2230</v>
      </c>
      <c r="E439" t="s">
        <v>2231</v>
      </c>
      <c r="F439" t="s">
        <v>2232</v>
      </c>
    </row>
    <row r="440" spans="1:6" ht="15" thickBot="1">
      <c r="A440" s="1" t="str">
        <f t="shared" si="7"/>
        <v>2010A44</v>
      </c>
      <c r="B440" s="3">
        <v>2010</v>
      </c>
      <c r="C440" s="22" t="s">
        <v>1343</v>
      </c>
      <c r="D440" t="s">
        <v>2233</v>
      </c>
      <c r="E440" t="s">
        <v>2234</v>
      </c>
      <c r="F440" t="s">
        <v>2235</v>
      </c>
    </row>
    <row r="441" spans="1:6" ht="15.5" thickTop="1" thickBot="1">
      <c r="A441" s="1" t="str">
        <f t="shared" si="7"/>
        <v>2010A6</v>
      </c>
      <c r="B441" s="3">
        <v>2010</v>
      </c>
      <c r="C441" s="18" t="s">
        <v>888</v>
      </c>
      <c r="D441" t="s">
        <v>2236</v>
      </c>
      <c r="E441" t="s">
        <v>2237</v>
      </c>
      <c r="F441" t="s">
        <v>2238</v>
      </c>
    </row>
    <row r="442" spans="1:6" ht="15" thickBot="1">
      <c r="A442" s="1" t="str">
        <f t="shared" si="7"/>
        <v>2010C3</v>
      </c>
      <c r="B442" s="3">
        <v>2010</v>
      </c>
      <c r="C442" s="17" t="s">
        <v>2239</v>
      </c>
      <c r="D442" t="s">
        <v>2240</v>
      </c>
      <c r="E442" t="s">
        <v>2241</v>
      </c>
      <c r="F442" t="s">
        <v>2242</v>
      </c>
    </row>
    <row r="443" spans="1:6" ht="15" thickBot="1">
      <c r="A443" s="1" t="str">
        <f t="shared" si="7"/>
        <v>2010D11</v>
      </c>
      <c r="B443" s="3">
        <v>2010</v>
      </c>
      <c r="C443" s="17" t="s">
        <v>1028</v>
      </c>
      <c r="D443" t="s">
        <v>2243</v>
      </c>
      <c r="E443" t="s">
        <v>2244</v>
      </c>
      <c r="F443" t="s">
        <v>2245</v>
      </c>
    </row>
    <row r="444" spans="1:6" ht="15" thickBot="1">
      <c r="A444" s="1" t="str">
        <f t="shared" si="7"/>
        <v>2010D15</v>
      </c>
      <c r="B444" s="3">
        <v>2010</v>
      </c>
      <c r="C444" s="20" t="s">
        <v>1238</v>
      </c>
      <c r="D444" t="s">
        <v>2246</v>
      </c>
      <c r="E444" t="s">
        <v>2247</v>
      </c>
      <c r="F444" t="s">
        <v>2248</v>
      </c>
    </row>
    <row r="445" spans="1:6" ht="15" thickBot="1">
      <c r="A445" s="1" t="str">
        <f t="shared" ref="A445:A451" si="8">B445&amp;""&amp;C445</f>
        <v>2010D28</v>
      </c>
      <c r="B445" s="3">
        <v>2010</v>
      </c>
      <c r="C445" s="17" t="s">
        <v>1171</v>
      </c>
      <c r="D445" t="s">
        <v>2249</v>
      </c>
      <c r="E445" t="s">
        <v>2250</v>
      </c>
      <c r="F445" t="s">
        <v>2251</v>
      </c>
    </row>
    <row r="446" spans="1:6" ht="15" thickBot="1">
      <c r="A446" s="1" t="str">
        <f t="shared" si="8"/>
        <v>2010D5</v>
      </c>
      <c r="B446" s="3">
        <v>2010</v>
      </c>
      <c r="C446" s="21" t="s">
        <v>1198</v>
      </c>
      <c r="D446" t="s">
        <v>2252</v>
      </c>
      <c r="E446" t="s">
        <v>2253</v>
      </c>
      <c r="F446" t="s">
        <v>2254</v>
      </c>
    </row>
    <row r="447" spans="1:6" ht="15" thickBot="1">
      <c r="A447" s="1" t="str">
        <f t="shared" si="8"/>
        <v>2010D8</v>
      </c>
      <c r="B447" s="3">
        <v>2010</v>
      </c>
      <c r="C447" s="21" t="s">
        <v>957</v>
      </c>
      <c r="D447" t="s">
        <v>2255</v>
      </c>
      <c r="E447" t="s">
        <v>2256</v>
      </c>
      <c r="F447" t="s">
        <v>2257</v>
      </c>
    </row>
    <row r="448" spans="1:6" ht="15" thickBot="1">
      <c r="A448" s="1" t="str">
        <f t="shared" si="8"/>
        <v>2010F15</v>
      </c>
      <c r="B448" s="3">
        <v>2010</v>
      </c>
      <c r="C448" s="18" t="s">
        <v>2069</v>
      </c>
      <c r="D448" t="s">
        <v>2258</v>
      </c>
      <c r="E448" t="s">
        <v>2259</v>
      </c>
      <c r="F448" t="s">
        <v>2260</v>
      </c>
    </row>
    <row r="449" spans="1:6" ht="15" thickBot="1">
      <c r="A449" s="1" t="str">
        <f t="shared" si="8"/>
        <v>2010F2</v>
      </c>
      <c r="B449" s="3">
        <v>2010</v>
      </c>
      <c r="C449" s="17" t="s">
        <v>1074</v>
      </c>
      <c r="D449" t="s">
        <v>2261</v>
      </c>
      <c r="E449" t="s">
        <v>2262</v>
      </c>
      <c r="F449" t="s">
        <v>2263</v>
      </c>
    </row>
    <row r="450" spans="1:6" ht="15" thickBot="1">
      <c r="A450" s="1" t="str">
        <f t="shared" si="8"/>
        <v>2010F20</v>
      </c>
      <c r="B450" s="3">
        <v>2010</v>
      </c>
      <c r="C450" s="20" t="s">
        <v>1580</v>
      </c>
      <c r="D450" t="s">
        <v>2264</v>
      </c>
      <c r="E450" t="s">
        <v>2265</v>
      </c>
      <c r="F450" t="s">
        <v>2266</v>
      </c>
    </row>
    <row r="451" spans="1:6" ht="15" thickBot="1">
      <c r="A451" s="1" t="str">
        <f t="shared" si="8"/>
        <v>2010F31</v>
      </c>
      <c r="B451" s="3">
        <v>2010</v>
      </c>
      <c r="C451" s="20" t="s">
        <v>2267</v>
      </c>
      <c r="D451" t="s">
        <v>2268</v>
      </c>
      <c r="E451" t="s">
        <v>2269</v>
      </c>
      <c r="F451" t="s">
        <v>2270</v>
      </c>
    </row>
    <row r="452" spans="1:6">
      <c r="A452" s="1" t="str">
        <f t="shared" ref="A452:A481" si="9">B452&amp;""&amp;C452</f>
        <v>2012A12</v>
      </c>
      <c r="B452" s="2">
        <v>2012</v>
      </c>
      <c r="C452" s="1" t="s">
        <v>1092</v>
      </c>
      <c r="D452" t="s">
        <v>2271</v>
      </c>
      <c r="E452" t="s">
        <v>2272</v>
      </c>
      <c r="F452" t="s">
        <v>2273</v>
      </c>
    </row>
    <row r="453" spans="1:6">
      <c r="A453" s="1" t="str">
        <f t="shared" si="9"/>
        <v>2012A15</v>
      </c>
      <c r="B453" s="2">
        <v>2012</v>
      </c>
      <c r="C453" s="1" t="s">
        <v>856</v>
      </c>
      <c r="D453" t="s">
        <v>2274</v>
      </c>
      <c r="E453" t="s">
        <v>2275</v>
      </c>
      <c r="F453" t="s">
        <v>2276</v>
      </c>
    </row>
    <row r="454" spans="1:6">
      <c r="A454" s="1" t="str">
        <f t="shared" si="9"/>
        <v>2012A21</v>
      </c>
      <c r="B454" s="2">
        <v>2012</v>
      </c>
      <c r="C454" s="1" t="s">
        <v>937</v>
      </c>
      <c r="D454" t="s">
        <v>2277</v>
      </c>
      <c r="E454" t="s">
        <v>2278</v>
      </c>
      <c r="F454" t="s">
        <v>2279</v>
      </c>
    </row>
    <row r="455" spans="1:6">
      <c r="A455" s="1" t="str">
        <f t="shared" si="9"/>
        <v>2012A22a</v>
      </c>
      <c r="B455" s="2">
        <v>2012</v>
      </c>
      <c r="C455" s="1" t="s">
        <v>2138</v>
      </c>
      <c r="D455" t="s">
        <v>2280</v>
      </c>
      <c r="E455" t="s">
        <v>2171</v>
      </c>
      <c r="F455" t="s">
        <v>2281</v>
      </c>
    </row>
    <row r="456" spans="1:6">
      <c r="A456" s="1" t="str">
        <f t="shared" si="9"/>
        <v>2012A30</v>
      </c>
      <c r="B456" s="2">
        <v>2012</v>
      </c>
      <c r="C456" s="1" t="s">
        <v>880</v>
      </c>
      <c r="D456" t="s">
        <v>2282</v>
      </c>
      <c r="E456" t="s">
        <v>2283</v>
      </c>
      <c r="F456" t="s">
        <v>2284</v>
      </c>
    </row>
    <row r="457" spans="1:6">
      <c r="A457" s="1" t="str">
        <f t="shared" si="9"/>
        <v>2012A37</v>
      </c>
      <c r="B457" s="2">
        <v>2012</v>
      </c>
      <c r="C457" s="1" t="s">
        <v>1485</v>
      </c>
      <c r="D457" t="s">
        <v>2285</v>
      </c>
      <c r="E457" t="s">
        <v>2286</v>
      </c>
      <c r="F457" t="s">
        <v>2287</v>
      </c>
    </row>
    <row r="458" spans="1:6">
      <c r="A458" s="1" t="str">
        <f t="shared" si="9"/>
        <v>2012A42</v>
      </c>
      <c r="B458" s="2">
        <v>2012</v>
      </c>
      <c r="C458" s="1" t="s">
        <v>1120</v>
      </c>
      <c r="D458" t="s">
        <v>2288</v>
      </c>
      <c r="E458" t="s">
        <v>2289</v>
      </c>
      <c r="F458" t="s">
        <v>2290</v>
      </c>
    </row>
    <row r="459" spans="1:6">
      <c r="A459" s="1" t="str">
        <f t="shared" si="9"/>
        <v>2012A42</v>
      </c>
      <c r="B459" s="2">
        <v>2012</v>
      </c>
      <c r="C459" s="1" t="s">
        <v>1120</v>
      </c>
      <c r="D459" t="s">
        <v>2288</v>
      </c>
      <c r="E459" t="s">
        <v>2289</v>
      </c>
      <c r="F459" t="s">
        <v>2290</v>
      </c>
    </row>
    <row r="460" spans="1:6">
      <c r="A460" s="1" t="str">
        <f t="shared" si="9"/>
        <v>2012A44</v>
      </c>
      <c r="B460" s="2">
        <v>2012</v>
      </c>
      <c r="C460" s="1" t="s">
        <v>1343</v>
      </c>
      <c r="D460" t="s">
        <v>2291</v>
      </c>
      <c r="E460" t="s">
        <v>2292</v>
      </c>
      <c r="F460" t="s">
        <v>2293</v>
      </c>
    </row>
    <row r="461" spans="1:6">
      <c r="A461" s="1" t="str">
        <f t="shared" si="9"/>
        <v>2012A45</v>
      </c>
      <c r="B461" s="2">
        <v>2012</v>
      </c>
      <c r="C461" s="1" t="s">
        <v>1124</v>
      </c>
      <c r="D461" t="s">
        <v>2294</v>
      </c>
      <c r="E461" t="s">
        <v>2295</v>
      </c>
      <c r="F461" t="s">
        <v>2296</v>
      </c>
    </row>
    <row r="462" spans="1:6">
      <c r="A462" s="1" t="str">
        <f t="shared" si="9"/>
        <v>2012A6</v>
      </c>
      <c r="B462" s="2">
        <v>2012</v>
      </c>
      <c r="C462" s="2" t="s">
        <v>888</v>
      </c>
      <c r="D462" t="s">
        <v>2297</v>
      </c>
      <c r="E462" t="s">
        <v>2298</v>
      </c>
      <c r="F462" t="s">
        <v>2299</v>
      </c>
    </row>
    <row r="463" spans="1:6">
      <c r="A463" s="1" t="str">
        <f t="shared" si="9"/>
        <v>2012A7</v>
      </c>
      <c r="B463" s="2">
        <v>2012</v>
      </c>
      <c r="C463" s="1" t="s">
        <v>945</v>
      </c>
      <c r="D463" t="s">
        <v>2300</v>
      </c>
      <c r="E463" t="s">
        <v>2301</v>
      </c>
      <c r="F463" t="s">
        <v>2302</v>
      </c>
    </row>
    <row r="464" spans="1:6">
      <c r="A464" s="1" t="str">
        <f t="shared" si="9"/>
        <v>2012D10</v>
      </c>
      <c r="B464" s="2">
        <v>2012</v>
      </c>
      <c r="C464" s="1" t="s">
        <v>1024</v>
      </c>
      <c r="D464" t="s">
        <v>2303</v>
      </c>
      <c r="E464" t="s">
        <v>2304</v>
      </c>
      <c r="F464" t="s">
        <v>2305</v>
      </c>
    </row>
    <row r="465" spans="1:6">
      <c r="A465" s="1" t="str">
        <f t="shared" si="9"/>
        <v>2012D13</v>
      </c>
      <c r="B465" s="2">
        <v>2012</v>
      </c>
      <c r="C465" s="1" t="s">
        <v>2306</v>
      </c>
      <c r="D465" t="s">
        <v>2307</v>
      </c>
      <c r="E465" t="s">
        <v>2308</v>
      </c>
      <c r="F465" t="s">
        <v>2309</v>
      </c>
    </row>
    <row r="466" spans="1:6">
      <c r="A466" s="1" t="str">
        <f t="shared" si="9"/>
        <v>2012D17</v>
      </c>
      <c r="B466" s="2">
        <v>2012</v>
      </c>
      <c r="C466" s="1" t="s">
        <v>2310</v>
      </c>
      <c r="D466" t="s">
        <v>2311</v>
      </c>
      <c r="E466" t="s">
        <v>2312</v>
      </c>
      <c r="F466" t="s">
        <v>2313</v>
      </c>
    </row>
    <row r="467" spans="1:6">
      <c r="A467" s="1" t="str">
        <f t="shared" si="9"/>
        <v>2012D2</v>
      </c>
      <c r="B467" s="2">
        <v>2012</v>
      </c>
      <c r="C467" s="1" t="s">
        <v>1036</v>
      </c>
      <c r="D467" t="s">
        <v>2314</v>
      </c>
      <c r="E467" t="s">
        <v>2315</v>
      </c>
      <c r="F467" t="s">
        <v>2316</v>
      </c>
    </row>
    <row r="468" spans="1:6">
      <c r="A468" s="1" t="str">
        <f t="shared" si="9"/>
        <v>2012D3</v>
      </c>
      <c r="B468" s="2">
        <v>2012</v>
      </c>
      <c r="C468" s="1" t="s">
        <v>2065</v>
      </c>
      <c r="D468" t="s">
        <v>2317</v>
      </c>
      <c r="E468" t="s">
        <v>2318</v>
      </c>
      <c r="F468" t="s">
        <v>2319</v>
      </c>
    </row>
    <row r="469" spans="1:6">
      <c r="A469" s="1" t="str">
        <f t="shared" si="9"/>
        <v>2012D33</v>
      </c>
      <c r="B469" s="2">
        <v>2012</v>
      </c>
      <c r="C469" s="1" t="s">
        <v>2320</v>
      </c>
      <c r="D469" t="s">
        <v>2321</v>
      </c>
      <c r="E469" t="s">
        <v>2322</v>
      </c>
      <c r="F469" t="s">
        <v>2323</v>
      </c>
    </row>
    <row r="470" spans="1:6">
      <c r="A470" s="1" t="str">
        <f t="shared" si="9"/>
        <v>2012F1</v>
      </c>
      <c r="B470" s="2">
        <v>2012</v>
      </c>
      <c r="C470" s="2" t="s">
        <v>2324</v>
      </c>
      <c r="D470" t="s">
        <v>2325</v>
      </c>
      <c r="E470" t="s">
        <v>2326</v>
      </c>
      <c r="F470" t="s">
        <v>2327</v>
      </c>
    </row>
    <row r="471" spans="1:6">
      <c r="A471" s="1" t="str">
        <f t="shared" si="9"/>
        <v>2012F13</v>
      </c>
      <c r="B471" s="2">
        <v>2012</v>
      </c>
      <c r="C471" s="1" t="s">
        <v>2181</v>
      </c>
      <c r="D471" t="s">
        <v>2328</v>
      </c>
      <c r="E471" t="s">
        <v>2329</v>
      </c>
      <c r="F471" t="s">
        <v>2330</v>
      </c>
    </row>
    <row r="472" spans="1:6">
      <c r="A472" s="1" t="str">
        <f t="shared" si="9"/>
        <v>2012F16</v>
      </c>
      <c r="B472" s="2">
        <v>2012</v>
      </c>
      <c r="C472" s="2" t="s">
        <v>908</v>
      </c>
      <c r="D472" t="s">
        <v>2331</v>
      </c>
      <c r="E472" t="s">
        <v>2247</v>
      </c>
      <c r="F472" t="s">
        <v>2332</v>
      </c>
    </row>
    <row r="473" spans="1:6">
      <c r="A473" s="1" t="str">
        <f t="shared" si="9"/>
        <v>2012F18</v>
      </c>
      <c r="B473" s="2">
        <v>2012</v>
      </c>
      <c r="C473" s="1" t="s">
        <v>965</v>
      </c>
      <c r="D473" t="s">
        <v>2333</v>
      </c>
      <c r="E473" t="s">
        <v>2334</v>
      </c>
      <c r="F473" t="s">
        <v>2335</v>
      </c>
    </row>
    <row r="474" spans="1:6">
      <c r="A474" s="1" t="str">
        <f t="shared" si="9"/>
        <v>2012F2</v>
      </c>
      <c r="B474" s="2">
        <v>2012</v>
      </c>
      <c r="C474" s="2" t="s">
        <v>1074</v>
      </c>
      <c r="D474" t="s">
        <v>2336</v>
      </c>
      <c r="E474" t="s">
        <v>2337</v>
      </c>
      <c r="F474" t="s">
        <v>2338</v>
      </c>
    </row>
    <row r="475" spans="1:6">
      <c r="A475" s="1" t="str">
        <f t="shared" si="9"/>
        <v>2012F27</v>
      </c>
      <c r="B475" s="2">
        <v>2012</v>
      </c>
      <c r="C475" s="1" t="s">
        <v>2339</v>
      </c>
      <c r="D475" t="s">
        <v>2340</v>
      </c>
      <c r="E475" t="s">
        <v>2341</v>
      </c>
      <c r="F475" t="s">
        <v>2342</v>
      </c>
    </row>
    <row r="476" spans="1:6">
      <c r="A476" s="1" t="str">
        <f t="shared" si="9"/>
        <v>2012F29</v>
      </c>
      <c r="B476" s="2">
        <v>2012</v>
      </c>
      <c r="C476" s="1" t="s">
        <v>1592</v>
      </c>
      <c r="D476" t="s">
        <v>2343</v>
      </c>
      <c r="E476" t="s">
        <v>2344</v>
      </c>
      <c r="F476" t="s">
        <v>2345</v>
      </c>
    </row>
    <row r="477" spans="1:6">
      <c r="A477" s="1" t="str">
        <f t="shared" si="9"/>
        <v>2014A1</v>
      </c>
      <c r="B477" s="2">
        <v>2014</v>
      </c>
      <c r="C477" s="1" t="s">
        <v>916</v>
      </c>
      <c r="D477" t="s">
        <v>2346</v>
      </c>
      <c r="E477" t="s">
        <v>2347</v>
      </c>
    </row>
    <row r="478" spans="1:6">
      <c r="A478" s="1" t="str">
        <f t="shared" si="9"/>
        <v>2014A26</v>
      </c>
      <c r="B478" s="2">
        <v>2014</v>
      </c>
      <c r="C478" s="1" t="s">
        <v>2348</v>
      </c>
      <c r="D478" t="s">
        <v>2349</v>
      </c>
      <c r="E478" t="s">
        <v>2350</v>
      </c>
      <c r="F478" t="s">
        <v>2351</v>
      </c>
    </row>
    <row r="479" spans="1:6">
      <c r="A479" s="1" t="str">
        <f t="shared" si="9"/>
        <v>2014A27</v>
      </c>
      <c r="B479" s="2">
        <v>2014</v>
      </c>
      <c r="C479" s="1" t="s">
        <v>1474</v>
      </c>
      <c r="D479" t="s">
        <v>2352</v>
      </c>
      <c r="E479" t="s">
        <v>2353</v>
      </c>
      <c r="F479" t="s">
        <v>2354</v>
      </c>
    </row>
    <row r="480" spans="1:6">
      <c r="A480" s="1" t="str">
        <f t="shared" si="9"/>
        <v>2014A29</v>
      </c>
      <c r="B480" s="2">
        <v>2014</v>
      </c>
      <c r="C480" s="1" t="s">
        <v>994</v>
      </c>
      <c r="D480" t="s">
        <v>2355</v>
      </c>
      <c r="E480" t="s">
        <v>2356</v>
      </c>
      <c r="F480" t="s">
        <v>2357</v>
      </c>
    </row>
    <row r="481" spans="1:6">
      <c r="A481" s="1" t="str">
        <f t="shared" si="9"/>
        <v>2014A3</v>
      </c>
      <c r="B481" s="2">
        <v>2014</v>
      </c>
      <c r="C481" s="1" t="s">
        <v>941</v>
      </c>
      <c r="D481" t="s">
        <v>2358</v>
      </c>
      <c r="E481" t="s">
        <v>2359</v>
      </c>
      <c r="F481" t="s">
        <v>2360</v>
      </c>
    </row>
    <row r="482" spans="1:6">
      <c r="A482" s="1" t="str">
        <f t="shared" ref="A482:A497" si="10">B482&amp;""&amp;C482</f>
        <v>2014A35</v>
      </c>
      <c r="B482" s="2">
        <v>2014</v>
      </c>
      <c r="C482" s="1" t="s">
        <v>1211</v>
      </c>
      <c r="D482" t="s">
        <v>2361</v>
      </c>
      <c r="E482" t="s">
        <v>2362</v>
      </c>
      <c r="F482" t="s">
        <v>2363</v>
      </c>
    </row>
    <row r="483" spans="1:6">
      <c r="A483" s="1" t="str">
        <f t="shared" si="10"/>
        <v>2014A4</v>
      </c>
      <c r="B483" s="2">
        <v>2014</v>
      </c>
      <c r="C483" s="1" t="s">
        <v>2159</v>
      </c>
      <c r="D483" t="s">
        <v>2364</v>
      </c>
      <c r="E483" t="s">
        <v>2365</v>
      </c>
      <c r="F483" t="s">
        <v>2366</v>
      </c>
    </row>
    <row r="484" spans="1:6">
      <c r="A484" s="1" t="str">
        <f t="shared" si="10"/>
        <v>2014A41</v>
      </c>
      <c r="B484" s="2">
        <v>2014</v>
      </c>
      <c r="C484" s="1" t="s">
        <v>1339</v>
      </c>
      <c r="D484" t="s">
        <v>2367</v>
      </c>
      <c r="E484" t="s">
        <v>2368</v>
      </c>
      <c r="F484" t="s">
        <v>2369</v>
      </c>
    </row>
    <row r="485" spans="1:6">
      <c r="A485" s="1" t="str">
        <f t="shared" si="10"/>
        <v>2014A44</v>
      </c>
      <c r="B485" s="2">
        <v>2014</v>
      </c>
      <c r="C485" s="1" t="s">
        <v>1343</v>
      </c>
      <c r="D485" t="s">
        <v>2370</v>
      </c>
      <c r="E485" t="s">
        <v>2371</v>
      </c>
      <c r="F485" t="s">
        <v>2372</v>
      </c>
    </row>
    <row r="486" spans="1:6">
      <c r="A486" s="1" t="str">
        <f t="shared" si="10"/>
        <v>2014A45</v>
      </c>
      <c r="B486" s="2">
        <v>2014</v>
      </c>
      <c r="C486" s="1" t="s">
        <v>1124</v>
      </c>
      <c r="D486" t="s">
        <v>2373</v>
      </c>
      <c r="E486" t="s">
        <v>2374</v>
      </c>
      <c r="F486" t="s">
        <v>2375</v>
      </c>
    </row>
    <row r="487" spans="1:6">
      <c r="A487" s="1" t="str">
        <f t="shared" si="10"/>
        <v>2014A47</v>
      </c>
      <c r="B487" s="2">
        <v>2014</v>
      </c>
      <c r="C487" s="1" t="s">
        <v>1132</v>
      </c>
      <c r="D487" t="s">
        <v>2376</v>
      </c>
      <c r="E487" t="s">
        <v>2377</v>
      </c>
      <c r="F487" t="s">
        <v>2378</v>
      </c>
    </row>
    <row r="488" spans="1:6">
      <c r="A488" s="1" t="str">
        <f t="shared" si="10"/>
        <v>2014A51</v>
      </c>
      <c r="B488" s="2">
        <v>2014</v>
      </c>
      <c r="C488" s="1" t="s">
        <v>1140</v>
      </c>
      <c r="D488" t="s">
        <v>2379</v>
      </c>
      <c r="E488" t="s">
        <v>2380</v>
      </c>
      <c r="F488" t="s">
        <v>2381</v>
      </c>
    </row>
    <row r="489" spans="1:6">
      <c r="A489" s="1" t="str">
        <f t="shared" si="10"/>
        <v>2014A53</v>
      </c>
      <c r="B489" s="2">
        <v>2014</v>
      </c>
      <c r="C489" s="1" t="s">
        <v>1001</v>
      </c>
      <c r="D489" t="s">
        <v>2382</v>
      </c>
      <c r="E489" t="s">
        <v>2383</v>
      </c>
      <c r="F489" t="s">
        <v>2384</v>
      </c>
    </row>
    <row r="490" spans="1:6">
      <c r="A490" s="1" t="str">
        <f t="shared" si="10"/>
        <v>2014A81</v>
      </c>
      <c r="B490" s="2">
        <v>2014</v>
      </c>
      <c r="C490" s="1" t="s">
        <v>2385</v>
      </c>
      <c r="D490" t="s">
        <v>2386</v>
      </c>
      <c r="E490" t="s">
        <v>2387</v>
      </c>
      <c r="F490" t="s">
        <v>2388</v>
      </c>
    </row>
    <row r="491" spans="1:6">
      <c r="A491" s="1" t="str">
        <f t="shared" si="10"/>
        <v>2014A82</v>
      </c>
      <c r="B491" s="2">
        <v>2014</v>
      </c>
      <c r="C491" s="1" t="s">
        <v>2389</v>
      </c>
      <c r="D491" t="s">
        <v>2390</v>
      </c>
      <c r="E491" t="s">
        <v>2391</v>
      </c>
      <c r="F491" t="s">
        <v>2392</v>
      </c>
    </row>
    <row r="492" spans="1:6">
      <c r="A492" s="1" t="str">
        <f t="shared" si="10"/>
        <v>2014D10</v>
      </c>
      <c r="B492" s="2">
        <v>2014</v>
      </c>
      <c r="C492" s="1" t="s">
        <v>1024</v>
      </c>
      <c r="D492" t="s">
        <v>2393</v>
      </c>
      <c r="E492" t="s">
        <v>2394</v>
      </c>
      <c r="F492" t="s">
        <v>2395</v>
      </c>
    </row>
    <row r="493" spans="1:6">
      <c r="A493" s="1" t="str">
        <f t="shared" si="10"/>
        <v>2014D12</v>
      </c>
      <c r="B493" s="2">
        <v>2014</v>
      </c>
      <c r="C493" s="1" t="s">
        <v>1032</v>
      </c>
      <c r="D493" t="s">
        <v>2396</v>
      </c>
      <c r="E493" t="s">
        <v>2397</v>
      </c>
      <c r="F493" t="s">
        <v>2398</v>
      </c>
    </row>
    <row r="494" spans="1:6">
      <c r="A494" s="1" t="str">
        <f t="shared" si="10"/>
        <v>2014D14</v>
      </c>
      <c r="B494" s="2">
        <v>2014</v>
      </c>
      <c r="C494" s="1" t="s">
        <v>1155</v>
      </c>
      <c r="D494" t="s">
        <v>2399</v>
      </c>
      <c r="E494" t="s">
        <v>2400</v>
      </c>
      <c r="F494" t="s">
        <v>2401</v>
      </c>
    </row>
    <row r="495" spans="1:6">
      <c r="A495" s="1" t="str">
        <f t="shared" si="10"/>
        <v>2014D19</v>
      </c>
      <c r="B495" s="2">
        <v>2014</v>
      </c>
      <c r="C495" s="1" t="s">
        <v>1250</v>
      </c>
      <c r="D495" t="s">
        <v>2402</v>
      </c>
      <c r="E495" t="s">
        <v>2403</v>
      </c>
      <c r="F495" t="s">
        <v>2404</v>
      </c>
    </row>
    <row r="496" spans="1:6">
      <c r="A496" s="1" t="str">
        <f t="shared" si="10"/>
        <v>2014D22</v>
      </c>
      <c r="B496" s="2">
        <v>2014</v>
      </c>
      <c r="C496" s="1" t="s">
        <v>1373</v>
      </c>
      <c r="D496" t="s">
        <v>2405</v>
      </c>
      <c r="E496" t="s">
        <v>2406</v>
      </c>
      <c r="F496" t="s">
        <v>2407</v>
      </c>
    </row>
    <row r="497" spans="1:6">
      <c r="A497" s="1" t="str">
        <f t="shared" si="10"/>
        <v>2014D29</v>
      </c>
      <c r="B497" s="2">
        <v>2014</v>
      </c>
      <c r="C497" s="1" t="s">
        <v>2408</v>
      </c>
      <c r="D497" t="s">
        <v>2409</v>
      </c>
      <c r="E497" t="s">
        <v>2410</v>
      </c>
      <c r="F497" t="s">
        <v>2411</v>
      </c>
    </row>
    <row r="498" spans="1:6">
      <c r="A498" s="1" t="str">
        <f t="shared" ref="A498:A555" si="11">B498&amp;""&amp;C498</f>
        <v>2014D30</v>
      </c>
      <c r="B498" s="2">
        <v>2014</v>
      </c>
      <c r="C498" s="1" t="s">
        <v>1175</v>
      </c>
      <c r="D498" t="s">
        <v>2412</v>
      </c>
      <c r="E498" t="s">
        <v>2413</v>
      </c>
      <c r="F498" t="s">
        <v>2414</v>
      </c>
    </row>
    <row r="499" spans="1:6">
      <c r="A499" s="1" t="str">
        <f t="shared" si="11"/>
        <v>2014D33</v>
      </c>
      <c r="B499" s="2">
        <v>2014</v>
      </c>
      <c r="C499" s="1" t="s">
        <v>2320</v>
      </c>
      <c r="D499" t="s">
        <v>2415</v>
      </c>
      <c r="E499" t="s">
        <v>2416</v>
      </c>
      <c r="F499" t="s">
        <v>2417</v>
      </c>
    </row>
    <row r="500" spans="1:6">
      <c r="A500" s="1" t="str">
        <f t="shared" si="11"/>
        <v>2014D36</v>
      </c>
      <c r="B500" s="2">
        <v>2014</v>
      </c>
      <c r="C500" s="1" t="s">
        <v>1179</v>
      </c>
      <c r="D500" t="s">
        <v>2418</v>
      </c>
      <c r="E500" t="s">
        <v>2419</v>
      </c>
      <c r="F500" t="s">
        <v>2420</v>
      </c>
    </row>
    <row r="501" spans="1:6">
      <c r="A501" s="1" t="str">
        <f t="shared" si="11"/>
        <v>2014D38</v>
      </c>
      <c r="B501" s="2">
        <v>2014</v>
      </c>
      <c r="C501" s="1" t="s">
        <v>2421</v>
      </c>
      <c r="D501" t="s">
        <v>2422</v>
      </c>
      <c r="E501" t="s">
        <v>2423</v>
      </c>
      <c r="F501" t="s">
        <v>2424</v>
      </c>
    </row>
    <row r="502" spans="1:6">
      <c r="A502" s="1" t="str">
        <f t="shared" si="11"/>
        <v>2014D39</v>
      </c>
      <c r="B502" s="2">
        <v>2014</v>
      </c>
      <c r="C502" s="1" t="s">
        <v>1388</v>
      </c>
      <c r="D502" t="s">
        <v>2425</v>
      </c>
      <c r="E502" t="s">
        <v>2426</v>
      </c>
      <c r="F502" t="s">
        <v>2427</v>
      </c>
    </row>
    <row r="503" spans="1:6">
      <c r="A503" s="1" t="str">
        <f t="shared" si="11"/>
        <v>2014D42</v>
      </c>
      <c r="B503" s="2">
        <v>2014</v>
      </c>
      <c r="C503" s="1" t="s">
        <v>2428</v>
      </c>
      <c r="D503" t="s">
        <v>2429</v>
      </c>
      <c r="E503" t="s">
        <v>2430</v>
      </c>
      <c r="F503" t="s">
        <v>2431</v>
      </c>
    </row>
    <row r="504" spans="1:6">
      <c r="A504" s="1" t="str">
        <f t="shared" si="11"/>
        <v>2014D43</v>
      </c>
      <c r="B504" s="2">
        <v>2014</v>
      </c>
      <c r="C504" s="1" t="s">
        <v>1392</v>
      </c>
      <c r="D504" t="s">
        <v>2432</v>
      </c>
      <c r="E504" t="s">
        <v>2433</v>
      </c>
      <c r="F504" t="s">
        <v>2434</v>
      </c>
    </row>
    <row r="505" spans="1:6">
      <c r="A505" s="1" t="str">
        <f t="shared" si="11"/>
        <v>2014D48</v>
      </c>
      <c r="B505" s="2">
        <v>2014</v>
      </c>
      <c r="C505" s="1" t="s">
        <v>2435</v>
      </c>
      <c r="D505" t="s">
        <v>2436</v>
      </c>
      <c r="E505" t="s">
        <v>2437</v>
      </c>
    </row>
    <row r="506" spans="1:6">
      <c r="A506" s="1" t="str">
        <f t="shared" si="11"/>
        <v>2014D77</v>
      </c>
      <c r="B506" s="2">
        <v>2014</v>
      </c>
      <c r="C506" s="1" t="s">
        <v>2438</v>
      </c>
      <c r="D506" t="s">
        <v>2439</v>
      </c>
      <c r="E506" t="s">
        <v>2440</v>
      </c>
      <c r="F506" t="s">
        <v>2441</v>
      </c>
    </row>
    <row r="507" spans="1:6">
      <c r="A507" s="1" t="str">
        <f t="shared" si="11"/>
        <v>2014D9</v>
      </c>
      <c r="B507" s="2">
        <v>2014</v>
      </c>
      <c r="C507" s="1" t="s">
        <v>2442</v>
      </c>
      <c r="D507" t="s">
        <v>2443</v>
      </c>
      <c r="E507" t="s">
        <v>2444</v>
      </c>
      <c r="F507" t="s">
        <v>2445</v>
      </c>
    </row>
    <row r="508" spans="1:6">
      <c r="A508" s="1" t="str">
        <f t="shared" si="11"/>
        <v>2014E12</v>
      </c>
      <c r="B508" s="2">
        <v>2014</v>
      </c>
      <c r="C508" s="1" t="s">
        <v>2446</v>
      </c>
      <c r="D508" t="s">
        <v>2447</v>
      </c>
      <c r="E508" t="s">
        <v>2448</v>
      </c>
      <c r="F508" t="s">
        <v>2449</v>
      </c>
    </row>
    <row r="509" spans="1:6">
      <c r="A509" s="1" t="str">
        <f t="shared" si="11"/>
        <v>2014F26</v>
      </c>
      <c r="B509" s="2">
        <v>2014</v>
      </c>
      <c r="C509" s="1" t="s">
        <v>1082</v>
      </c>
      <c r="D509" t="s">
        <v>2450</v>
      </c>
      <c r="E509" t="s">
        <v>2451</v>
      </c>
      <c r="F509" t="s">
        <v>2452</v>
      </c>
    </row>
    <row r="510" spans="1:6">
      <c r="A510" s="1" t="str">
        <f t="shared" si="11"/>
        <v>2014G5</v>
      </c>
      <c r="B510" s="2">
        <v>2014</v>
      </c>
      <c r="C510" s="1" t="s">
        <v>2453</v>
      </c>
      <c r="D510" t="s">
        <v>2454</v>
      </c>
      <c r="E510" t="s">
        <v>2455</v>
      </c>
      <c r="F510" t="s">
        <v>2456</v>
      </c>
    </row>
    <row r="511" spans="1:6">
      <c r="A511" s="1" t="str">
        <f t="shared" si="11"/>
        <v>2015A12</v>
      </c>
      <c r="B511" s="3">
        <v>2015</v>
      </c>
      <c r="C511" s="3" t="s">
        <v>1092</v>
      </c>
      <c r="D511" t="s">
        <v>2457</v>
      </c>
      <c r="E511" t="s">
        <v>2458</v>
      </c>
      <c r="F511" t="s">
        <v>2459</v>
      </c>
    </row>
    <row r="512" spans="1:6">
      <c r="A512" s="1" t="str">
        <f t="shared" si="11"/>
        <v>2015A17</v>
      </c>
      <c r="B512" s="3">
        <v>2015</v>
      </c>
      <c r="C512" t="s">
        <v>864</v>
      </c>
      <c r="D512" t="s">
        <v>2460</v>
      </c>
      <c r="E512" t="s">
        <v>2461</v>
      </c>
      <c r="F512" t="s">
        <v>2462</v>
      </c>
    </row>
    <row r="513" spans="1:6">
      <c r="A513" s="1" t="str">
        <f t="shared" si="11"/>
        <v>2015A30</v>
      </c>
      <c r="B513" s="3">
        <v>2015</v>
      </c>
      <c r="C513" t="s">
        <v>880</v>
      </c>
      <c r="D513" t="s">
        <v>2463</v>
      </c>
      <c r="E513" t="s">
        <v>2464</v>
      </c>
      <c r="F513" t="s">
        <v>2465</v>
      </c>
    </row>
    <row r="514" spans="1:6">
      <c r="A514" s="1" t="str">
        <f t="shared" si="11"/>
        <v>2015A33</v>
      </c>
      <c r="B514" s="3">
        <v>2015</v>
      </c>
      <c r="C514" s="3" t="s">
        <v>1112</v>
      </c>
      <c r="D514" t="s">
        <v>2466</v>
      </c>
      <c r="E514" t="s">
        <v>2467</v>
      </c>
      <c r="F514" t="s">
        <v>2468</v>
      </c>
    </row>
    <row r="515" spans="1:6">
      <c r="A515" s="1" t="str">
        <f t="shared" si="11"/>
        <v>2015A38</v>
      </c>
      <c r="B515" s="3">
        <v>2015</v>
      </c>
      <c r="C515" s="3" t="s">
        <v>2469</v>
      </c>
      <c r="D515" t="s">
        <v>2470</v>
      </c>
      <c r="E515" t="s">
        <v>2471</v>
      </c>
      <c r="F515" t="s">
        <v>2472</v>
      </c>
    </row>
    <row r="516" spans="1:6">
      <c r="A516" s="1" t="str">
        <f t="shared" si="11"/>
        <v>2015A45</v>
      </c>
      <c r="B516" s="3">
        <v>2015</v>
      </c>
      <c r="C516" s="3" t="s">
        <v>1124</v>
      </c>
      <c r="D516" t="s">
        <v>2473</v>
      </c>
      <c r="E516" t="s">
        <v>2474</v>
      </c>
      <c r="F516" t="s">
        <v>2475</v>
      </c>
    </row>
    <row r="517" spans="1:6">
      <c r="A517" s="1" t="str">
        <f t="shared" si="11"/>
        <v>2015A49</v>
      </c>
      <c r="B517" s="3">
        <v>2015</v>
      </c>
      <c r="C517" s="3" t="s">
        <v>1502</v>
      </c>
      <c r="D517" t="s">
        <v>2476</v>
      </c>
      <c r="E517" t="s">
        <v>2477</v>
      </c>
      <c r="F517" t="s">
        <v>2478</v>
      </c>
    </row>
    <row r="518" spans="1:6">
      <c r="A518" s="1" t="str">
        <f t="shared" si="11"/>
        <v>2015A5</v>
      </c>
      <c r="B518" s="3">
        <v>2015</v>
      </c>
      <c r="C518" s="3" t="s">
        <v>1136</v>
      </c>
      <c r="D518" t="s">
        <v>2479</v>
      </c>
      <c r="E518" t="s">
        <v>2480</v>
      </c>
      <c r="F518" t="s">
        <v>2481</v>
      </c>
    </row>
    <row r="519" spans="1:6">
      <c r="A519" s="1" t="str">
        <f t="shared" si="11"/>
        <v>2015A50</v>
      </c>
      <c r="B519" s="3">
        <v>2015</v>
      </c>
      <c r="C519" s="3" t="s">
        <v>1354</v>
      </c>
      <c r="D519" t="s">
        <v>2482</v>
      </c>
      <c r="E519" t="s">
        <v>2483</v>
      </c>
      <c r="F519" t="s">
        <v>2484</v>
      </c>
    </row>
    <row r="520" spans="1:6">
      <c r="A520" s="1" t="str">
        <f t="shared" si="11"/>
        <v>2015A56</v>
      </c>
      <c r="B520" s="3">
        <v>2015</v>
      </c>
      <c r="C520" t="s">
        <v>2485</v>
      </c>
      <c r="D520" t="s">
        <v>2486</v>
      </c>
      <c r="E520" t="s">
        <v>2487</v>
      </c>
      <c r="F520" t="s">
        <v>2488</v>
      </c>
    </row>
    <row r="521" spans="1:6">
      <c r="A521" s="1" t="str">
        <f t="shared" si="11"/>
        <v>2015A59</v>
      </c>
      <c r="B521" s="3">
        <v>2015</v>
      </c>
      <c r="C521" s="3" t="s">
        <v>1005</v>
      </c>
      <c r="D521" t="s">
        <v>2489</v>
      </c>
      <c r="E521" t="s">
        <v>2490</v>
      </c>
      <c r="F521" t="s">
        <v>2491</v>
      </c>
    </row>
    <row r="522" spans="1:6">
      <c r="A522" s="1" t="str">
        <f t="shared" si="11"/>
        <v>2015A60</v>
      </c>
      <c r="B522" s="3">
        <v>2015</v>
      </c>
      <c r="C522" s="3" t="s">
        <v>1533</v>
      </c>
      <c r="D522" t="s">
        <v>2492</v>
      </c>
      <c r="E522" t="s">
        <v>2347</v>
      </c>
      <c r="F522" t="s">
        <v>2493</v>
      </c>
    </row>
    <row r="523" spans="1:6">
      <c r="A523" s="1" t="str">
        <f t="shared" si="11"/>
        <v>2015D13</v>
      </c>
      <c r="B523" s="3">
        <v>2015</v>
      </c>
      <c r="C523" t="s">
        <v>2306</v>
      </c>
      <c r="D523" t="s">
        <v>2494</v>
      </c>
      <c r="E523" t="s">
        <v>2495</v>
      </c>
      <c r="F523" t="s">
        <v>2496</v>
      </c>
    </row>
    <row r="524" spans="1:6">
      <c r="A524" s="1" t="str">
        <f t="shared" si="11"/>
        <v>2015D2</v>
      </c>
      <c r="B524" s="3">
        <v>2015</v>
      </c>
      <c r="C524" t="s">
        <v>1036</v>
      </c>
      <c r="D524" t="s">
        <v>2497</v>
      </c>
      <c r="E524" t="s">
        <v>2498</v>
      </c>
      <c r="F524" t="s">
        <v>2499</v>
      </c>
    </row>
    <row r="525" spans="1:6">
      <c r="A525" s="1" t="str">
        <f t="shared" si="11"/>
        <v>2015D23</v>
      </c>
      <c r="B525" s="3">
        <v>2015</v>
      </c>
      <c r="C525" t="s">
        <v>1040</v>
      </c>
      <c r="D525" t="s">
        <v>2500</v>
      </c>
      <c r="E525" t="s">
        <v>2501</v>
      </c>
      <c r="F525" t="s">
        <v>2502</v>
      </c>
    </row>
    <row r="526" spans="1:6">
      <c r="A526" s="1" t="str">
        <f t="shared" si="11"/>
        <v>2015D28</v>
      </c>
      <c r="B526" s="3">
        <v>2015</v>
      </c>
      <c r="C526" t="s">
        <v>1171</v>
      </c>
      <c r="D526" t="s">
        <v>2503</v>
      </c>
      <c r="E526" t="s">
        <v>2504</v>
      </c>
      <c r="F526" t="s">
        <v>2505</v>
      </c>
    </row>
    <row r="527" spans="1:6">
      <c r="A527" s="1" t="str">
        <f t="shared" si="11"/>
        <v>2015D30</v>
      </c>
      <c r="B527" s="3">
        <v>2015</v>
      </c>
      <c r="C527" t="s">
        <v>1175</v>
      </c>
      <c r="D527" t="s">
        <v>2506</v>
      </c>
      <c r="E527" t="s">
        <v>2507</v>
      </c>
      <c r="F527" t="s">
        <v>2508</v>
      </c>
    </row>
    <row r="528" spans="1:6">
      <c r="A528" s="1" t="str">
        <f t="shared" si="11"/>
        <v>2015D30</v>
      </c>
      <c r="B528" s="3">
        <v>2015</v>
      </c>
      <c r="C528" t="s">
        <v>1175</v>
      </c>
      <c r="D528" t="s">
        <v>2506</v>
      </c>
      <c r="E528" t="s">
        <v>2507</v>
      </c>
      <c r="F528" t="s">
        <v>2508</v>
      </c>
    </row>
    <row r="529" spans="1:6">
      <c r="A529" s="1" t="str">
        <f t="shared" si="11"/>
        <v>2015D32</v>
      </c>
      <c r="B529" s="3">
        <v>2015</v>
      </c>
      <c r="C529" t="s">
        <v>2509</v>
      </c>
      <c r="D529" t="s">
        <v>2510</v>
      </c>
      <c r="E529" t="s">
        <v>2511</v>
      </c>
      <c r="F529" t="s">
        <v>2512</v>
      </c>
    </row>
    <row r="530" spans="1:6">
      <c r="A530" s="1" t="str">
        <f t="shared" si="11"/>
        <v>2015D38</v>
      </c>
      <c r="B530" s="3">
        <v>2015</v>
      </c>
      <c r="C530" t="s">
        <v>2421</v>
      </c>
      <c r="D530" t="s">
        <v>2513</v>
      </c>
      <c r="E530" t="s">
        <v>2514</v>
      </c>
      <c r="F530" t="s">
        <v>2515</v>
      </c>
    </row>
    <row r="531" spans="1:6">
      <c r="A531" s="1" t="str">
        <f t="shared" si="11"/>
        <v>2015D39</v>
      </c>
      <c r="B531" s="3">
        <v>2015</v>
      </c>
      <c r="C531" t="s">
        <v>1388</v>
      </c>
      <c r="D531" t="s">
        <v>2516</v>
      </c>
      <c r="E531" t="s">
        <v>2517</v>
      </c>
      <c r="F531" t="s">
        <v>2518</v>
      </c>
    </row>
    <row r="532" spans="1:6">
      <c r="A532" s="1" t="str">
        <f t="shared" si="11"/>
        <v>2015D4</v>
      </c>
      <c r="B532" s="3">
        <v>2015</v>
      </c>
      <c r="C532" t="s">
        <v>949</v>
      </c>
      <c r="D532" t="s">
        <v>2519</v>
      </c>
      <c r="E532" t="s">
        <v>2520</v>
      </c>
      <c r="F532" t="s">
        <v>2521</v>
      </c>
    </row>
    <row r="533" spans="1:6">
      <c r="A533" s="1" t="str">
        <f t="shared" si="11"/>
        <v>2015D55</v>
      </c>
      <c r="B533" s="3">
        <v>2015</v>
      </c>
      <c r="C533" s="3" t="s">
        <v>1406</v>
      </c>
      <c r="D533" t="s">
        <v>2522</v>
      </c>
      <c r="E533" t="s">
        <v>2523</v>
      </c>
      <c r="F533" t="s">
        <v>2524</v>
      </c>
    </row>
    <row r="534" spans="1:6">
      <c r="A534" s="1" t="str">
        <f t="shared" si="11"/>
        <v>2015D7</v>
      </c>
      <c r="B534" s="3">
        <v>2015</v>
      </c>
      <c r="C534" t="s">
        <v>953</v>
      </c>
      <c r="D534" t="s">
        <v>2525</v>
      </c>
      <c r="E534" t="s">
        <v>2526</v>
      </c>
      <c r="F534" t="s">
        <v>2527</v>
      </c>
    </row>
    <row r="535" spans="1:6">
      <c r="A535" s="1" t="str">
        <f t="shared" si="11"/>
        <v>2015D76</v>
      </c>
      <c r="B535" s="3">
        <v>2015</v>
      </c>
      <c r="C535" t="s">
        <v>2528</v>
      </c>
      <c r="D535" t="s">
        <v>2529</v>
      </c>
      <c r="E535" t="s">
        <v>2530</v>
      </c>
      <c r="F535" t="s">
        <v>2531</v>
      </c>
    </row>
    <row r="536" spans="1:6">
      <c r="A536" s="1" t="str">
        <f t="shared" si="11"/>
        <v>2015D8</v>
      </c>
      <c r="B536" s="3">
        <v>2015</v>
      </c>
      <c r="C536" s="3" t="s">
        <v>957</v>
      </c>
      <c r="D536" t="s">
        <v>2532</v>
      </c>
      <c r="E536" t="s">
        <v>2533</v>
      </c>
      <c r="F536" t="s">
        <v>2534</v>
      </c>
    </row>
    <row r="537" spans="1:6">
      <c r="A537" s="1" t="str">
        <f t="shared" si="11"/>
        <v>2015D80</v>
      </c>
      <c r="B537" s="3">
        <v>2015</v>
      </c>
      <c r="C537" t="s">
        <v>2535</v>
      </c>
      <c r="D537" t="s">
        <v>2536</v>
      </c>
      <c r="E537" t="s">
        <v>2537</v>
      </c>
      <c r="F537" t="s">
        <v>2538</v>
      </c>
    </row>
    <row r="538" spans="1:6">
      <c r="A538" s="1" t="str">
        <f t="shared" si="11"/>
        <v>2015D82</v>
      </c>
      <c r="B538" s="3">
        <v>2015</v>
      </c>
      <c r="C538" t="s">
        <v>2539</v>
      </c>
      <c r="D538" t="s">
        <v>2540</v>
      </c>
      <c r="E538" t="s">
        <v>2541</v>
      </c>
      <c r="F538" t="s">
        <v>2542</v>
      </c>
    </row>
    <row r="539" spans="1:6">
      <c r="A539" s="1" t="str">
        <f t="shared" si="11"/>
        <v>2015D9</v>
      </c>
      <c r="B539" s="3">
        <v>2015</v>
      </c>
      <c r="C539" t="s">
        <v>2442</v>
      </c>
      <c r="D539" t="s">
        <v>2543</v>
      </c>
      <c r="E539" t="s">
        <v>2544</v>
      </c>
      <c r="F539" t="s">
        <v>2545</v>
      </c>
    </row>
    <row r="540" spans="1:6">
      <c r="A540" s="1" t="str">
        <f t="shared" si="11"/>
        <v>2015E48</v>
      </c>
      <c r="B540" s="3">
        <v>2015</v>
      </c>
      <c r="C540" t="s">
        <v>2546</v>
      </c>
      <c r="D540" t="s">
        <v>2547</v>
      </c>
      <c r="E540" t="s">
        <v>2548</v>
      </c>
      <c r="F540" t="s">
        <v>2549</v>
      </c>
    </row>
    <row r="541" spans="1:6">
      <c r="A541" s="1" t="str">
        <f t="shared" si="11"/>
        <v>2015E51</v>
      </c>
      <c r="B541" s="3">
        <v>2015</v>
      </c>
      <c r="C541" t="s">
        <v>2550</v>
      </c>
      <c r="D541" t="s">
        <v>2551</v>
      </c>
      <c r="E541" t="s">
        <v>2552</v>
      </c>
      <c r="F541" t="s">
        <v>2553</v>
      </c>
    </row>
    <row r="542" spans="1:6">
      <c r="A542" s="1" t="str">
        <f t="shared" si="11"/>
        <v>2015F15</v>
      </c>
      <c r="B542" s="3">
        <v>2015</v>
      </c>
      <c r="C542" t="s">
        <v>2069</v>
      </c>
      <c r="D542" t="s">
        <v>2554</v>
      </c>
      <c r="E542" t="s">
        <v>2555</v>
      </c>
      <c r="F542" t="s">
        <v>2556</v>
      </c>
    </row>
    <row r="543" spans="1:6">
      <c r="A543" s="1" t="str">
        <f t="shared" si="11"/>
        <v>2015F15</v>
      </c>
      <c r="B543" s="3">
        <v>2015</v>
      </c>
      <c r="C543" t="s">
        <v>2069</v>
      </c>
      <c r="D543" t="s">
        <v>2554</v>
      </c>
      <c r="E543" t="s">
        <v>2555</v>
      </c>
      <c r="F543" t="s">
        <v>2556</v>
      </c>
    </row>
    <row r="544" spans="1:6">
      <c r="A544" s="1" t="str">
        <f t="shared" si="11"/>
        <v>2015F41</v>
      </c>
      <c r="B544" s="3">
        <v>2015</v>
      </c>
      <c r="C544" t="s">
        <v>1603</v>
      </c>
      <c r="D544" t="s">
        <v>2557</v>
      </c>
      <c r="E544" t="s">
        <v>2558</v>
      </c>
      <c r="F544" t="s">
        <v>2559</v>
      </c>
    </row>
    <row r="545" spans="1:6">
      <c r="A545" s="1" t="str">
        <f t="shared" si="11"/>
        <v>2018A1</v>
      </c>
      <c r="B545">
        <v>2018</v>
      </c>
      <c r="C545" t="s">
        <v>916</v>
      </c>
      <c r="D545" t="s">
        <v>2560</v>
      </c>
      <c r="E545" t="s">
        <v>2561</v>
      </c>
      <c r="F545" t="s">
        <v>2562</v>
      </c>
    </row>
    <row r="546" spans="1:6">
      <c r="A546" s="1" t="str">
        <f t="shared" si="11"/>
        <v>2018A20</v>
      </c>
      <c r="B546">
        <v>2018</v>
      </c>
      <c r="C546" t="s">
        <v>933</v>
      </c>
      <c r="D546" t="s">
        <v>2563</v>
      </c>
      <c r="E546" t="s">
        <v>2564</v>
      </c>
      <c r="F546" t="s">
        <v>2565</v>
      </c>
    </row>
    <row r="547" spans="1:6">
      <c r="A547" s="1" t="str">
        <f t="shared" si="11"/>
        <v>2018A22</v>
      </c>
      <c r="B547">
        <v>2018</v>
      </c>
      <c r="C547" t="s">
        <v>868</v>
      </c>
      <c r="D547" t="s">
        <v>2566</v>
      </c>
      <c r="E547" t="s">
        <v>2567</v>
      </c>
      <c r="F547" t="s">
        <v>2568</v>
      </c>
    </row>
    <row r="548" spans="1:6">
      <c r="A548" s="1" t="str">
        <f t="shared" si="11"/>
        <v>2018A26a</v>
      </c>
      <c r="B548">
        <v>2018</v>
      </c>
      <c r="C548" t="s">
        <v>2569</v>
      </c>
      <c r="D548" t="s">
        <v>2570</v>
      </c>
      <c r="E548" t="s">
        <v>2571</v>
      </c>
      <c r="F548" t="s">
        <v>2572</v>
      </c>
    </row>
    <row r="549" spans="1:6">
      <c r="A549" s="1" t="str">
        <f t="shared" si="11"/>
        <v>2018A26b</v>
      </c>
      <c r="B549">
        <v>2018</v>
      </c>
      <c r="C549" t="s">
        <v>2573</v>
      </c>
      <c r="D549" t="s">
        <v>2570</v>
      </c>
      <c r="E549" t="s">
        <v>2571</v>
      </c>
      <c r="F549" t="s">
        <v>2572</v>
      </c>
    </row>
    <row r="550" spans="1:6">
      <c r="A550" s="1" t="str">
        <f t="shared" si="11"/>
        <v>2018A28</v>
      </c>
      <c r="B550">
        <v>2018</v>
      </c>
      <c r="C550" t="s">
        <v>876</v>
      </c>
      <c r="D550" t="s">
        <v>2574</v>
      </c>
      <c r="E550" t="s">
        <v>2575</v>
      </c>
      <c r="F550" t="s">
        <v>2576</v>
      </c>
    </row>
    <row r="551" spans="1:6">
      <c r="A551" s="1" t="str">
        <f t="shared" si="11"/>
        <v>2018A32a</v>
      </c>
      <c r="B551">
        <v>2018</v>
      </c>
      <c r="C551" t="s">
        <v>2577</v>
      </c>
      <c r="D551" t="s">
        <v>2578</v>
      </c>
      <c r="E551" t="s">
        <v>2579</v>
      </c>
      <c r="F551" t="s">
        <v>2580</v>
      </c>
    </row>
    <row r="552" spans="1:6">
      <c r="A552" s="1" t="str">
        <f t="shared" si="11"/>
        <v>2018A32b</v>
      </c>
      <c r="B552">
        <v>2018</v>
      </c>
      <c r="C552" t="s">
        <v>2581</v>
      </c>
      <c r="D552" t="s">
        <v>2578</v>
      </c>
      <c r="E552" t="s">
        <v>2579</v>
      </c>
      <c r="F552" t="s">
        <v>2580</v>
      </c>
    </row>
    <row r="553" spans="1:6">
      <c r="A553" s="1" t="str">
        <f t="shared" si="11"/>
        <v>2018A35</v>
      </c>
      <c r="B553">
        <v>2018</v>
      </c>
      <c r="C553" t="s">
        <v>1211</v>
      </c>
      <c r="D553" t="s">
        <v>2582</v>
      </c>
      <c r="E553" t="s">
        <v>2583</v>
      </c>
      <c r="F553" t="s">
        <v>2584</v>
      </c>
    </row>
    <row r="554" spans="1:6">
      <c r="A554" s="1" t="str">
        <f t="shared" si="11"/>
        <v>2018A46</v>
      </c>
      <c r="B554">
        <v>2018</v>
      </c>
      <c r="C554" t="s">
        <v>1128</v>
      </c>
      <c r="D554" t="s">
        <v>2585</v>
      </c>
      <c r="E554" t="s">
        <v>2586</v>
      </c>
      <c r="F554" t="s">
        <v>2587</v>
      </c>
    </row>
    <row r="555" spans="1:6">
      <c r="A555" s="1" t="str">
        <f t="shared" si="11"/>
        <v>2018A48</v>
      </c>
      <c r="B555">
        <v>2018</v>
      </c>
      <c r="C555" t="s">
        <v>1350</v>
      </c>
      <c r="D555" t="s">
        <v>2588</v>
      </c>
      <c r="E555" t="s">
        <v>2589</v>
      </c>
      <c r="F555" t="s">
        <v>2590</v>
      </c>
    </row>
    <row r="556" spans="1:6">
      <c r="A556" s="1" t="str">
        <f t="shared" ref="A556:A594" si="12">B556&amp;""&amp;C556</f>
        <v>2018A6a</v>
      </c>
      <c r="B556">
        <v>2018</v>
      </c>
      <c r="C556" t="s">
        <v>2591</v>
      </c>
      <c r="D556" t="s">
        <v>2592</v>
      </c>
      <c r="E556" t="s">
        <v>2593</v>
      </c>
      <c r="F556" t="s">
        <v>2594</v>
      </c>
    </row>
    <row r="557" spans="1:6">
      <c r="A557" s="1" t="str">
        <f t="shared" si="12"/>
        <v>2018A6b</v>
      </c>
      <c r="B557">
        <v>2018</v>
      </c>
      <c r="C557" t="s">
        <v>2595</v>
      </c>
      <c r="D557" t="s">
        <v>2592</v>
      </c>
      <c r="E557" t="s">
        <v>2593</v>
      </c>
      <c r="F557" t="s">
        <v>2594</v>
      </c>
    </row>
    <row r="558" spans="1:6">
      <c r="A558" s="1" t="str">
        <f t="shared" si="12"/>
        <v>2018A6c</v>
      </c>
      <c r="B558">
        <v>2018</v>
      </c>
      <c r="C558" t="s">
        <v>2596</v>
      </c>
      <c r="D558" t="s">
        <v>2592</v>
      </c>
      <c r="E558" t="s">
        <v>2593</v>
      </c>
      <c r="F558" t="s">
        <v>2594</v>
      </c>
    </row>
    <row r="559" spans="1:6">
      <c r="A559" s="1" t="str">
        <f t="shared" si="12"/>
        <v>2018B8</v>
      </c>
      <c r="B559">
        <v>2018</v>
      </c>
      <c r="C559" t="s">
        <v>2597</v>
      </c>
      <c r="D559" t="s">
        <v>2598</v>
      </c>
      <c r="E559" t="s">
        <v>2377</v>
      </c>
      <c r="F559" t="s">
        <v>2599</v>
      </c>
    </row>
    <row r="560" spans="1:6">
      <c r="A560" s="1" t="str">
        <f t="shared" si="12"/>
        <v>2018D1</v>
      </c>
      <c r="B560">
        <v>2018</v>
      </c>
      <c r="C560" t="s">
        <v>1020</v>
      </c>
      <c r="D560" t="s">
        <v>2600</v>
      </c>
      <c r="E560" t="s">
        <v>2601</v>
      </c>
      <c r="F560" t="s">
        <v>2602</v>
      </c>
    </row>
    <row r="561" spans="1:6">
      <c r="A561" s="1" t="str">
        <f t="shared" si="12"/>
        <v>2018D10</v>
      </c>
      <c r="B561">
        <v>2018</v>
      </c>
      <c r="C561" t="s">
        <v>1024</v>
      </c>
      <c r="D561" t="s">
        <v>2603</v>
      </c>
      <c r="E561" t="s">
        <v>2604</v>
      </c>
      <c r="F561" t="s">
        <v>2605</v>
      </c>
    </row>
    <row r="562" spans="1:6">
      <c r="A562" s="1" t="str">
        <f t="shared" si="12"/>
        <v>2018D11</v>
      </c>
      <c r="B562">
        <v>2018</v>
      </c>
      <c r="C562" t="s">
        <v>1028</v>
      </c>
      <c r="D562" t="s">
        <v>2606</v>
      </c>
      <c r="E562" t="s">
        <v>2607</v>
      </c>
      <c r="F562" t="s">
        <v>2608</v>
      </c>
    </row>
    <row r="563" spans="1:6">
      <c r="A563" s="1" t="str">
        <f t="shared" si="12"/>
        <v>2018D13a</v>
      </c>
      <c r="B563">
        <v>2018</v>
      </c>
      <c r="C563" t="s">
        <v>2609</v>
      </c>
      <c r="D563" t="s">
        <v>2610</v>
      </c>
      <c r="E563" t="s">
        <v>2611</v>
      </c>
      <c r="F563" t="s">
        <v>2612</v>
      </c>
    </row>
    <row r="564" spans="1:6">
      <c r="A564" s="1" t="str">
        <f t="shared" si="12"/>
        <v>2018D13b</v>
      </c>
      <c r="B564">
        <v>2018</v>
      </c>
      <c r="C564" t="s">
        <v>2613</v>
      </c>
      <c r="D564" t="s">
        <v>2610</v>
      </c>
      <c r="E564" t="s">
        <v>2611</v>
      </c>
      <c r="F564" t="s">
        <v>2612</v>
      </c>
    </row>
    <row r="565" spans="1:6">
      <c r="A565" s="1" t="str">
        <f t="shared" si="12"/>
        <v>2018D16a</v>
      </c>
      <c r="B565">
        <v>2018</v>
      </c>
      <c r="C565" t="s">
        <v>2614</v>
      </c>
      <c r="D565" t="s">
        <v>2615</v>
      </c>
      <c r="E565" t="s">
        <v>2616</v>
      </c>
      <c r="F565" t="s">
        <v>2617</v>
      </c>
    </row>
    <row r="566" spans="1:6">
      <c r="A566" s="1" t="str">
        <f t="shared" si="12"/>
        <v>2018D16b</v>
      </c>
      <c r="B566">
        <v>2018</v>
      </c>
      <c r="C566" t="s">
        <v>2618</v>
      </c>
      <c r="D566" t="s">
        <v>2615</v>
      </c>
      <c r="E566" t="s">
        <v>2616</v>
      </c>
      <c r="F566" t="s">
        <v>2617</v>
      </c>
    </row>
    <row r="567" spans="1:6">
      <c r="A567" s="1" t="str">
        <f t="shared" si="12"/>
        <v>2018D2</v>
      </c>
      <c r="B567">
        <v>2018</v>
      </c>
      <c r="C567" t="s">
        <v>1036</v>
      </c>
      <c r="D567" t="s">
        <v>2619</v>
      </c>
      <c r="E567" t="s">
        <v>2620</v>
      </c>
      <c r="F567" t="s">
        <v>2621</v>
      </c>
    </row>
    <row r="568" spans="1:6">
      <c r="A568" s="1" t="str">
        <f t="shared" si="12"/>
        <v>2018D28</v>
      </c>
      <c r="B568">
        <v>2018</v>
      </c>
      <c r="C568" t="s">
        <v>1171</v>
      </c>
      <c r="D568" t="s">
        <v>2622</v>
      </c>
      <c r="E568" t="s">
        <v>2623</v>
      </c>
      <c r="F568" t="s">
        <v>2624</v>
      </c>
    </row>
    <row r="569" spans="1:6">
      <c r="A569" s="1" t="str">
        <f t="shared" si="12"/>
        <v>2018D3</v>
      </c>
      <c r="B569">
        <v>2018</v>
      </c>
      <c r="C569" t="s">
        <v>2065</v>
      </c>
      <c r="D569" t="s">
        <v>2625</v>
      </c>
      <c r="E569" t="s">
        <v>2626</v>
      </c>
      <c r="F569" t="s">
        <v>2627</v>
      </c>
    </row>
    <row r="570" spans="1:6">
      <c r="A570" s="1" t="str">
        <f t="shared" si="12"/>
        <v>2018D39</v>
      </c>
      <c r="B570">
        <v>2018</v>
      </c>
      <c r="C570" t="s">
        <v>1388</v>
      </c>
      <c r="D570" t="s">
        <v>2628</v>
      </c>
      <c r="E570" t="s">
        <v>2629</v>
      </c>
      <c r="F570" t="s">
        <v>2630</v>
      </c>
    </row>
    <row r="571" spans="1:6">
      <c r="A571" s="1" t="str">
        <f t="shared" si="12"/>
        <v>2018D40</v>
      </c>
      <c r="B571">
        <v>2018</v>
      </c>
      <c r="C571" t="s">
        <v>2631</v>
      </c>
      <c r="D571" t="s">
        <v>2632</v>
      </c>
      <c r="E571" t="s">
        <v>2377</v>
      </c>
      <c r="F571" t="s">
        <v>2633</v>
      </c>
    </row>
    <row r="572" spans="1:6">
      <c r="A572" s="1" t="str">
        <f t="shared" si="12"/>
        <v>2018D44</v>
      </c>
      <c r="B572">
        <v>2018</v>
      </c>
      <c r="C572" t="s">
        <v>2634</v>
      </c>
      <c r="D572" t="s">
        <v>2635</v>
      </c>
      <c r="E572" t="s">
        <v>2377</v>
      </c>
      <c r="F572" t="s">
        <v>2636</v>
      </c>
    </row>
    <row r="573" spans="1:6">
      <c r="A573" s="1" t="str">
        <f t="shared" si="12"/>
        <v>2018D47</v>
      </c>
      <c r="B573">
        <v>2018</v>
      </c>
      <c r="C573" t="s">
        <v>2637</v>
      </c>
      <c r="D573" t="s">
        <v>2638</v>
      </c>
      <c r="E573" t="s">
        <v>2639</v>
      </c>
      <c r="F573" t="s">
        <v>2640</v>
      </c>
    </row>
    <row r="574" spans="1:6">
      <c r="A574" s="1" t="str">
        <f t="shared" si="12"/>
        <v>2018D49</v>
      </c>
      <c r="B574">
        <v>2018</v>
      </c>
      <c r="C574" t="s">
        <v>2641</v>
      </c>
      <c r="D574" t="s">
        <v>2642</v>
      </c>
      <c r="E574" t="s">
        <v>2643</v>
      </c>
      <c r="F574" t="s">
        <v>2644</v>
      </c>
    </row>
    <row r="575" spans="1:6">
      <c r="A575" s="1" t="str">
        <f t="shared" si="12"/>
        <v>2018D50</v>
      </c>
      <c r="B575">
        <v>2018</v>
      </c>
      <c r="C575" t="s">
        <v>1402</v>
      </c>
      <c r="D575" t="s">
        <v>2645</v>
      </c>
      <c r="E575" t="s">
        <v>2377</v>
      </c>
      <c r="F575" t="s">
        <v>2646</v>
      </c>
    </row>
    <row r="576" spans="1:6">
      <c r="A576" s="1" t="str">
        <f t="shared" si="12"/>
        <v>2018D56</v>
      </c>
      <c r="B576">
        <v>2018</v>
      </c>
      <c r="C576" t="s">
        <v>1410</v>
      </c>
      <c r="D576" t="s">
        <v>2647</v>
      </c>
      <c r="E576" t="s">
        <v>2648</v>
      </c>
      <c r="F576" t="s">
        <v>2649</v>
      </c>
    </row>
    <row r="577" spans="1:6">
      <c r="A577" s="1" t="str">
        <f t="shared" si="12"/>
        <v>2018D84</v>
      </c>
      <c r="B577">
        <v>2018</v>
      </c>
      <c r="C577" t="s">
        <v>2650</v>
      </c>
      <c r="D577" t="s">
        <v>2651</v>
      </c>
      <c r="E577" t="s">
        <v>2652</v>
      </c>
      <c r="F577" t="s">
        <v>2653</v>
      </c>
    </row>
    <row r="578" spans="1:6">
      <c r="A578" s="1" t="str">
        <f t="shared" si="12"/>
        <v>2018E122a</v>
      </c>
      <c r="B578">
        <v>2018</v>
      </c>
      <c r="C578" t="s">
        <v>2654</v>
      </c>
      <c r="D578" t="s">
        <v>2655</v>
      </c>
      <c r="E578" t="s">
        <v>2656</v>
      </c>
      <c r="F578" t="s">
        <v>2657</v>
      </c>
    </row>
    <row r="579" spans="1:6">
      <c r="A579" s="1" t="str">
        <f t="shared" si="12"/>
        <v>2018E122b</v>
      </c>
      <c r="B579">
        <v>2018</v>
      </c>
      <c r="C579" t="s">
        <v>2658</v>
      </c>
      <c r="D579" t="s">
        <v>2655</v>
      </c>
      <c r="E579" t="s">
        <v>2656</v>
      </c>
      <c r="F579" t="s">
        <v>2657</v>
      </c>
    </row>
    <row r="580" spans="1:6">
      <c r="A580" s="1" t="str">
        <f t="shared" si="12"/>
        <v>2018E92</v>
      </c>
      <c r="B580">
        <v>2018</v>
      </c>
      <c r="C580" t="s">
        <v>2659</v>
      </c>
      <c r="D580" t="s">
        <v>2660</v>
      </c>
      <c r="E580" t="s">
        <v>2661</v>
      </c>
      <c r="F580" t="s">
        <v>2662</v>
      </c>
    </row>
    <row r="581" spans="1:6">
      <c r="A581" s="1" t="str">
        <f t="shared" si="12"/>
        <v>2018F1</v>
      </c>
      <c r="B581">
        <v>2018</v>
      </c>
      <c r="C581" t="s">
        <v>2324</v>
      </c>
      <c r="D581" t="s">
        <v>2663</v>
      </c>
      <c r="E581" t="s">
        <v>2664</v>
      </c>
      <c r="F581" t="s">
        <v>2665</v>
      </c>
    </row>
    <row r="582" spans="1:6">
      <c r="A582" s="1" t="str">
        <f t="shared" si="12"/>
        <v>2018F16</v>
      </c>
      <c r="B582">
        <v>2018</v>
      </c>
      <c r="C582" t="s">
        <v>908</v>
      </c>
      <c r="D582" t="s">
        <v>2666</v>
      </c>
      <c r="E582" t="s">
        <v>2667</v>
      </c>
      <c r="F582" t="s">
        <v>2668</v>
      </c>
    </row>
    <row r="583" spans="1:6">
      <c r="A583" s="1" t="str">
        <f t="shared" si="12"/>
        <v>2018F21</v>
      </c>
      <c r="B583">
        <v>2018</v>
      </c>
      <c r="C583" t="s">
        <v>2185</v>
      </c>
      <c r="D583" t="s">
        <v>2669</v>
      </c>
      <c r="E583" t="s">
        <v>2670</v>
      </c>
      <c r="F583" t="s">
        <v>2671</v>
      </c>
    </row>
    <row r="584" spans="1:6">
      <c r="A584" s="1" t="str">
        <f t="shared" si="12"/>
        <v>2018F3</v>
      </c>
      <c r="B584">
        <v>2018</v>
      </c>
      <c r="C584" t="s">
        <v>2672</v>
      </c>
      <c r="D584" t="s">
        <v>2673</v>
      </c>
      <c r="E584" t="s">
        <v>2674</v>
      </c>
      <c r="F584" t="s">
        <v>2675</v>
      </c>
    </row>
    <row r="585" spans="1:6">
      <c r="A585" s="1" t="str">
        <f t="shared" si="12"/>
        <v>2018F34a</v>
      </c>
      <c r="B585">
        <v>2018</v>
      </c>
      <c r="C585" t="s">
        <v>2676</v>
      </c>
      <c r="D585" t="s">
        <v>2677</v>
      </c>
      <c r="E585" t="s">
        <v>2678</v>
      </c>
      <c r="F585" t="s">
        <v>2679</v>
      </c>
    </row>
    <row r="586" spans="1:6">
      <c r="A586" s="1" t="str">
        <f t="shared" si="12"/>
        <v>2018F34b</v>
      </c>
      <c r="B586">
        <v>2018</v>
      </c>
      <c r="C586" t="s">
        <v>2680</v>
      </c>
      <c r="D586" t="s">
        <v>2677</v>
      </c>
      <c r="E586" t="s">
        <v>2678</v>
      </c>
      <c r="F586" t="s">
        <v>2679</v>
      </c>
    </row>
    <row r="587" spans="1:6">
      <c r="A587" s="1" t="str">
        <f t="shared" si="12"/>
        <v>2018F5</v>
      </c>
      <c r="B587">
        <v>2018</v>
      </c>
      <c r="C587" t="s">
        <v>1615</v>
      </c>
      <c r="D587" t="s">
        <v>2681</v>
      </c>
      <c r="E587" t="s">
        <v>2682</v>
      </c>
      <c r="F587" t="s">
        <v>2683</v>
      </c>
    </row>
    <row r="588" spans="1:6">
      <c r="A588" s="1" t="str">
        <f t="shared" si="12"/>
        <v>2018F52</v>
      </c>
      <c r="B588">
        <v>2018</v>
      </c>
      <c r="C588" t="s">
        <v>2684</v>
      </c>
      <c r="D588" t="s">
        <v>2685</v>
      </c>
      <c r="E588" t="s">
        <v>2686</v>
      </c>
      <c r="F588" t="s">
        <v>2687</v>
      </c>
    </row>
    <row r="589" spans="1:6">
      <c r="A589" s="1" t="str">
        <f t="shared" si="12"/>
        <v>2018G47</v>
      </c>
      <c r="B589">
        <v>2018</v>
      </c>
      <c r="C589" t="s">
        <v>2688</v>
      </c>
      <c r="D589" t="s">
        <v>2689</v>
      </c>
      <c r="E589" t="s">
        <v>2690</v>
      </c>
      <c r="F589" t="s">
        <v>2691</v>
      </c>
    </row>
    <row r="590" spans="1:6">
      <c r="A590" s="1" t="str">
        <f t="shared" si="12"/>
        <v>2006A1</v>
      </c>
      <c r="B590">
        <v>2006</v>
      </c>
      <c r="C590" t="s">
        <v>916</v>
      </c>
      <c r="D590" t="s">
        <v>2692</v>
      </c>
      <c r="E590" t="s">
        <v>2693</v>
      </c>
      <c r="F590" t="s">
        <v>2694</v>
      </c>
    </row>
    <row r="591" spans="1:6">
      <c r="A591" s="1" t="str">
        <f t="shared" si="12"/>
        <v>2006A8a</v>
      </c>
      <c r="B591">
        <v>2006</v>
      </c>
      <c r="C591" t="s">
        <v>2695</v>
      </c>
      <c r="D591" t="s">
        <v>2696</v>
      </c>
      <c r="E591" t="s">
        <v>2697</v>
      </c>
      <c r="F591" t="s">
        <v>2698</v>
      </c>
    </row>
    <row r="592" spans="1:6">
      <c r="A592" s="1" t="str">
        <f t="shared" si="12"/>
        <v>2006A14</v>
      </c>
      <c r="B592">
        <v>2006</v>
      </c>
      <c r="C592" t="s">
        <v>923</v>
      </c>
      <c r="D592" t="s">
        <v>2699</v>
      </c>
      <c r="E592" t="s">
        <v>2700</v>
      </c>
      <c r="F592" t="s">
        <v>2701</v>
      </c>
    </row>
    <row r="593" spans="1:7">
      <c r="A593" s="1" t="str">
        <f t="shared" si="12"/>
        <v>2006E59</v>
      </c>
      <c r="B593">
        <v>2006</v>
      </c>
      <c r="C593" t="s">
        <v>1303</v>
      </c>
      <c r="D593" t="s">
        <v>2702</v>
      </c>
      <c r="E593" t="s">
        <v>2703</v>
      </c>
      <c r="F593" t="s">
        <v>2704</v>
      </c>
    </row>
    <row r="594" spans="1:7">
      <c r="A594" s="1" t="str">
        <f t="shared" si="12"/>
        <v>2006F18a</v>
      </c>
      <c r="B594">
        <v>2006</v>
      </c>
      <c r="C594" t="s">
        <v>2705</v>
      </c>
      <c r="D594" t="s">
        <v>2706</v>
      </c>
      <c r="E594" t="s">
        <v>2707</v>
      </c>
      <c r="F594" t="s">
        <v>2708</v>
      </c>
    </row>
    <row r="595" spans="1:7">
      <c r="A595" t="s">
        <v>2709</v>
      </c>
      <c r="B595">
        <v>2011</v>
      </c>
      <c r="C595" s="6" t="s">
        <v>2710</v>
      </c>
      <c r="D595" t="s">
        <v>2711</v>
      </c>
      <c r="E595" t="s">
        <v>2712</v>
      </c>
      <c r="F595" t="s">
        <v>2713</v>
      </c>
    </row>
    <row r="596" spans="1:7">
      <c r="A596" t="s">
        <v>2714</v>
      </c>
      <c r="B596">
        <v>2013</v>
      </c>
      <c r="C596" s="6" t="s">
        <v>2710</v>
      </c>
      <c r="D596" t="s">
        <v>2715</v>
      </c>
      <c r="E596" t="s">
        <v>2716</v>
      </c>
      <c r="F596" t="s">
        <v>2717</v>
      </c>
    </row>
    <row r="598" spans="1:7">
      <c r="A598" t="s">
        <v>2870</v>
      </c>
      <c r="C598"/>
      <c r="D598" t="s">
        <v>758</v>
      </c>
    </row>
    <row r="599" spans="1:7">
      <c r="A599" s="94" t="s">
        <v>2871</v>
      </c>
      <c r="B599" s="94">
        <v>2018</v>
      </c>
      <c r="C599" s="95" t="s">
        <v>2008</v>
      </c>
      <c r="D599" s="94" t="s">
        <v>2009</v>
      </c>
      <c r="E599" s="82" t="s">
        <v>134</v>
      </c>
      <c r="F599" s="82"/>
    </row>
    <row r="600" spans="1:7">
      <c r="A600" s="94" t="s">
        <v>2872</v>
      </c>
      <c r="B600" s="82">
        <v>2018</v>
      </c>
      <c r="C600" s="82" t="s">
        <v>2324</v>
      </c>
      <c r="D600" s="82" t="s">
        <v>2663</v>
      </c>
      <c r="E600" s="82" t="s">
        <v>2664</v>
      </c>
      <c r="F600" s="82" t="s">
        <v>2665</v>
      </c>
    </row>
    <row r="601" spans="1:7">
      <c r="A601" s="94" t="s">
        <v>2873</v>
      </c>
      <c r="B601" s="82">
        <v>2018</v>
      </c>
      <c r="C601" s="82" t="s">
        <v>908</v>
      </c>
      <c r="D601" s="82" t="s">
        <v>2666</v>
      </c>
      <c r="E601" s="82" t="s">
        <v>2667</v>
      </c>
      <c r="F601" s="82" t="s">
        <v>2668</v>
      </c>
    </row>
    <row r="602" spans="1:7">
      <c r="C602"/>
    </row>
    <row r="603" spans="1:7">
      <c r="A603" s="72" t="s">
        <v>2874</v>
      </c>
      <c r="B603" s="72" t="s">
        <v>2877</v>
      </c>
      <c r="D603" s="72" t="s">
        <v>2876</v>
      </c>
      <c r="E603" s="72" t="s">
        <v>2875</v>
      </c>
      <c r="F603" s="96"/>
      <c r="G603" s="72"/>
    </row>
    <row r="604" spans="1:7">
      <c r="A604" s="72" t="s">
        <v>2878</v>
      </c>
      <c r="B604" s="72">
        <v>2022</v>
      </c>
      <c r="D604" s="72" t="s">
        <v>2880</v>
      </c>
      <c r="E604" s="72" t="s">
        <v>2879</v>
      </c>
    </row>
    <row r="605" spans="1:7">
      <c r="A605" s="72" t="s">
        <v>2878</v>
      </c>
      <c r="B605" s="72">
        <v>2021</v>
      </c>
      <c r="D605" s="72" t="s">
        <v>2882</v>
      </c>
      <c r="E605" s="72" t="s">
        <v>2881</v>
      </c>
    </row>
    <row r="606" spans="1:7">
      <c r="A606" s="72" t="s">
        <v>2878</v>
      </c>
      <c r="B606" s="72">
        <v>2022</v>
      </c>
      <c r="D606" s="72" t="s">
        <v>2884</v>
      </c>
      <c r="E606" s="72" t="s">
        <v>2883</v>
      </c>
    </row>
    <row r="607" spans="1:7">
      <c r="A607" s="72" t="s">
        <v>2878</v>
      </c>
      <c r="B607" s="72">
        <v>2021</v>
      </c>
      <c r="D607" s="72" t="s">
        <v>2886</v>
      </c>
      <c r="E607" s="72" t="s">
        <v>2885</v>
      </c>
    </row>
    <row r="608" spans="1:7">
      <c r="A608" s="72" t="s">
        <v>2878</v>
      </c>
      <c r="B608" s="72">
        <v>2020</v>
      </c>
      <c r="D608" s="72" t="s">
        <v>2888</v>
      </c>
      <c r="E608" s="72" t="s">
        <v>2887</v>
      </c>
    </row>
    <row r="609" spans="1:5">
      <c r="A609" s="72" t="s">
        <v>2878</v>
      </c>
      <c r="B609" s="72">
        <v>2022</v>
      </c>
      <c r="D609" s="72" t="s">
        <v>2890</v>
      </c>
      <c r="E609" s="72" t="s">
        <v>2889</v>
      </c>
    </row>
    <row r="610" spans="1:5">
      <c r="A610" s="72" t="s">
        <v>2878</v>
      </c>
      <c r="B610" s="72">
        <v>2019</v>
      </c>
      <c r="D610" s="72" t="s">
        <v>2892</v>
      </c>
      <c r="E610" s="72" t="s">
        <v>2891</v>
      </c>
    </row>
    <row r="611" spans="1:5">
      <c r="A611" s="72" t="s">
        <v>2878</v>
      </c>
      <c r="B611" s="72">
        <v>2019</v>
      </c>
      <c r="D611" s="72" t="s">
        <v>2894</v>
      </c>
      <c r="E611" s="72" t="s">
        <v>2893</v>
      </c>
    </row>
    <row r="612" spans="1:5">
      <c r="A612" s="72" t="s">
        <v>2878</v>
      </c>
      <c r="B612" s="72">
        <v>2020</v>
      </c>
      <c r="D612" s="72" t="s">
        <v>2896</v>
      </c>
      <c r="E612" s="72" t="s">
        <v>2895</v>
      </c>
    </row>
    <row r="613" spans="1:5">
      <c r="A613" s="72" t="s">
        <v>2878</v>
      </c>
      <c r="B613" s="72">
        <v>2021</v>
      </c>
      <c r="D613" s="72" t="s">
        <v>2898</v>
      </c>
      <c r="E613" s="72" t="s">
        <v>2897</v>
      </c>
    </row>
    <row r="614" spans="1:5">
      <c r="A614" s="72" t="s">
        <v>2878</v>
      </c>
      <c r="B614" s="72">
        <v>2020</v>
      </c>
      <c r="D614" s="72" t="s">
        <v>2900</v>
      </c>
      <c r="E614" s="72" t="s">
        <v>2899</v>
      </c>
    </row>
    <row r="615" spans="1:5">
      <c r="A615" s="72" t="s">
        <v>2878</v>
      </c>
      <c r="B615" s="72">
        <v>2022</v>
      </c>
      <c r="D615" s="72" t="s">
        <v>2902</v>
      </c>
      <c r="E615" s="72" t="s">
        <v>2901</v>
      </c>
    </row>
    <row r="616" spans="1:5">
      <c r="A616" s="72" t="s">
        <v>2878</v>
      </c>
      <c r="B616" s="72">
        <v>2023</v>
      </c>
      <c r="D616" s="72" t="s">
        <v>2904</v>
      </c>
      <c r="E616" s="72" t="s">
        <v>2903</v>
      </c>
    </row>
    <row r="617" spans="1:5">
      <c r="A617" s="72" t="s">
        <v>2878</v>
      </c>
      <c r="B617" s="72">
        <v>2022</v>
      </c>
      <c r="D617" s="72" t="s">
        <v>2906</v>
      </c>
      <c r="E617" s="72" t="s">
        <v>2905</v>
      </c>
    </row>
    <row r="618" spans="1:5" s="97" customFormat="1" ht="12.5">
      <c r="A618" s="97" t="s">
        <v>2878</v>
      </c>
      <c r="B618" s="97">
        <v>2020</v>
      </c>
      <c r="D618" s="97" t="s">
        <v>2907</v>
      </c>
      <c r="E618" s="97" t="s">
        <v>735</v>
      </c>
    </row>
    <row r="619" spans="1:5" s="97" customFormat="1" ht="12.5">
      <c r="A619" s="97" t="s">
        <v>2878</v>
      </c>
      <c r="B619" s="97">
        <v>2019</v>
      </c>
      <c r="D619" s="97" t="s">
        <v>2908</v>
      </c>
      <c r="E619" s="97" t="s">
        <v>738</v>
      </c>
    </row>
    <row r="620" spans="1:5">
      <c r="A620" s="72" t="s">
        <v>2878</v>
      </c>
      <c r="B620" s="72">
        <v>2020</v>
      </c>
      <c r="D620" s="72" t="s">
        <v>2910</v>
      </c>
      <c r="E620" s="72" t="s">
        <v>2909</v>
      </c>
    </row>
    <row r="621" spans="1:5">
      <c r="A621" s="72" t="s">
        <v>2911</v>
      </c>
      <c r="B621">
        <v>2020</v>
      </c>
      <c r="D621" t="s">
        <v>2913</v>
      </c>
      <c r="E621" t="s">
        <v>2912</v>
      </c>
    </row>
    <row r="622" spans="1:5">
      <c r="A622" s="72" t="s">
        <v>2911</v>
      </c>
      <c r="B622">
        <v>2021</v>
      </c>
      <c r="D622" t="s">
        <v>2915</v>
      </c>
      <c r="E622" t="s">
        <v>2914</v>
      </c>
    </row>
    <row r="623" spans="1:5" s="99" customFormat="1">
      <c r="A623" s="98" t="s">
        <v>561</v>
      </c>
      <c r="B623" s="99">
        <v>2022</v>
      </c>
      <c r="D623" s="99" t="s">
        <v>2917</v>
      </c>
      <c r="E623" s="99" t="s">
        <v>562</v>
      </c>
    </row>
    <row r="624" spans="1:5" s="101" customFormat="1">
      <c r="A624" s="100" t="s">
        <v>2916</v>
      </c>
      <c r="B624" s="101">
        <v>2019</v>
      </c>
      <c r="D624" s="101" t="s">
        <v>2919</v>
      </c>
      <c r="E624" s="101" t="s">
        <v>2918</v>
      </c>
    </row>
    <row r="625" spans="1:5">
      <c r="A625" s="72" t="s">
        <v>2916</v>
      </c>
      <c r="B625">
        <v>2020</v>
      </c>
      <c r="D625" t="s">
        <v>2921</v>
      </c>
      <c r="E625" t="s">
        <v>2920</v>
      </c>
    </row>
    <row r="626" spans="1:5" s="99" customFormat="1">
      <c r="A626" s="98" t="s">
        <v>579</v>
      </c>
      <c r="B626" s="99">
        <v>2022</v>
      </c>
      <c r="D626" s="99" t="s">
        <v>2922</v>
      </c>
      <c r="E626" s="99" t="s">
        <v>580</v>
      </c>
    </row>
    <row r="627" spans="1:5">
      <c r="A627" s="72" t="s">
        <v>2916</v>
      </c>
      <c r="B627">
        <v>2021</v>
      </c>
      <c r="D627" t="s">
        <v>2924</v>
      </c>
      <c r="E627" t="s">
        <v>2923</v>
      </c>
    </row>
    <row r="628" spans="1:5">
      <c r="A628" s="72" t="s">
        <v>2916</v>
      </c>
      <c r="B628">
        <v>2022</v>
      </c>
      <c r="D628" t="s">
        <v>2926</v>
      </c>
      <c r="E628" t="s">
        <v>2925</v>
      </c>
    </row>
    <row r="629" spans="1:5" s="99" customFormat="1">
      <c r="A629" s="98" t="s">
        <v>2916</v>
      </c>
      <c r="B629" s="99">
        <v>2021</v>
      </c>
      <c r="D629" s="99" t="s">
        <v>2927</v>
      </c>
      <c r="E629" s="99" t="s">
        <v>607</v>
      </c>
    </row>
    <row r="630" spans="1:5">
      <c r="A630" s="72" t="s">
        <v>2916</v>
      </c>
      <c r="B630">
        <v>2019</v>
      </c>
      <c r="D630" t="s">
        <v>2929</v>
      </c>
      <c r="E630" t="s">
        <v>2928</v>
      </c>
    </row>
    <row r="631" spans="1:5">
      <c r="A631" s="72" t="s">
        <v>2916</v>
      </c>
      <c r="B631">
        <v>2019</v>
      </c>
      <c r="D631" t="s">
        <v>2931</v>
      </c>
      <c r="E631" t="s">
        <v>2930</v>
      </c>
    </row>
    <row r="632" spans="1:5">
      <c r="A632" s="72" t="s">
        <v>2916</v>
      </c>
      <c r="B632">
        <v>2020</v>
      </c>
      <c r="D632" t="s">
        <v>2933</v>
      </c>
      <c r="E632" t="s">
        <v>2932</v>
      </c>
    </row>
    <row r="633" spans="1:5" s="99" customFormat="1">
      <c r="A633" s="98" t="s">
        <v>2916</v>
      </c>
      <c r="B633" s="99">
        <v>2022</v>
      </c>
      <c r="D633" s="99" t="s">
        <v>2917</v>
      </c>
      <c r="E633" s="99" t="s">
        <v>742</v>
      </c>
    </row>
    <row r="634" spans="1:5" s="101" customFormat="1">
      <c r="A634" s="100" t="s">
        <v>2916</v>
      </c>
      <c r="B634" s="101">
        <v>2022</v>
      </c>
      <c r="D634" s="101" t="s">
        <v>2935</v>
      </c>
      <c r="E634" s="101" t="s">
        <v>2934</v>
      </c>
    </row>
    <row r="635" spans="1:5">
      <c r="A635" s="72" t="s">
        <v>2916</v>
      </c>
      <c r="B635">
        <v>2020</v>
      </c>
      <c r="D635" t="s">
        <v>2937</v>
      </c>
      <c r="E635" t="s">
        <v>2936</v>
      </c>
    </row>
    <row r="636" spans="1:5">
      <c r="A636" s="72" t="s">
        <v>2916</v>
      </c>
      <c r="B636">
        <v>2020</v>
      </c>
      <c r="D636" t="s">
        <v>2939</v>
      </c>
      <c r="E636" t="s">
        <v>2938</v>
      </c>
    </row>
    <row r="637" spans="1:5" s="99" customFormat="1">
      <c r="A637" s="98" t="s">
        <v>2916</v>
      </c>
      <c r="B637" s="99">
        <v>2020</v>
      </c>
      <c r="D637" s="99" t="s">
        <v>2940</v>
      </c>
      <c r="E637" s="99" t="s">
        <v>631</v>
      </c>
    </row>
    <row r="638" spans="1:5">
      <c r="A638" s="72" t="s">
        <v>2916</v>
      </c>
      <c r="B638">
        <v>2021</v>
      </c>
      <c r="D638" t="s">
        <v>2942</v>
      </c>
      <c r="E638" t="s">
        <v>2941</v>
      </c>
    </row>
    <row r="639" spans="1:5">
      <c r="A639" s="72" t="s">
        <v>2916</v>
      </c>
      <c r="B639">
        <v>2022</v>
      </c>
      <c r="D639" t="s">
        <v>2944</v>
      </c>
      <c r="E639" t="s">
        <v>2943</v>
      </c>
    </row>
    <row r="640" spans="1:5">
      <c r="A640" s="72" t="s">
        <v>2916</v>
      </c>
      <c r="B640">
        <v>2020</v>
      </c>
      <c r="D640" t="s">
        <v>2946</v>
      </c>
      <c r="E640" t="s">
        <v>2945</v>
      </c>
    </row>
    <row r="641" spans="1:5" s="101" customFormat="1">
      <c r="A641" s="100" t="s">
        <v>2916</v>
      </c>
      <c r="B641" s="101">
        <v>2021</v>
      </c>
      <c r="D641" s="101" t="s">
        <v>2948</v>
      </c>
      <c r="E641" s="101" t="s">
        <v>2947</v>
      </c>
    </row>
    <row r="642" spans="1:5">
      <c r="A642" s="72" t="s">
        <v>2916</v>
      </c>
      <c r="B642">
        <v>2020</v>
      </c>
      <c r="D642" t="s">
        <v>2950</v>
      </c>
      <c r="E642" t="s">
        <v>2949</v>
      </c>
    </row>
    <row r="643" spans="1:5">
      <c r="A643" s="72" t="s">
        <v>2916</v>
      </c>
      <c r="B643">
        <v>2019</v>
      </c>
      <c r="D643" t="s">
        <v>2952</v>
      </c>
      <c r="E643" t="s">
        <v>2951</v>
      </c>
    </row>
    <row r="644" spans="1:5">
      <c r="A644" s="72" t="s">
        <v>2953</v>
      </c>
      <c r="B644">
        <v>2020</v>
      </c>
      <c r="D644" t="s">
        <v>2955</v>
      </c>
      <c r="E644" t="s">
        <v>2954</v>
      </c>
    </row>
    <row r="645" spans="1:5">
      <c r="A645" s="72" t="s">
        <v>2953</v>
      </c>
      <c r="B645">
        <v>2020</v>
      </c>
      <c r="D645" t="s">
        <v>2957</v>
      </c>
      <c r="E645" t="s">
        <v>2956</v>
      </c>
    </row>
    <row r="646" spans="1:5">
      <c r="A646" s="72" t="s">
        <v>2953</v>
      </c>
      <c r="B646">
        <v>2022</v>
      </c>
      <c r="D646" t="s">
        <v>2959</v>
      </c>
      <c r="E646" t="s">
        <v>2958</v>
      </c>
    </row>
    <row r="647" spans="1:5">
      <c r="A647" s="72" t="s">
        <v>2953</v>
      </c>
      <c r="B647">
        <v>2019</v>
      </c>
      <c r="D647" t="s">
        <v>2961</v>
      </c>
      <c r="E647" t="s">
        <v>2960</v>
      </c>
    </row>
    <row r="648" spans="1:5">
      <c r="A648" s="72" t="s">
        <v>2953</v>
      </c>
      <c r="B648">
        <v>2021</v>
      </c>
      <c r="D648" t="s">
        <v>2963</v>
      </c>
      <c r="E648" t="s">
        <v>2962</v>
      </c>
    </row>
    <row r="649" spans="1:5">
      <c r="A649" s="72" t="s">
        <v>2953</v>
      </c>
      <c r="B649">
        <v>2019</v>
      </c>
      <c r="D649" t="s">
        <v>2965</v>
      </c>
      <c r="E649" t="s">
        <v>2964</v>
      </c>
    </row>
    <row r="650" spans="1:5">
      <c r="A650" s="72" t="s">
        <v>2953</v>
      </c>
      <c r="B650">
        <v>2019</v>
      </c>
      <c r="D650" t="s">
        <v>2967</v>
      </c>
      <c r="E650" t="s">
        <v>2966</v>
      </c>
    </row>
    <row r="651" spans="1:5">
      <c r="A651" s="72" t="s">
        <v>2953</v>
      </c>
      <c r="B651">
        <v>2019</v>
      </c>
      <c r="D651" t="s">
        <v>2969</v>
      </c>
      <c r="E651" t="s">
        <v>2968</v>
      </c>
    </row>
    <row r="652" spans="1:5">
      <c r="A652" s="72" t="s">
        <v>2953</v>
      </c>
      <c r="B652">
        <v>2020</v>
      </c>
      <c r="D652" t="s">
        <v>2971</v>
      </c>
      <c r="E652" t="s">
        <v>2970</v>
      </c>
    </row>
    <row r="653" spans="1:5">
      <c r="A653" s="72" t="s">
        <v>2953</v>
      </c>
      <c r="B653">
        <v>2022</v>
      </c>
      <c r="D653" t="s">
        <v>2973</v>
      </c>
      <c r="E653" t="s">
        <v>2972</v>
      </c>
    </row>
    <row r="654" spans="1:5">
      <c r="A654" s="72" t="s">
        <v>2953</v>
      </c>
      <c r="B654">
        <v>2022</v>
      </c>
      <c r="D654" t="s">
        <v>2975</v>
      </c>
      <c r="E654" t="s">
        <v>2974</v>
      </c>
    </row>
    <row r="655" spans="1:5">
      <c r="A655" s="72" t="s">
        <v>2953</v>
      </c>
      <c r="B655">
        <v>2019</v>
      </c>
      <c r="D655" t="s">
        <v>2977</v>
      </c>
      <c r="E655" t="s">
        <v>2976</v>
      </c>
    </row>
    <row r="656" spans="1:5">
      <c r="A656" s="72" t="s">
        <v>2953</v>
      </c>
      <c r="B656">
        <v>2020</v>
      </c>
      <c r="D656" t="s">
        <v>2979</v>
      </c>
      <c r="E656" t="s">
        <v>2978</v>
      </c>
    </row>
    <row r="657" spans="1:5">
      <c r="A657" s="72" t="s">
        <v>2953</v>
      </c>
      <c r="B657">
        <v>2021</v>
      </c>
      <c r="D657" t="s">
        <v>2981</v>
      </c>
      <c r="E657" t="s">
        <v>2980</v>
      </c>
    </row>
    <row r="658" spans="1:5">
      <c r="A658" s="72" t="s">
        <v>2953</v>
      </c>
      <c r="B658">
        <v>2019</v>
      </c>
      <c r="D658" t="s">
        <v>2983</v>
      </c>
      <c r="E658" t="s">
        <v>2982</v>
      </c>
    </row>
    <row r="659" spans="1:5">
      <c r="A659" s="72" t="s">
        <v>2953</v>
      </c>
      <c r="B659">
        <v>2021</v>
      </c>
      <c r="D659" t="s">
        <v>2985</v>
      </c>
      <c r="E659" t="s">
        <v>2984</v>
      </c>
    </row>
    <row r="660" spans="1:5">
      <c r="A660" s="72" t="s">
        <v>2953</v>
      </c>
      <c r="B660">
        <v>2022</v>
      </c>
      <c r="D660" t="s">
        <v>2987</v>
      </c>
      <c r="E660" t="s">
        <v>2986</v>
      </c>
    </row>
    <row r="661" spans="1:5">
      <c r="A661" s="72" t="s">
        <v>2953</v>
      </c>
      <c r="B661">
        <v>2021</v>
      </c>
      <c r="D661" t="s">
        <v>2989</v>
      </c>
      <c r="E661" t="s">
        <v>2988</v>
      </c>
    </row>
    <row r="662" spans="1:5">
      <c r="A662" s="72" t="s">
        <v>2953</v>
      </c>
      <c r="B662">
        <v>2021</v>
      </c>
      <c r="D662" t="s">
        <v>2991</v>
      </c>
      <c r="E662" t="s">
        <v>2990</v>
      </c>
    </row>
    <row r="663" spans="1:5">
      <c r="A663" s="72" t="s">
        <v>2953</v>
      </c>
      <c r="B663">
        <v>2022</v>
      </c>
      <c r="D663" t="s">
        <v>2993</v>
      </c>
      <c r="E663" t="s">
        <v>2992</v>
      </c>
    </row>
    <row r="664" spans="1:5">
      <c r="A664" s="72" t="s">
        <v>2953</v>
      </c>
      <c r="B664">
        <v>2019</v>
      </c>
      <c r="D664" t="s">
        <v>2995</v>
      </c>
      <c r="E664" t="s">
        <v>2994</v>
      </c>
    </row>
    <row r="665" spans="1:5">
      <c r="A665" s="72" t="s">
        <v>2953</v>
      </c>
      <c r="B665">
        <v>2021</v>
      </c>
      <c r="D665" t="s">
        <v>2997</v>
      </c>
      <c r="E665" t="s">
        <v>2996</v>
      </c>
    </row>
    <row r="666" spans="1:5">
      <c r="A666" s="72" t="s">
        <v>2953</v>
      </c>
      <c r="B666">
        <v>2019</v>
      </c>
      <c r="D666" t="s">
        <v>2999</v>
      </c>
      <c r="E666" t="s">
        <v>2998</v>
      </c>
    </row>
    <row r="667" spans="1:5">
      <c r="A667" s="72" t="s">
        <v>2953</v>
      </c>
      <c r="B667">
        <v>2022</v>
      </c>
      <c r="D667" t="s">
        <v>3001</v>
      </c>
      <c r="E667" t="s">
        <v>3000</v>
      </c>
    </row>
    <row r="668" spans="1:5">
      <c r="A668" s="72" t="s">
        <v>3002</v>
      </c>
      <c r="B668">
        <v>2020</v>
      </c>
      <c r="D668" t="s">
        <v>3004</v>
      </c>
      <c r="E668" t="s">
        <v>3003</v>
      </c>
    </row>
    <row r="669" spans="1:5">
      <c r="A669" s="72" t="s">
        <v>3002</v>
      </c>
      <c r="B669">
        <v>2019</v>
      </c>
      <c r="D669" t="s">
        <v>3006</v>
      </c>
      <c r="E669" t="s">
        <v>3005</v>
      </c>
    </row>
    <row r="670" spans="1:5">
      <c r="A670" s="72" t="s">
        <v>3002</v>
      </c>
      <c r="B670">
        <v>2021</v>
      </c>
      <c r="D670" t="s">
        <v>3008</v>
      </c>
      <c r="E670" t="s">
        <v>3007</v>
      </c>
    </row>
    <row r="671" spans="1:5">
      <c r="A671" s="72" t="s">
        <v>3002</v>
      </c>
      <c r="B671">
        <v>2020</v>
      </c>
      <c r="D671" t="s">
        <v>3010</v>
      </c>
      <c r="E671" t="s">
        <v>3009</v>
      </c>
    </row>
    <row r="672" spans="1:5">
      <c r="A672" s="72" t="s">
        <v>3002</v>
      </c>
      <c r="B672">
        <v>2022</v>
      </c>
      <c r="D672" t="s">
        <v>3012</v>
      </c>
      <c r="E672" t="s">
        <v>3011</v>
      </c>
    </row>
    <row r="673" spans="1:25">
      <c r="A673" s="72" t="s">
        <v>3002</v>
      </c>
      <c r="B673">
        <v>2022</v>
      </c>
      <c r="D673" t="s">
        <v>3014</v>
      </c>
      <c r="E673" t="s">
        <v>3013</v>
      </c>
    </row>
    <row r="674" spans="1:25">
      <c r="A674" s="72" t="s">
        <v>3002</v>
      </c>
      <c r="B674">
        <v>2019</v>
      </c>
      <c r="D674" t="s">
        <v>3016</v>
      </c>
      <c r="E674" t="s">
        <v>3015</v>
      </c>
    </row>
    <row r="675" spans="1:25">
      <c r="A675" s="72" t="s">
        <v>3002</v>
      </c>
      <c r="B675">
        <v>2021</v>
      </c>
      <c r="D675" t="s">
        <v>3018</v>
      </c>
      <c r="E675" t="s">
        <v>3017</v>
      </c>
    </row>
    <row r="676" spans="1:25">
      <c r="A676" s="72" t="s">
        <v>3002</v>
      </c>
      <c r="B676">
        <v>2019</v>
      </c>
      <c r="D676" t="s">
        <v>3020</v>
      </c>
      <c r="E676" t="s">
        <v>3019</v>
      </c>
    </row>
    <row r="677" spans="1:25">
      <c r="A677" s="72" t="s">
        <v>3002</v>
      </c>
      <c r="B677">
        <v>2022</v>
      </c>
      <c r="D677" t="s">
        <v>3022</v>
      </c>
      <c r="E677" t="s">
        <v>3021</v>
      </c>
    </row>
    <row r="678" spans="1:25">
      <c r="A678" s="72" t="s">
        <v>3002</v>
      </c>
      <c r="B678">
        <v>2022</v>
      </c>
      <c r="D678" t="s">
        <v>3024</v>
      </c>
      <c r="E678" t="s">
        <v>3023</v>
      </c>
    </row>
    <row r="679" spans="1:25">
      <c r="A679" s="72" t="s">
        <v>3002</v>
      </c>
      <c r="B679">
        <v>2021</v>
      </c>
      <c r="D679" t="s">
        <v>3026</v>
      </c>
      <c r="E679" t="s">
        <v>3025</v>
      </c>
    </row>
    <row r="680" spans="1:25">
      <c r="A680" s="72" t="s">
        <v>3002</v>
      </c>
      <c r="B680">
        <v>2020</v>
      </c>
      <c r="D680" t="s">
        <v>3028</v>
      </c>
      <c r="E680" t="s">
        <v>3027</v>
      </c>
    </row>
    <row r="681" spans="1:25">
      <c r="A681" s="72" t="s">
        <v>3002</v>
      </c>
      <c r="B681">
        <v>2020</v>
      </c>
      <c r="D681" t="s">
        <v>3030</v>
      </c>
      <c r="E681" t="s">
        <v>3029</v>
      </c>
    </row>
    <row r="682" spans="1:25">
      <c r="A682" s="72" t="s">
        <v>3002</v>
      </c>
      <c r="B682">
        <v>2021</v>
      </c>
      <c r="D682" t="s">
        <v>3032</v>
      </c>
      <c r="E682" t="s">
        <v>3031</v>
      </c>
    </row>
    <row r="683" spans="1:25">
      <c r="C683"/>
    </row>
    <row r="684" spans="1:25">
      <c r="A684" s="72" t="s">
        <v>3033</v>
      </c>
      <c r="C684"/>
    </row>
    <row r="685" spans="1:25">
      <c r="A685" s="102" t="s">
        <v>2036</v>
      </c>
      <c r="B685" s="94">
        <v>2019</v>
      </c>
      <c r="C685" s="94">
        <v>599</v>
      </c>
      <c r="D685" s="94" t="s">
        <v>2037</v>
      </c>
      <c r="E685" s="94" t="s">
        <v>2038</v>
      </c>
      <c r="I685" s="94" t="s">
        <v>3034</v>
      </c>
      <c r="J685" s="103" t="s">
        <v>3035</v>
      </c>
      <c r="K685" s="94" t="s">
        <v>94</v>
      </c>
      <c r="L685" s="94">
        <v>1.5</v>
      </c>
      <c r="M685" s="94">
        <v>1.5</v>
      </c>
      <c r="N685" s="104" t="s">
        <v>3036</v>
      </c>
      <c r="O685" s="94" t="s">
        <v>3037</v>
      </c>
      <c r="P685" s="82" t="s">
        <v>90</v>
      </c>
      <c r="Q685" s="82" t="s">
        <v>90</v>
      </c>
      <c r="R685" s="94" t="s">
        <v>90</v>
      </c>
      <c r="S685" s="94" t="s">
        <v>97</v>
      </c>
      <c r="T685" s="94" t="s">
        <v>137</v>
      </c>
      <c r="U685" s="94" t="s">
        <v>3038</v>
      </c>
      <c r="V685" s="105" t="b">
        <v>1</v>
      </c>
      <c r="W685" s="94" t="s">
        <v>3039</v>
      </c>
      <c r="X685" s="94" t="s">
        <v>90</v>
      </c>
      <c r="Y685" s="94" t="s">
        <v>90</v>
      </c>
    </row>
    <row r="686" spans="1:25">
      <c r="A686" s="102" t="s">
        <v>2039</v>
      </c>
      <c r="B686" s="94">
        <v>2019</v>
      </c>
      <c r="C686" s="94">
        <v>686</v>
      </c>
      <c r="D686" s="82" t="s">
        <v>2040</v>
      </c>
      <c r="E686" s="82" t="s">
        <v>2041</v>
      </c>
      <c r="I686" s="94" t="s">
        <v>3034</v>
      </c>
      <c r="J686" s="103" t="s">
        <v>3040</v>
      </c>
      <c r="K686" s="94" t="s">
        <v>94</v>
      </c>
      <c r="L686" s="94">
        <v>1.5</v>
      </c>
      <c r="M686" s="94">
        <v>1.5</v>
      </c>
      <c r="N686" s="104" t="s">
        <v>3041</v>
      </c>
      <c r="O686" s="94"/>
      <c r="P686" s="82" t="s">
        <v>90</v>
      </c>
      <c r="Q686" s="82" t="s">
        <v>90</v>
      </c>
      <c r="R686" s="82" t="s">
        <v>90</v>
      </c>
      <c r="S686" s="94" t="s">
        <v>97</v>
      </c>
      <c r="T686" s="94" t="s">
        <v>97</v>
      </c>
      <c r="U686" s="94" t="s">
        <v>95</v>
      </c>
      <c r="V686" s="105" t="b">
        <v>1</v>
      </c>
      <c r="W686" s="106" t="s">
        <v>3042</v>
      </c>
      <c r="X686" s="94" t="s">
        <v>90</v>
      </c>
      <c r="Y686" s="94" t="s">
        <v>90</v>
      </c>
    </row>
    <row r="687" spans="1:25">
      <c r="A687" s="102" t="s">
        <v>2013</v>
      </c>
      <c r="B687" s="94">
        <v>2019</v>
      </c>
      <c r="C687" s="94">
        <v>1011</v>
      </c>
      <c r="D687" s="82" t="s">
        <v>2014</v>
      </c>
      <c r="E687" s="82" t="s">
        <v>2015</v>
      </c>
      <c r="I687" s="94" t="s">
        <v>3034</v>
      </c>
      <c r="J687" s="103" t="s">
        <v>3043</v>
      </c>
      <c r="K687" s="94" t="s">
        <v>94</v>
      </c>
      <c r="L687" s="94">
        <v>1</v>
      </c>
      <c r="M687" s="94">
        <v>1</v>
      </c>
      <c r="N687" s="94" t="s">
        <v>3044</v>
      </c>
      <c r="O687" s="94" t="s">
        <v>3045</v>
      </c>
      <c r="P687" s="82" t="s">
        <v>90</v>
      </c>
      <c r="Q687" s="82" t="s">
        <v>90</v>
      </c>
      <c r="R687" s="82" t="s">
        <v>90</v>
      </c>
      <c r="S687" s="94" t="s">
        <v>97</v>
      </c>
      <c r="T687" s="94" t="s">
        <v>97</v>
      </c>
      <c r="U687" s="94" t="s">
        <v>95</v>
      </c>
      <c r="V687" s="105" t="b">
        <v>1</v>
      </c>
      <c r="W687" s="94" t="s">
        <v>3046</v>
      </c>
      <c r="X687" s="94" t="s">
        <v>97</v>
      </c>
      <c r="Y687" s="94" t="s">
        <v>97</v>
      </c>
    </row>
    <row r="688" spans="1:25">
      <c r="A688" s="102" t="s">
        <v>2016</v>
      </c>
      <c r="B688" s="94">
        <v>2019</v>
      </c>
      <c r="C688" s="94">
        <v>1123</v>
      </c>
      <c r="D688" s="82" t="s">
        <v>2017</v>
      </c>
      <c r="E688" s="82" t="s">
        <v>2018</v>
      </c>
      <c r="I688" s="94" t="s">
        <v>3034</v>
      </c>
      <c r="J688" s="103">
        <v>44283</v>
      </c>
      <c r="K688" s="94" t="s">
        <v>114</v>
      </c>
      <c r="L688" s="94">
        <v>2</v>
      </c>
      <c r="M688" s="94">
        <v>2</v>
      </c>
      <c r="N688" s="94"/>
      <c r="O688" s="106" t="s">
        <v>3047</v>
      </c>
      <c r="P688" s="82" t="s">
        <v>90</v>
      </c>
      <c r="Q688" s="82" t="s">
        <v>90</v>
      </c>
      <c r="R688" s="82" t="s">
        <v>90</v>
      </c>
      <c r="S688" s="94" t="s">
        <v>97</v>
      </c>
      <c r="T688" s="94" t="s">
        <v>137</v>
      </c>
      <c r="U688" s="94" t="s">
        <v>3048</v>
      </c>
      <c r="V688" s="105" t="b">
        <v>1</v>
      </c>
      <c r="W688" s="94" t="s">
        <v>3049</v>
      </c>
      <c r="X688" s="94" t="s">
        <v>90</v>
      </c>
      <c r="Y688" s="94" t="s">
        <v>97</v>
      </c>
    </row>
    <row r="689" spans="1:25">
      <c r="A689" s="102" t="s">
        <v>2019</v>
      </c>
      <c r="B689" s="94">
        <v>2019</v>
      </c>
      <c r="C689" s="94">
        <v>1414</v>
      </c>
      <c r="D689" s="82" t="s">
        <v>2020</v>
      </c>
      <c r="E689" s="82" t="s">
        <v>2021</v>
      </c>
      <c r="I689" s="94" t="s">
        <v>3034</v>
      </c>
      <c r="J689" s="103" t="s">
        <v>3050</v>
      </c>
      <c r="K689" s="94" t="s">
        <v>94</v>
      </c>
      <c r="L689" s="94">
        <v>1</v>
      </c>
      <c r="M689" s="94">
        <v>1.5</v>
      </c>
      <c r="N689" s="104" t="s">
        <v>3051</v>
      </c>
      <c r="O689" s="106" t="s">
        <v>3052</v>
      </c>
      <c r="P689" s="106" t="s">
        <v>90</v>
      </c>
      <c r="Q689" s="106" t="s">
        <v>90</v>
      </c>
      <c r="R689" s="106" t="s">
        <v>90</v>
      </c>
      <c r="S689" s="106" t="s">
        <v>97</v>
      </c>
      <c r="T689" s="106" t="s">
        <v>137</v>
      </c>
      <c r="U689" s="106" t="s">
        <v>3038</v>
      </c>
      <c r="V689" s="105" t="b">
        <v>1</v>
      </c>
      <c r="W689" s="106" t="s">
        <v>3053</v>
      </c>
      <c r="X689" s="106" t="s">
        <v>97</v>
      </c>
      <c r="Y689" s="106" t="s">
        <v>97</v>
      </c>
    </row>
    <row r="690" spans="1:25">
      <c r="A690" s="107" t="s">
        <v>2022</v>
      </c>
      <c r="B690" s="94">
        <v>2019</v>
      </c>
      <c r="C690" s="94">
        <v>1597</v>
      </c>
      <c r="D690" s="82" t="s">
        <v>2023</v>
      </c>
      <c r="E690" s="82" t="s">
        <v>2024</v>
      </c>
      <c r="I690" s="94" t="s">
        <v>3034</v>
      </c>
      <c r="J690" s="103">
        <v>44224</v>
      </c>
      <c r="K690" s="94" t="s">
        <v>114</v>
      </c>
      <c r="L690" s="94">
        <v>1</v>
      </c>
      <c r="M690" s="94">
        <v>1</v>
      </c>
      <c r="N690" s="94" t="s">
        <v>3054</v>
      </c>
      <c r="O690" s="94" t="s">
        <v>3055</v>
      </c>
      <c r="P690" s="82" t="s">
        <v>90</v>
      </c>
      <c r="Q690" s="82" t="s">
        <v>90</v>
      </c>
      <c r="R690" s="82" t="s">
        <v>90</v>
      </c>
      <c r="S690" s="94" t="s">
        <v>97</v>
      </c>
      <c r="T690" s="94" t="s">
        <v>97</v>
      </c>
      <c r="U690" s="94" t="s">
        <v>95</v>
      </c>
      <c r="V690" s="105" t="b">
        <v>1</v>
      </c>
      <c r="W690" s="94" t="s">
        <v>3056</v>
      </c>
      <c r="X690" s="94" t="s">
        <v>97</v>
      </c>
      <c r="Y690" s="94" t="s">
        <v>97</v>
      </c>
    </row>
    <row r="691" spans="1:25">
      <c r="A691" s="109" t="s">
        <v>2025</v>
      </c>
      <c r="B691" s="108">
        <v>2019</v>
      </c>
      <c r="C691" s="108">
        <v>1800</v>
      </c>
      <c r="D691" s="108" t="s">
        <v>2026</v>
      </c>
      <c r="E691" s="108" t="s">
        <v>640</v>
      </c>
      <c r="I691" s="108" t="s">
        <v>3034</v>
      </c>
      <c r="J691" s="110">
        <v>44226</v>
      </c>
      <c r="K691" s="108" t="s">
        <v>114</v>
      </c>
      <c r="L691" s="108">
        <v>1</v>
      </c>
      <c r="M691" s="108">
        <v>1</v>
      </c>
      <c r="N691" s="108" t="s">
        <v>3054</v>
      </c>
      <c r="O691" s="108" t="s">
        <v>3057</v>
      </c>
      <c r="P691" s="109" t="s">
        <v>90</v>
      </c>
      <c r="Q691" s="109" t="s">
        <v>90</v>
      </c>
      <c r="R691" s="109" t="s">
        <v>90</v>
      </c>
      <c r="S691" s="108" t="s">
        <v>98</v>
      </c>
      <c r="T691" s="108" t="s">
        <v>97</v>
      </c>
      <c r="U691" s="108" t="s">
        <v>95</v>
      </c>
      <c r="V691" s="109" t="b">
        <v>1</v>
      </c>
      <c r="W691" s="108" t="s">
        <v>643</v>
      </c>
      <c r="X691" s="108" t="s">
        <v>97</v>
      </c>
      <c r="Y691" s="108" t="s">
        <v>97</v>
      </c>
    </row>
    <row r="692" spans="1:25">
      <c r="A692" s="111" t="s">
        <v>2027</v>
      </c>
      <c r="B692" s="94">
        <v>2019</v>
      </c>
      <c r="C692" s="94">
        <v>1942</v>
      </c>
      <c r="D692" s="82" t="s">
        <v>2028</v>
      </c>
      <c r="E692" s="82" t="s">
        <v>2029</v>
      </c>
      <c r="I692" s="94" t="s">
        <v>3034</v>
      </c>
      <c r="J692" s="103" t="s">
        <v>3058</v>
      </c>
      <c r="K692" s="94" t="s">
        <v>94</v>
      </c>
      <c r="L692" s="94">
        <v>2</v>
      </c>
      <c r="M692" s="94">
        <v>2</v>
      </c>
      <c r="N692" s="106" t="s">
        <v>3059</v>
      </c>
      <c r="O692" s="112" t="s">
        <v>3060</v>
      </c>
      <c r="P692" s="82" t="s">
        <v>90</v>
      </c>
      <c r="Q692" s="82" t="s">
        <v>90</v>
      </c>
      <c r="R692" s="82" t="s">
        <v>90</v>
      </c>
      <c r="S692" s="94" t="s">
        <v>97</v>
      </c>
      <c r="T692" s="94" t="s">
        <v>137</v>
      </c>
      <c r="U692" s="94" t="s">
        <v>3048</v>
      </c>
      <c r="V692" s="105" t="b">
        <v>1</v>
      </c>
      <c r="W692" s="94" t="s">
        <v>3061</v>
      </c>
      <c r="X692" s="94" t="s">
        <v>97</v>
      </c>
      <c r="Y692" s="94" t="s">
        <v>97</v>
      </c>
    </row>
    <row r="693" spans="1:25">
      <c r="A693" s="111" t="s">
        <v>2030</v>
      </c>
      <c r="B693" s="94">
        <v>2019</v>
      </c>
      <c r="C693" s="94">
        <v>1963</v>
      </c>
      <c r="D693" s="82" t="s">
        <v>2031</v>
      </c>
      <c r="E693" s="82" t="s">
        <v>2032</v>
      </c>
      <c r="I693" s="94" t="s">
        <v>3034</v>
      </c>
      <c r="J693" s="103">
        <v>44348</v>
      </c>
      <c r="K693" s="94" t="s">
        <v>114</v>
      </c>
      <c r="L693" s="94">
        <v>1</v>
      </c>
      <c r="M693" s="94">
        <v>1</v>
      </c>
      <c r="N693" s="94" t="s">
        <v>3062</v>
      </c>
      <c r="O693" s="94" t="s">
        <v>3063</v>
      </c>
      <c r="P693" s="82" t="s">
        <v>90</v>
      </c>
      <c r="Q693" s="82" t="s">
        <v>90</v>
      </c>
      <c r="R693" s="94" t="s">
        <v>90</v>
      </c>
      <c r="S693" s="94" t="s">
        <v>97</v>
      </c>
      <c r="T693" s="94" t="s">
        <v>97</v>
      </c>
      <c r="U693" s="94" t="s">
        <v>95</v>
      </c>
      <c r="V693" s="105" t="b">
        <v>1</v>
      </c>
      <c r="W693" s="94" t="s">
        <v>3064</v>
      </c>
      <c r="X693" s="94" t="s">
        <v>97</v>
      </c>
      <c r="Y693" s="94" t="s">
        <v>97</v>
      </c>
    </row>
    <row r="694" spans="1:25">
      <c r="A694" s="111" t="s">
        <v>2033</v>
      </c>
      <c r="B694" s="94">
        <v>2019</v>
      </c>
      <c r="C694" s="94">
        <v>2042</v>
      </c>
      <c r="D694" s="82" t="s">
        <v>2034</v>
      </c>
      <c r="E694" s="82" t="s">
        <v>2035</v>
      </c>
      <c r="I694" s="94" t="s">
        <v>3034</v>
      </c>
      <c r="J694" s="103">
        <v>44348</v>
      </c>
      <c r="K694" s="94" t="s">
        <v>114</v>
      </c>
      <c r="L694" s="94">
        <v>1</v>
      </c>
      <c r="M694" s="94">
        <v>1</v>
      </c>
      <c r="N694" s="94" t="s">
        <v>3062</v>
      </c>
      <c r="O694" s="94" t="s">
        <v>3065</v>
      </c>
      <c r="P694" s="82" t="s">
        <v>90</v>
      </c>
      <c r="Q694" s="82" t="s">
        <v>90</v>
      </c>
      <c r="R694" s="82" t="s">
        <v>90</v>
      </c>
      <c r="S694" s="94" t="s">
        <v>97</v>
      </c>
      <c r="T694" s="94" t="s">
        <v>97</v>
      </c>
      <c r="U694" s="94" t="s">
        <v>95</v>
      </c>
      <c r="V694" s="105" t="b">
        <v>1</v>
      </c>
      <c r="W694" s="94" t="s">
        <v>3066</v>
      </c>
      <c r="X694" s="94" t="s">
        <v>97</v>
      </c>
      <c r="Y694" s="94" t="s">
        <v>97</v>
      </c>
    </row>
    <row r="695" spans="1:25">
      <c r="A695" s="102" t="s">
        <v>2042</v>
      </c>
      <c r="B695" s="94">
        <v>2019</v>
      </c>
      <c r="C695" s="94">
        <v>833</v>
      </c>
      <c r="D695" s="82" t="s">
        <v>2043</v>
      </c>
      <c r="E695" s="82" t="s">
        <v>2044</v>
      </c>
      <c r="I695" s="94" t="s">
        <v>3034</v>
      </c>
      <c r="J695" s="103">
        <v>43856</v>
      </c>
      <c r="K695" s="94" t="s">
        <v>114</v>
      </c>
      <c r="L695" s="94">
        <v>1.5</v>
      </c>
      <c r="M695" s="94">
        <v>1.5</v>
      </c>
      <c r="N695" s="94" t="s">
        <v>3054</v>
      </c>
      <c r="O695" s="94" t="s">
        <v>3067</v>
      </c>
      <c r="P695" s="82" t="s">
        <v>90</v>
      </c>
      <c r="Q695" s="82" t="s">
        <v>90</v>
      </c>
      <c r="R695" s="82" t="s">
        <v>90</v>
      </c>
      <c r="S695" s="94" t="s">
        <v>97</v>
      </c>
      <c r="T695" s="94" t="s">
        <v>97</v>
      </c>
      <c r="U695" s="94" t="s">
        <v>3038</v>
      </c>
      <c r="V695" s="105" t="b">
        <v>1</v>
      </c>
      <c r="W695" s="94" t="s">
        <v>3068</v>
      </c>
      <c r="X695" s="94" t="s">
        <v>97</v>
      </c>
      <c r="Y695" s="94" t="s">
        <v>97</v>
      </c>
    </row>
    <row r="696" spans="1:25">
      <c r="A696" s="107" t="s">
        <v>2045</v>
      </c>
      <c r="B696" s="94">
        <v>2020</v>
      </c>
      <c r="C696" s="94">
        <v>1807</v>
      </c>
      <c r="D696" s="94" t="s">
        <v>2046</v>
      </c>
      <c r="E696" s="94" t="s">
        <v>2024</v>
      </c>
      <c r="I696" s="94" t="s">
        <v>3034</v>
      </c>
      <c r="J696" s="103" t="s">
        <v>3069</v>
      </c>
      <c r="K696" s="94" t="s">
        <v>94</v>
      </c>
      <c r="L696" s="94">
        <v>1</v>
      </c>
      <c r="M696" s="94">
        <v>1</v>
      </c>
      <c r="N696" s="104" t="s">
        <v>3070</v>
      </c>
      <c r="O696" s="94" t="s">
        <v>3071</v>
      </c>
      <c r="P696" s="82" t="s">
        <v>90</v>
      </c>
      <c r="Q696" s="82" t="s">
        <v>90</v>
      </c>
      <c r="R696" s="82" t="s">
        <v>90</v>
      </c>
      <c r="S696" s="94" t="s">
        <v>97</v>
      </c>
      <c r="T696" s="94" t="s">
        <v>97</v>
      </c>
      <c r="U696" s="94" t="s">
        <v>3038</v>
      </c>
      <c r="V696" s="105" t="b">
        <v>1</v>
      </c>
      <c r="W696" s="94" t="s">
        <v>3072</v>
      </c>
      <c r="X696" s="94" t="s">
        <v>97</v>
      </c>
      <c r="Y696" s="94" t="s">
        <v>97</v>
      </c>
    </row>
    <row r="697" spans="1:25">
      <c r="A697" s="94" t="s">
        <v>2047</v>
      </c>
      <c r="B697" s="94">
        <v>2020</v>
      </c>
      <c r="C697" s="94">
        <v>260</v>
      </c>
      <c r="D697" s="94" t="s">
        <v>2048</v>
      </c>
      <c r="E697" s="82" t="s">
        <v>2049</v>
      </c>
      <c r="I697" s="94" t="s">
        <v>3034</v>
      </c>
      <c r="J697" s="103" t="s">
        <v>3073</v>
      </c>
      <c r="K697" s="94" t="s">
        <v>90</v>
      </c>
      <c r="L697" s="94">
        <v>1</v>
      </c>
      <c r="M697" s="94">
        <v>1</v>
      </c>
      <c r="N697" s="94" t="s">
        <v>3074</v>
      </c>
      <c r="O697" s="94" t="s">
        <v>3075</v>
      </c>
      <c r="P697" s="94" t="s">
        <v>90</v>
      </c>
      <c r="Q697" s="94" t="s">
        <v>90</v>
      </c>
      <c r="R697" s="94" t="s">
        <v>90</v>
      </c>
      <c r="S697" s="94" t="s">
        <v>97</v>
      </c>
      <c r="T697" s="94" t="s">
        <v>97</v>
      </c>
      <c r="U697" s="94" t="s">
        <v>95</v>
      </c>
      <c r="V697" s="105" t="b">
        <v>1</v>
      </c>
      <c r="W697" s="94" t="s">
        <v>3076</v>
      </c>
      <c r="X697" s="94" t="s">
        <v>97</v>
      </c>
      <c r="Y697" s="94" t="s">
        <v>97</v>
      </c>
    </row>
    <row r="698" spans="1:25">
      <c r="D698" s="120" t="s">
        <v>3336</v>
      </c>
      <c r="E698" s="120" t="s">
        <v>3331</v>
      </c>
    </row>
    <row r="699" spans="1:25">
      <c r="D699" s="120" t="s">
        <v>3337</v>
      </c>
      <c r="E699" s="120" t="s">
        <v>3332</v>
      </c>
    </row>
    <row r="700" spans="1:25">
      <c r="D700" s="120" t="s">
        <v>3338</v>
      </c>
      <c r="E700" s="120" t="s">
        <v>3234</v>
      </c>
    </row>
    <row r="701" spans="1:25">
      <c r="D701" s="120" t="s">
        <v>3339</v>
      </c>
      <c r="E701" s="120" t="s">
        <v>3253</v>
      </c>
    </row>
    <row r="702" spans="1:25">
      <c r="D702" s="120" t="s">
        <v>3340</v>
      </c>
      <c r="E702" s="120" t="s">
        <v>3327</v>
      </c>
    </row>
    <row r="703" spans="1:25">
      <c r="A703" t="s">
        <v>3263</v>
      </c>
      <c r="D703" s="120" t="s">
        <v>3279</v>
      </c>
      <c r="E703" s="120" t="s">
        <v>3264</v>
      </c>
    </row>
    <row r="704" spans="1:25">
      <c r="A704" t="s">
        <v>3275</v>
      </c>
      <c r="D704" s="120" t="s">
        <v>3341</v>
      </c>
      <c r="E704" s="120" t="s">
        <v>3264</v>
      </c>
    </row>
    <row r="705" spans="4:5">
      <c r="D705" s="120" t="s">
        <v>3342</v>
      </c>
      <c r="E705" s="120" t="s">
        <v>3333</v>
      </c>
    </row>
    <row r="706" spans="4:5">
      <c r="D706" s="120" t="s">
        <v>3343</v>
      </c>
      <c r="E706" s="120" t="s">
        <v>3284</v>
      </c>
    </row>
    <row r="707" spans="4:5">
      <c r="D707" s="120" t="s">
        <v>3344</v>
      </c>
      <c r="E707" s="120" t="s">
        <v>3334</v>
      </c>
    </row>
    <row r="708" spans="4:5">
      <c r="D708" s="120" t="s">
        <v>3345</v>
      </c>
      <c r="E708" s="120" t="s">
        <v>3306</v>
      </c>
    </row>
    <row r="709" spans="4:5">
      <c r="D709" s="120" t="s">
        <v>3346</v>
      </c>
      <c r="E709" s="120" t="s">
        <v>3320</v>
      </c>
    </row>
    <row r="710" spans="4:5">
      <c r="D710" s="120" t="s">
        <v>3347</v>
      </c>
      <c r="E710" s="120" t="s">
        <v>3335</v>
      </c>
    </row>
  </sheetData>
  <autoFilter ref="A1:F596" xr:uid="{1E813A2B-AE5F-4ABF-858B-9AAA1AC393D1}"/>
  <sortState xmlns:xlrd2="http://schemas.microsoft.com/office/spreadsheetml/2017/richdata2" ref="A452:C476">
    <sortCondition ref="A452:A476"/>
  </sortState>
  <phoneticPr fontId="3" type="noConversion"/>
  <dataValidations disablePrompts="1" count="1">
    <dataValidation type="whole" allowBlank="1" showInputMessage="1" showErrorMessage="1" sqref="B156:B168 D590:D594" xr:uid="{EEA0D82D-88C2-482C-99FB-A9BF63B06847}">
      <formula1>1990</formula1>
      <formula2>2019</formula2>
    </dataValidation>
  </dataValidation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13685-44D1-4D3D-AB84-F8C3E78301AB}">
  <dimension ref="A1:CE223"/>
  <sheetViews>
    <sheetView zoomScale="60" zoomScaleNormal="60" workbookViewId="0">
      <pane xSplit="1" ySplit="2" topLeftCell="BL164" activePane="bottomRight" state="frozen"/>
      <selection pane="topRight" activeCell="B1" sqref="B1"/>
      <selection pane="bottomLeft" activeCell="A3" sqref="A3"/>
      <selection pane="bottomRight" activeCell="BP172" sqref="BP172"/>
    </sheetView>
  </sheetViews>
  <sheetFormatPr defaultColWidth="9.1796875" defaultRowHeight="14.5"/>
  <cols>
    <col min="1" max="1" width="9.1796875" style="25"/>
    <col min="2" max="2" width="14" style="25" bestFit="1" customWidth="1"/>
    <col min="3" max="3" width="8.54296875" style="25" customWidth="1"/>
    <col min="4" max="4" width="19" style="26" customWidth="1"/>
    <col min="5" max="5" width="12" style="24" customWidth="1"/>
    <col min="6" max="7" width="11" style="24" customWidth="1"/>
    <col min="8" max="8" width="8.54296875" style="24" customWidth="1"/>
    <col min="9" max="9" width="37.54296875" style="24" customWidth="1"/>
    <col min="10" max="10" width="79.54296875" style="26" customWidth="1"/>
    <col min="11" max="11" width="13.1796875" style="26" bestFit="1" customWidth="1"/>
    <col min="12" max="12" width="14.81640625" style="26" bestFit="1" customWidth="1"/>
    <col min="13" max="13" width="10.1796875" style="26" customWidth="1"/>
    <col min="14" max="14" width="33.453125" style="26" customWidth="1"/>
    <col min="15" max="16" width="8.54296875" style="26" customWidth="1"/>
    <col min="17" max="17" width="63" style="26" customWidth="1"/>
    <col min="18" max="18" width="17.1796875" style="26" customWidth="1"/>
    <col min="19" max="19" width="9.54296875" style="26" customWidth="1"/>
    <col min="20" max="20" width="8.54296875" style="26" customWidth="1"/>
    <col min="21" max="21" width="17.81640625" style="26" customWidth="1"/>
    <col min="22" max="22" width="7.1796875" style="26" customWidth="1"/>
    <col min="23" max="26" width="17.81640625" style="26" customWidth="1"/>
    <col min="27" max="27" width="21.81640625" style="26" bestFit="1" customWidth="1"/>
    <col min="28" max="28" width="8.54296875" style="26" customWidth="1"/>
    <col min="29" max="29" width="16.453125" style="26" customWidth="1"/>
    <col min="30" max="30" width="17.54296875" style="26" customWidth="1"/>
    <col min="31" max="31" width="11.81640625" style="26" customWidth="1"/>
    <col min="32" max="32" width="10.1796875" style="26" customWidth="1"/>
    <col min="33" max="33" width="8.54296875" style="26" customWidth="1"/>
    <col min="34" max="34" width="14.54296875" style="26" customWidth="1"/>
    <col min="35" max="35" width="17.81640625" style="26" customWidth="1"/>
    <col min="36" max="37" width="11.453125" style="26" customWidth="1"/>
    <col min="38" max="38" width="12.453125" style="26" customWidth="1"/>
    <col min="39" max="39" width="13.1796875" style="26" customWidth="1"/>
    <col min="40" max="46" width="11.453125" style="26" customWidth="1"/>
    <col min="47" max="47" width="34.1796875" style="26" customWidth="1"/>
    <col min="48" max="52" width="18.453125" style="26" customWidth="1"/>
    <col min="53" max="53" width="30.54296875" style="26" customWidth="1"/>
    <col min="54" max="58" width="18.453125" style="26" customWidth="1"/>
    <col min="59" max="59" width="24.453125" style="26" customWidth="1"/>
    <col min="60" max="66" width="18.453125" style="26" customWidth="1"/>
    <col min="67" max="67" width="9.1796875" style="24"/>
    <col min="68" max="68" width="53" style="24" bestFit="1" customWidth="1"/>
    <col min="69" max="69" width="13.1796875" style="24" bestFit="1" customWidth="1"/>
    <col min="70" max="70" width="15.453125" style="24" bestFit="1" customWidth="1"/>
    <col min="71" max="71" width="9.1796875" style="24"/>
    <col min="72" max="72" width="15.453125" style="24" bestFit="1" customWidth="1"/>
    <col min="73" max="73" width="13.1796875" style="24" bestFit="1" customWidth="1"/>
    <col min="74" max="74" width="9.1796875" style="24"/>
    <col min="75" max="75" width="18.453125" style="24" bestFit="1" customWidth="1"/>
    <col min="76" max="76" width="9.54296875" style="24" bestFit="1" customWidth="1"/>
    <col min="77" max="77" width="18.1796875" style="24" bestFit="1" customWidth="1"/>
    <col min="78" max="78" width="15.81640625" style="24" bestFit="1" customWidth="1"/>
    <col min="79" max="79" width="8.453125" style="24" bestFit="1" customWidth="1"/>
    <col min="80" max="81" width="9.1796875" style="24"/>
    <col min="82" max="82" width="64" style="24" customWidth="1"/>
    <col min="83" max="16384" width="9.1796875" style="25"/>
  </cols>
  <sheetData>
    <row r="1" spans="1:83" ht="15" customHeight="1">
      <c r="B1" s="145" t="s">
        <v>0</v>
      </c>
      <c r="C1" s="145"/>
      <c r="D1" s="146"/>
      <c r="E1" s="144" t="s">
        <v>1</v>
      </c>
      <c r="F1" s="144"/>
      <c r="G1" s="144"/>
      <c r="H1" s="144"/>
      <c r="I1" s="144"/>
      <c r="J1" s="146" t="s">
        <v>2</v>
      </c>
      <c r="K1" s="146"/>
      <c r="L1" s="146"/>
      <c r="M1" s="146"/>
      <c r="N1" s="146"/>
      <c r="O1" s="146"/>
      <c r="P1" s="146"/>
      <c r="Q1" s="146"/>
      <c r="R1" s="146"/>
      <c r="S1" s="146"/>
      <c r="T1" s="146"/>
      <c r="U1" s="146"/>
      <c r="V1" s="146"/>
      <c r="W1" s="146"/>
      <c r="X1" s="146"/>
      <c r="Y1" s="146"/>
      <c r="Z1" s="146"/>
      <c r="AA1" s="146"/>
      <c r="AB1" s="146" t="s">
        <v>3</v>
      </c>
      <c r="AC1" s="146"/>
      <c r="AD1" s="146"/>
      <c r="AE1" s="146"/>
      <c r="AF1" s="146"/>
      <c r="AG1" s="146"/>
      <c r="AH1" s="146"/>
      <c r="AI1" s="146"/>
      <c r="AJ1" s="146"/>
      <c r="AK1" s="146"/>
      <c r="AL1" s="146"/>
      <c r="AM1" s="146"/>
      <c r="AN1" s="146"/>
      <c r="AO1" s="146"/>
      <c r="AP1" s="146"/>
      <c r="AQ1" s="146"/>
      <c r="AR1" s="146"/>
      <c r="AS1" s="146"/>
      <c r="AT1" s="146"/>
      <c r="AU1" s="146"/>
      <c r="AV1" s="146"/>
      <c r="AW1" s="146"/>
      <c r="AX1" s="146"/>
      <c r="AY1" s="146"/>
      <c r="AZ1" s="146"/>
      <c r="BA1" s="146"/>
      <c r="BB1" s="146"/>
      <c r="BC1" s="23"/>
      <c r="BD1" s="23"/>
      <c r="BE1" s="23"/>
      <c r="BF1" s="23"/>
      <c r="BG1" s="23"/>
      <c r="BH1" s="23"/>
      <c r="BI1" s="23"/>
      <c r="BJ1" s="23"/>
      <c r="BK1" s="23"/>
      <c r="BL1" s="23"/>
      <c r="BM1" s="23"/>
      <c r="BN1" s="23"/>
      <c r="BO1" s="144" t="s">
        <v>4</v>
      </c>
      <c r="BP1" s="144"/>
      <c r="BQ1" s="144"/>
      <c r="BR1" s="144" t="s">
        <v>5</v>
      </c>
      <c r="BS1" s="144"/>
      <c r="BT1" s="144"/>
      <c r="BU1" s="144"/>
      <c r="BV1" s="144"/>
      <c r="BW1" s="144" t="s">
        <v>6</v>
      </c>
      <c r="BX1" s="144"/>
      <c r="BY1" s="144"/>
      <c r="BZ1" s="144"/>
      <c r="CA1" s="144"/>
    </row>
    <row r="2" spans="1:83" ht="15" customHeight="1">
      <c r="B2" s="25" t="s">
        <v>7</v>
      </c>
      <c r="C2" s="25" t="s">
        <v>8</v>
      </c>
      <c r="D2" s="26" t="s">
        <v>9</v>
      </c>
      <c r="E2" s="24" t="s">
        <v>10</v>
      </c>
      <c r="F2" s="24" t="s">
        <v>11</v>
      </c>
      <c r="G2" s="24" t="s">
        <v>12</v>
      </c>
      <c r="H2" s="24" t="s">
        <v>13</v>
      </c>
      <c r="I2" s="24" t="s">
        <v>14</v>
      </c>
      <c r="J2" s="26" t="s">
        <v>15</v>
      </c>
      <c r="K2" s="26" t="s">
        <v>16</v>
      </c>
      <c r="L2" s="26" t="s">
        <v>17</v>
      </c>
      <c r="M2" s="26" t="s">
        <v>18</v>
      </c>
      <c r="N2" s="26" t="s">
        <v>19</v>
      </c>
      <c r="O2" s="26" t="s">
        <v>20</v>
      </c>
      <c r="P2" s="26" t="s">
        <v>21</v>
      </c>
      <c r="Q2" s="26" t="s">
        <v>22</v>
      </c>
      <c r="R2" s="26" t="s">
        <v>23</v>
      </c>
      <c r="S2" s="26" t="s">
        <v>24</v>
      </c>
      <c r="T2" s="26" t="s">
        <v>25</v>
      </c>
      <c r="U2" s="26" t="s">
        <v>26</v>
      </c>
      <c r="V2" s="26" t="s">
        <v>27</v>
      </c>
      <c r="W2" s="26" t="s">
        <v>28</v>
      </c>
      <c r="X2" s="26" t="s">
        <v>29</v>
      </c>
      <c r="Y2" s="26" t="s">
        <v>30</v>
      </c>
      <c r="Z2" s="26" t="s">
        <v>31</v>
      </c>
      <c r="AA2" s="26" t="s">
        <v>32</v>
      </c>
      <c r="AB2" s="26" t="s">
        <v>33</v>
      </c>
      <c r="AC2" s="26" t="s">
        <v>34</v>
      </c>
      <c r="AD2" s="26" t="s">
        <v>35</v>
      </c>
      <c r="AE2" s="26" t="s">
        <v>36</v>
      </c>
      <c r="AF2" s="26" t="s">
        <v>37</v>
      </c>
      <c r="AG2" s="26" t="s">
        <v>38</v>
      </c>
      <c r="AH2" s="26" t="s">
        <v>39</v>
      </c>
      <c r="AI2" s="26" t="s">
        <v>40</v>
      </c>
      <c r="AJ2" s="26" t="s">
        <v>41</v>
      </c>
      <c r="AK2" s="26" t="s">
        <v>42</v>
      </c>
      <c r="AL2" s="26" t="s">
        <v>43</v>
      </c>
      <c r="AM2" s="26" t="s">
        <v>44</v>
      </c>
      <c r="AN2" s="26" t="s">
        <v>45</v>
      </c>
      <c r="AO2" s="26" t="s">
        <v>46</v>
      </c>
      <c r="AP2" s="26" t="s">
        <v>47</v>
      </c>
      <c r="AQ2" s="26" t="s">
        <v>48</v>
      </c>
      <c r="AR2" s="26" t="s">
        <v>49</v>
      </c>
      <c r="AS2" s="26" t="s">
        <v>50</v>
      </c>
      <c r="AT2" s="26" t="s">
        <v>51</v>
      </c>
      <c r="AU2" s="26" t="s">
        <v>52</v>
      </c>
      <c r="AV2" s="26" t="s">
        <v>53</v>
      </c>
      <c r="AW2" s="26" t="s">
        <v>54</v>
      </c>
      <c r="AX2" s="26" t="s">
        <v>55</v>
      </c>
      <c r="AY2" s="26" t="s">
        <v>56</v>
      </c>
      <c r="AZ2" s="26" t="s">
        <v>57</v>
      </c>
      <c r="BA2" s="26" t="s">
        <v>58</v>
      </c>
      <c r="BB2" s="26" t="s">
        <v>59</v>
      </c>
      <c r="BC2" s="26" t="s">
        <v>60</v>
      </c>
      <c r="BD2" s="26" t="s">
        <v>61</v>
      </c>
      <c r="BE2" s="26" t="s">
        <v>62</v>
      </c>
      <c r="BF2" s="26" t="s">
        <v>63</v>
      </c>
      <c r="BG2" s="26" t="s">
        <v>64</v>
      </c>
      <c r="BH2" s="26" t="s">
        <v>65</v>
      </c>
      <c r="BI2" s="26" t="s">
        <v>66</v>
      </c>
      <c r="BJ2" s="26" t="s">
        <v>67</v>
      </c>
      <c r="BK2" s="26" t="s">
        <v>68</v>
      </c>
      <c r="BL2" s="26" t="s">
        <v>69</v>
      </c>
      <c r="BM2" s="26" t="s">
        <v>70</v>
      </c>
      <c r="BN2" s="26" t="s">
        <v>71</v>
      </c>
      <c r="BO2" s="24" t="s">
        <v>72</v>
      </c>
      <c r="BP2" s="24" t="s">
        <v>73</v>
      </c>
      <c r="BQ2" s="24" t="s">
        <v>74</v>
      </c>
      <c r="BS2" s="24" t="s">
        <v>75</v>
      </c>
      <c r="BT2" s="24" t="s">
        <v>76</v>
      </c>
      <c r="BU2" s="24" t="s">
        <v>77</v>
      </c>
      <c r="BV2" s="24" t="s">
        <v>78</v>
      </c>
      <c r="BW2" s="24" t="s">
        <v>79</v>
      </c>
      <c r="BX2" s="24" t="s">
        <v>80</v>
      </c>
      <c r="BY2" s="24" t="s">
        <v>81</v>
      </c>
      <c r="BZ2" s="24" t="s">
        <v>82</v>
      </c>
      <c r="CA2" s="24" t="s">
        <v>83</v>
      </c>
      <c r="CB2" s="24" t="s">
        <v>84</v>
      </c>
      <c r="CC2" s="24" t="s">
        <v>85</v>
      </c>
      <c r="CD2" s="24" t="s">
        <v>86</v>
      </c>
      <c r="CE2" s="24" t="s">
        <v>87</v>
      </c>
    </row>
    <row r="3" spans="1:83" s="27" customFormat="1" ht="87">
      <c r="A3" s="26">
        <v>6</v>
      </c>
      <c r="B3" s="26" t="s">
        <v>88</v>
      </c>
      <c r="C3" s="26">
        <v>2013</v>
      </c>
      <c r="D3" s="26" t="s">
        <v>89</v>
      </c>
      <c r="E3" s="55">
        <v>44713</v>
      </c>
      <c r="F3" s="56" t="s">
        <v>90</v>
      </c>
      <c r="G3" s="56" t="s">
        <v>695</v>
      </c>
      <c r="H3" s="56"/>
      <c r="I3" s="29" t="s">
        <v>696</v>
      </c>
      <c r="J3" s="26" t="s">
        <v>93</v>
      </c>
      <c r="K3" s="26" t="s">
        <v>94</v>
      </c>
      <c r="L3" s="26" t="s">
        <v>94</v>
      </c>
      <c r="M3" s="26" t="s">
        <v>95</v>
      </c>
      <c r="N3" s="26" t="s">
        <v>96</v>
      </c>
      <c r="O3" s="26" t="s">
        <v>97</v>
      </c>
      <c r="P3" s="26" t="s">
        <v>97</v>
      </c>
      <c r="Q3" s="26"/>
      <c r="R3" s="26"/>
      <c r="S3" s="26" t="s">
        <v>90</v>
      </c>
      <c r="T3" s="26" t="s">
        <v>98</v>
      </c>
      <c r="U3" s="26" t="s">
        <v>99</v>
      </c>
      <c r="V3" s="26">
        <v>1</v>
      </c>
      <c r="W3" s="26" t="s">
        <v>100</v>
      </c>
      <c r="X3" s="26" t="s">
        <v>101</v>
      </c>
      <c r="Y3" s="26" t="s">
        <v>102</v>
      </c>
      <c r="Z3" s="26" t="s">
        <v>103</v>
      </c>
      <c r="AA3" s="26" t="s">
        <v>104</v>
      </c>
      <c r="AB3" s="26" t="s">
        <v>105</v>
      </c>
      <c r="AC3" s="26" t="s">
        <v>106</v>
      </c>
      <c r="AD3" s="26" t="s">
        <v>107</v>
      </c>
      <c r="AE3" s="26" t="s">
        <v>108</v>
      </c>
      <c r="AF3" s="26">
        <v>3</v>
      </c>
      <c r="AG3" s="26" t="s">
        <v>90</v>
      </c>
      <c r="AH3" s="26" t="s">
        <v>109</v>
      </c>
      <c r="AI3" s="26" t="s">
        <v>110</v>
      </c>
      <c r="AJ3" s="26">
        <v>2</v>
      </c>
      <c r="AK3" s="26" t="s">
        <v>99</v>
      </c>
      <c r="AL3" s="26" t="s">
        <v>94</v>
      </c>
      <c r="AM3" s="26" t="s">
        <v>94</v>
      </c>
      <c r="AN3" s="26" t="s">
        <v>111</v>
      </c>
      <c r="AO3" s="26" t="s">
        <v>111</v>
      </c>
      <c r="AP3" s="26" t="s">
        <v>112</v>
      </c>
      <c r="AQ3" s="26" t="s">
        <v>113</v>
      </c>
      <c r="AR3" s="26" t="s">
        <v>114</v>
      </c>
      <c r="AS3" s="26" t="s">
        <v>115</v>
      </c>
      <c r="AT3" s="26" t="s">
        <v>116</v>
      </c>
      <c r="AU3" s="26" t="s">
        <v>117</v>
      </c>
      <c r="AV3" s="26">
        <v>2</v>
      </c>
      <c r="AW3" s="26" t="s">
        <v>118</v>
      </c>
      <c r="AX3" s="26" t="s">
        <v>119</v>
      </c>
      <c r="AY3" s="26" t="s">
        <v>120</v>
      </c>
      <c r="AZ3" s="26" t="s">
        <v>116</v>
      </c>
      <c r="BA3" s="26" t="s">
        <v>121</v>
      </c>
      <c r="BB3" s="26">
        <v>2</v>
      </c>
      <c r="BC3" s="26" t="s">
        <v>122</v>
      </c>
      <c r="BD3" s="26" t="s">
        <v>123</v>
      </c>
      <c r="BE3" s="26" t="s">
        <v>124</v>
      </c>
      <c r="BF3" s="26" t="s">
        <v>116</v>
      </c>
      <c r="BG3" s="26" t="s">
        <v>125</v>
      </c>
      <c r="BH3" s="26">
        <v>2</v>
      </c>
      <c r="BI3" s="26"/>
      <c r="BJ3" s="26"/>
      <c r="BK3" s="26"/>
      <c r="BL3" s="26"/>
      <c r="BM3" s="26"/>
      <c r="BN3" s="26"/>
      <c r="BO3" s="29" t="s">
        <v>697</v>
      </c>
      <c r="BP3" s="29" t="s">
        <v>698</v>
      </c>
      <c r="BQ3" s="29"/>
      <c r="BR3" s="29" t="s">
        <v>699</v>
      </c>
      <c r="BS3" s="56" t="s">
        <v>160</v>
      </c>
      <c r="BT3" s="56">
        <v>0.24840000000000001</v>
      </c>
      <c r="BU3" s="56">
        <v>0.315</v>
      </c>
      <c r="BV3" s="56" t="s">
        <v>161</v>
      </c>
      <c r="BW3" s="56">
        <v>4</v>
      </c>
      <c r="BX3" s="56" t="s">
        <v>160</v>
      </c>
      <c r="BY3" s="56">
        <v>0.25750000000000001</v>
      </c>
      <c r="BZ3" s="56">
        <v>0.30459999999999998</v>
      </c>
      <c r="CA3" s="56" t="s">
        <v>161</v>
      </c>
      <c r="CB3" s="56">
        <v>4</v>
      </c>
      <c r="CC3" s="56" t="s">
        <v>262</v>
      </c>
      <c r="CD3" s="56">
        <v>4</v>
      </c>
      <c r="CE3" s="56" t="s">
        <v>700</v>
      </c>
    </row>
    <row r="4" spans="1:83" ht="409.5">
      <c r="A4" s="26">
        <v>6</v>
      </c>
      <c r="B4" s="26" t="s">
        <v>88</v>
      </c>
      <c r="C4" s="26">
        <v>2013</v>
      </c>
      <c r="D4" s="26" t="s">
        <v>89</v>
      </c>
      <c r="E4" s="55">
        <v>44713</v>
      </c>
      <c r="F4" s="56" t="s">
        <v>90</v>
      </c>
      <c r="G4" s="56" t="s">
        <v>695</v>
      </c>
      <c r="H4" s="56"/>
      <c r="I4" s="29" t="s">
        <v>696</v>
      </c>
      <c r="J4" s="26" t="s">
        <v>93</v>
      </c>
      <c r="K4" s="26" t="s">
        <v>94</v>
      </c>
      <c r="L4" s="26" t="s">
        <v>94</v>
      </c>
      <c r="M4" s="26" t="s">
        <v>95</v>
      </c>
      <c r="N4" s="26" t="s">
        <v>96</v>
      </c>
      <c r="O4" s="26" t="s">
        <v>97</v>
      </c>
      <c r="P4" s="26" t="s">
        <v>97</v>
      </c>
      <c r="S4" s="26" t="s">
        <v>90</v>
      </c>
      <c r="T4" s="26" t="s">
        <v>98</v>
      </c>
      <c r="U4" s="26" t="s">
        <v>99</v>
      </c>
      <c r="V4" s="26">
        <v>1</v>
      </c>
      <c r="W4" s="26" t="s">
        <v>100</v>
      </c>
      <c r="X4" s="26" t="s">
        <v>101</v>
      </c>
      <c r="Y4" s="26" t="s">
        <v>102</v>
      </c>
      <c r="Z4" s="26" t="s">
        <v>103</v>
      </c>
      <c r="AA4" s="26" t="s">
        <v>104</v>
      </c>
      <c r="AB4" s="26" t="s">
        <v>105</v>
      </c>
      <c r="AC4" s="26" t="s">
        <v>106</v>
      </c>
      <c r="AD4" s="26" t="s">
        <v>107</v>
      </c>
      <c r="AE4" s="26" t="s">
        <v>108</v>
      </c>
      <c r="AF4" s="26">
        <v>3</v>
      </c>
      <c r="AG4" s="26" t="s">
        <v>90</v>
      </c>
      <c r="AH4" s="26" t="s">
        <v>109</v>
      </c>
      <c r="AI4" s="26" t="s">
        <v>110</v>
      </c>
      <c r="AJ4" s="26">
        <v>2</v>
      </c>
      <c r="AK4" s="26" t="s">
        <v>99</v>
      </c>
      <c r="AL4" s="26" t="s">
        <v>94</v>
      </c>
      <c r="AM4" s="26" t="s">
        <v>94</v>
      </c>
      <c r="AN4" s="26" t="s">
        <v>111</v>
      </c>
      <c r="AO4" s="26" t="s">
        <v>111</v>
      </c>
      <c r="AP4" s="26" t="s">
        <v>112</v>
      </c>
      <c r="AQ4" s="26" t="s">
        <v>113</v>
      </c>
      <c r="AR4" s="26" t="s">
        <v>114</v>
      </c>
      <c r="AS4" s="26" t="s">
        <v>115</v>
      </c>
      <c r="AT4" s="26" t="s">
        <v>116</v>
      </c>
      <c r="AU4" s="26" t="s">
        <v>117</v>
      </c>
      <c r="AV4" s="26">
        <v>2</v>
      </c>
      <c r="AW4" s="26" t="s">
        <v>118</v>
      </c>
      <c r="AX4" s="26" t="s">
        <v>119</v>
      </c>
      <c r="AY4" s="26" t="s">
        <v>120</v>
      </c>
      <c r="AZ4" s="26" t="s">
        <v>116</v>
      </c>
      <c r="BA4" s="26" t="s">
        <v>121</v>
      </c>
      <c r="BB4" s="26">
        <v>2</v>
      </c>
      <c r="BC4" s="26" t="s">
        <v>122</v>
      </c>
      <c r="BD4" s="26" t="s">
        <v>123</v>
      </c>
      <c r="BE4" s="26" t="s">
        <v>124</v>
      </c>
      <c r="BF4" s="26" t="s">
        <v>116</v>
      </c>
      <c r="BG4" s="26" t="s">
        <v>125</v>
      </c>
      <c r="BH4" s="26">
        <v>2</v>
      </c>
      <c r="BO4" s="29" t="s">
        <v>697</v>
      </c>
      <c r="BP4" s="29" t="s">
        <v>701</v>
      </c>
      <c r="BQ4" s="29"/>
      <c r="BR4" s="29" t="s">
        <v>702</v>
      </c>
      <c r="BS4" s="56" t="s">
        <v>160</v>
      </c>
      <c r="BT4" s="56">
        <v>0.50590000000000002</v>
      </c>
      <c r="BU4" s="56">
        <v>0.55820000000000003</v>
      </c>
      <c r="BV4" s="56" t="s">
        <v>161</v>
      </c>
      <c r="BW4" s="56">
        <v>4</v>
      </c>
      <c r="BX4" s="56" t="s">
        <v>160</v>
      </c>
      <c r="BY4" s="56">
        <v>0.3478</v>
      </c>
      <c r="BZ4" s="56">
        <v>0.38429999999999997</v>
      </c>
      <c r="CA4" s="56" t="s">
        <v>161</v>
      </c>
      <c r="CB4" s="56">
        <v>4</v>
      </c>
      <c r="CC4" s="56" t="s">
        <v>262</v>
      </c>
      <c r="CD4" s="56">
        <v>4</v>
      </c>
      <c r="CE4" s="29" t="s">
        <v>703</v>
      </c>
    </row>
    <row r="5" spans="1:83" ht="409.5">
      <c r="A5" s="26">
        <v>6</v>
      </c>
      <c r="B5" s="26" t="s">
        <v>88</v>
      </c>
      <c r="C5" s="26">
        <v>2013</v>
      </c>
      <c r="D5" s="26" t="s">
        <v>89</v>
      </c>
      <c r="E5" s="55">
        <v>44713</v>
      </c>
      <c r="F5" s="56" t="s">
        <v>90</v>
      </c>
      <c r="G5" s="56" t="s">
        <v>695</v>
      </c>
      <c r="H5" s="56"/>
      <c r="I5" s="29" t="s">
        <v>696</v>
      </c>
      <c r="J5" s="26" t="s">
        <v>93</v>
      </c>
      <c r="K5" s="26" t="s">
        <v>94</v>
      </c>
      <c r="L5" s="26" t="s">
        <v>94</v>
      </c>
      <c r="M5" s="26" t="s">
        <v>95</v>
      </c>
      <c r="N5" s="26" t="s">
        <v>96</v>
      </c>
      <c r="O5" s="26" t="s">
        <v>97</v>
      </c>
      <c r="P5" s="26" t="s">
        <v>97</v>
      </c>
      <c r="S5" s="26" t="s">
        <v>90</v>
      </c>
      <c r="T5" s="26" t="s">
        <v>98</v>
      </c>
      <c r="U5" s="26" t="s">
        <v>99</v>
      </c>
      <c r="V5" s="26">
        <v>1</v>
      </c>
      <c r="W5" s="26" t="s">
        <v>100</v>
      </c>
      <c r="X5" s="26" t="s">
        <v>101</v>
      </c>
      <c r="Y5" s="26" t="s">
        <v>102</v>
      </c>
      <c r="Z5" s="26" t="s">
        <v>103</v>
      </c>
      <c r="AA5" s="26" t="s">
        <v>104</v>
      </c>
      <c r="AB5" s="26" t="s">
        <v>105</v>
      </c>
      <c r="AC5" s="26" t="s">
        <v>106</v>
      </c>
      <c r="AD5" s="26" t="s">
        <v>107</v>
      </c>
      <c r="AE5" s="26" t="s">
        <v>108</v>
      </c>
      <c r="AF5" s="26">
        <v>3</v>
      </c>
      <c r="AG5" s="26" t="s">
        <v>90</v>
      </c>
      <c r="AH5" s="26" t="s">
        <v>109</v>
      </c>
      <c r="AI5" s="26" t="s">
        <v>110</v>
      </c>
      <c r="AJ5" s="26">
        <v>2</v>
      </c>
      <c r="AK5" s="26" t="s">
        <v>99</v>
      </c>
      <c r="AL5" s="26" t="s">
        <v>94</v>
      </c>
      <c r="AM5" s="26" t="s">
        <v>94</v>
      </c>
      <c r="AN5" s="26" t="s">
        <v>111</v>
      </c>
      <c r="AO5" s="26" t="s">
        <v>111</v>
      </c>
      <c r="AP5" s="26" t="s">
        <v>112</v>
      </c>
      <c r="AQ5" s="26" t="s">
        <v>113</v>
      </c>
      <c r="AR5" s="26" t="s">
        <v>114</v>
      </c>
      <c r="AS5" s="26" t="s">
        <v>115</v>
      </c>
      <c r="AT5" s="26" t="s">
        <v>116</v>
      </c>
      <c r="AU5" s="26" t="s">
        <v>117</v>
      </c>
      <c r="AV5" s="26">
        <v>2</v>
      </c>
      <c r="AW5" s="26" t="s">
        <v>118</v>
      </c>
      <c r="AX5" s="26" t="s">
        <v>119</v>
      </c>
      <c r="AY5" s="26" t="s">
        <v>120</v>
      </c>
      <c r="AZ5" s="26" t="s">
        <v>116</v>
      </c>
      <c r="BA5" s="26" t="s">
        <v>121</v>
      </c>
      <c r="BB5" s="26">
        <v>2</v>
      </c>
      <c r="BC5" s="26" t="s">
        <v>122</v>
      </c>
      <c r="BD5" s="26" t="s">
        <v>123</v>
      </c>
      <c r="BE5" s="26" t="s">
        <v>124</v>
      </c>
      <c r="BF5" s="26" t="s">
        <v>116</v>
      </c>
      <c r="BG5" s="26" t="s">
        <v>125</v>
      </c>
      <c r="BH5" s="26">
        <v>2</v>
      </c>
      <c r="BO5" s="29" t="s">
        <v>704</v>
      </c>
      <c r="BP5" s="29" t="s">
        <v>705</v>
      </c>
      <c r="BQ5" s="29"/>
      <c r="BR5" s="29" t="s">
        <v>699</v>
      </c>
      <c r="BS5" s="56" t="s">
        <v>160</v>
      </c>
      <c r="BT5" s="56">
        <v>0.24840000000000001</v>
      </c>
      <c r="BU5" s="56">
        <v>0.315</v>
      </c>
      <c r="BV5" s="56" t="s">
        <v>161</v>
      </c>
      <c r="BW5" s="56">
        <v>4</v>
      </c>
      <c r="BX5" s="56" t="s">
        <v>160</v>
      </c>
      <c r="BY5" s="56">
        <v>0.25750000000000001</v>
      </c>
      <c r="BZ5" s="56">
        <v>0.30459999999999998</v>
      </c>
      <c r="CA5" s="56" t="s">
        <v>161</v>
      </c>
      <c r="CB5" s="56">
        <v>4</v>
      </c>
      <c r="CC5" s="56" t="s">
        <v>262</v>
      </c>
      <c r="CD5" s="56">
        <v>4</v>
      </c>
      <c r="CE5" s="29" t="s">
        <v>703</v>
      </c>
    </row>
    <row r="6" spans="1:83" ht="409.5">
      <c r="A6" s="26">
        <v>6</v>
      </c>
      <c r="B6" s="26" t="s">
        <v>88</v>
      </c>
      <c r="C6" s="26">
        <v>2013</v>
      </c>
      <c r="D6" s="26" t="s">
        <v>89</v>
      </c>
      <c r="E6" s="55">
        <v>44713</v>
      </c>
      <c r="F6" s="56" t="s">
        <v>90</v>
      </c>
      <c r="G6" s="56" t="s">
        <v>695</v>
      </c>
      <c r="H6" s="56"/>
      <c r="I6" s="29" t="s">
        <v>696</v>
      </c>
      <c r="J6" s="26" t="s">
        <v>93</v>
      </c>
      <c r="K6" s="26" t="s">
        <v>94</v>
      </c>
      <c r="L6" s="26" t="s">
        <v>94</v>
      </c>
      <c r="M6" s="26" t="s">
        <v>95</v>
      </c>
      <c r="N6" s="26" t="s">
        <v>96</v>
      </c>
      <c r="O6" s="26" t="s">
        <v>97</v>
      </c>
      <c r="P6" s="26" t="s">
        <v>97</v>
      </c>
      <c r="S6" s="26" t="s">
        <v>90</v>
      </c>
      <c r="T6" s="26" t="s">
        <v>98</v>
      </c>
      <c r="U6" s="26" t="s">
        <v>99</v>
      </c>
      <c r="V6" s="26">
        <v>1</v>
      </c>
      <c r="W6" s="26" t="s">
        <v>100</v>
      </c>
      <c r="X6" s="26" t="s">
        <v>101</v>
      </c>
      <c r="Y6" s="26" t="s">
        <v>102</v>
      </c>
      <c r="Z6" s="26" t="s">
        <v>103</v>
      </c>
      <c r="AA6" s="26" t="s">
        <v>104</v>
      </c>
      <c r="AB6" s="26" t="s">
        <v>105</v>
      </c>
      <c r="AC6" s="26" t="s">
        <v>106</v>
      </c>
      <c r="AD6" s="26" t="s">
        <v>107</v>
      </c>
      <c r="AE6" s="26" t="s">
        <v>108</v>
      </c>
      <c r="AF6" s="26">
        <v>3</v>
      </c>
      <c r="AG6" s="26" t="s">
        <v>90</v>
      </c>
      <c r="AH6" s="26" t="s">
        <v>109</v>
      </c>
      <c r="AI6" s="26" t="s">
        <v>110</v>
      </c>
      <c r="AJ6" s="26">
        <v>2</v>
      </c>
      <c r="AK6" s="26" t="s">
        <v>99</v>
      </c>
      <c r="AL6" s="26" t="s">
        <v>94</v>
      </c>
      <c r="AM6" s="26" t="s">
        <v>94</v>
      </c>
      <c r="AN6" s="26" t="s">
        <v>111</v>
      </c>
      <c r="AO6" s="26" t="s">
        <v>111</v>
      </c>
      <c r="AP6" s="26" t="s">
        <v>112</v>
      </c>
      <c r="AQ6" s="26" t="s">
        <v>113</v>
      </c>
      <c r="AR6" s="26" t="s">
        <v>114</v>
      </c>
      <c r="AS6" s="26" t="s">
        <v>115</v>
      </c>
      <c r="AT6" s="26" t="s">
        <v>116</v>
      </c>
      <c r="AU6" s="26" t="s">
        <v>117</v>
      </c>
      <c r="AV6" s="26">
        <v>2</v>
      </c>
      <c r="AW6" s="26" t="s">
        <v>118</v>
      </c>
      <c r="AX6" s="26" t="s">
        <v>119</v>
      </c>
      <c r="AY6" s="26" t="s">
        <v>120</v>
      </c>
      <c r="AZ6" s="26" t="s">
        <v>116</v>
      </c>
      <c r="BA6" s="26" t="s">
        <v>121</v>
      </c>
      <c r="BB6" s="26">
        <v>2</v>
      </c>
      <c r="BC6" s="26" t="s">
        <v>122</v>
      </c>
      <c r="BD6" s="26" t="s">
        <v>123</v>
      </c>
      <c r="BE6" s="26" t="s">
        <v>124</v>
      </c>
      <c r="BF6" s="26" t="s">
        <v>116</v>
      </c>
      <c r="BG6" s="26" t="s">
        <v>125</v>
      </c>
      <c r="BH6" s="26">
        <v>2</v>
      </c>
      <c r="BO6" s="29" t="s">
        <v>704</v>
      </c>
      <c r="BP6" s="29" t="s">
        <v>706</v>
      </c>
      <c r="BQ6" s="29"/>
      <c r="BR6" s="29" t="s">
        <v>699</v>
      </c>
      <c r="BS6" s="56" t="s">
        <v>160</v>
      </c>
      <c r="BT6" s="56">
        <v>0.53859999999999997</v>
      </c>
      <c r="BU6" s="56">
        <v>0.63660000000000005</v>
      </c>
      <c r="BV6" s="56" t="s">
        <v>161</v>
      </c>
      <c r="BW6" s="56">
        <v>4</v>
      </c>
      <c r="BX6" s="56" t="s">
        <v>160</v>
      </c>
      <c r="BY6" s="56">
        <v>0.66710000000000003</v>
      </c>
      <c r="BZ6" s="56">
        <v>0.7752</v>
      </c>
      <c r="CA6" s="56" t="s">
        <v>161</v>
      </c>
      <c r="CB6" s="56">
        <v>4</v>
      </c>
      <c r="CC6" s="56" t="s">
        <v>262</v>
      </c>
      <c r="CD6" s="56">
        <v>4</v>
      </c>
      <c r="CE6" s="29" t="s">
        <v>703</v>
      </c>
    </row>
    <row r="7" spans="1:83" ht="409.5">
      <c r="A7" s="26">
        <v>6</v>
      </c>
      <c r="B7" s="26" t="s">
        <v>88</v>
      </c>
      <c r="C7" s="26">
        <v>2013</v>
      </c>
      <c r="D7" s="26" t="s">
        <v>89</v>
      </c>
      <c r="E7" s="55">
        <v>44713</v>
      </c>
      <c r="F7" s="56" t="s">
        <v>90</v>
      </c>
      <c r="G7" s="56" t="s">
        <v>695</v>
      </c>
      <c r="H7" s="56"/>
      <c r="I7" s="29" t="s">
        <v>696</v>
      </c>
      <c r="J7" s="26" t="s">
        <v>93</v>
      </c>
      <c r="K7" s="26" t="s">
        <v>94</v>
      </c>
      <c r="L7" s="26" t="s">
        <v>94</v>
      </c>
      <c r="M7" s="26" t="s">
        <v>95</v>
      </c>
      <c r="N7" s="26" t="s">
        <v>96</v>
      </c>
      <c r="O7" s="26" t="s">
        <v>97</v>
      </c>
      <c r="P7" s="26" t="s">
        <v>97</v>
      </c>
      <c r="S7" s="26" t="s">
        <v>90</v>
      </c>
      <c r="T7" s="26" t="s">
        <v>98</v>
      </c>
      <c r="U7" s="26" t="s">
        <v>99</v>
      </c>
      <c r="V7" s="26">
        <v>1</v>
      </c>
      <c r="W7" s="26" t="s">
        <v>100</v>
      </c>
      <c r="X7" s="26" t="s">
        <v>101</v>
      </c>
      <c r="Y7" s="26" t="s">
        <v>102</v>
      </c>
      <c r="Z7" s="26" t="s">
        <v>103</v>
      </c>
      <c r="AA7" s="26" t="s">
        <v>104</v>
      </c>
      <c r="AB7" s="26" t="s">
        <v>105</v>
      </c>
      <c r="AC7" s="26" t="s">
        <v>106</v>
      </c>
      <c r="AD7" s="26" t="s">
        <v>107</v>
      </c>
      <c r="AE7" s="26" t="s">
        <v>108</v>
      </c>
      <c r="AF7" s="26">
        <v>3</v>
      </c>
      <c r="AG7" s="26" t="s">
        <v>90</v>
      </c>
      <c r="AH7" s="26" t="s">
        <v>109</v>
      </c>
      <c r="AI7" s="26" t="s">
        <v>110</v>
      </c>
      <c r="AJ7" s="26">
        <v>2</v>
      </c>
      <c r="AK7" s="26" t="s">
        <v>99</v>
      </c>
      <c r="AL7" s="26" t="s">
        <v>94</v>
      </c>
      <c r="AM7" s="26" t="s">
        <v>94</v>
      </c>
      <c r="AN7" s="26" t="s">
        <v>111</v>
      </c>
      <c r="AO7" s="26" t="s">
        <v>111</v>
      </c>
      <c r="AP7" s="26" t="s">
        <v>112</v>
      </c>
      <c r="AQ7" s="26" t="s">
        <v>113</v>
      </c>
      <c r="AR7" s="26" t="s">
        <v>114</v>
      </c>
      <c r="AS7" s="26" t="s">
        <v>115</v>
      </c>
      <c r="AT7" s="26" t="s">
        <v>116</v>
      </c>
      <c r="AU7" s="26" t="s">
        <v>117</v>
      </c>
      <c r="AV7" s="26">
        <v>2</v>
      </c>
      <c r="AW7" s="26" t="s">
        <v>118</v>
      </c>
      <c r="AX7" s="26" t="s">
        <v>119</v>
      </c>
      <c r="AY7" s="26" t="s">
        <v>120</v>
      </c>
      <c r="AZ7" s="26" t="s">
        <v>116</v>
      </c>
      <c r="BA7" s="26" t="s">
        <v>121</v>
      </c>
      <c r="BB7" s="26">
        <v>2</v>
      </c>
      <c r="BC7" s="26" t="s">
        <v>122</v>
      </c>
      <c r="BD7" s="26" t="s">
        <v>123</v>
      </c>
      <c r="BE7" s="26" t="s">
        <v>124</v>
      </c>
      <c r="BF7" s="26" t="s">
        <v>116</v>
      </c>
      <c r="BG7" s="26" t="s">
        <v>125</v>
      </c>
      <c r="BH7" s="26">
        <v>2</v>
      </c>
      <c r="BO7" s="29" t="s">
        <v>707</v>
      </c>
      <c r="BP7" s="29" t="s">
        <v>708</v>
      </c>
      <c r="BQ7" s="29"/>
      <c r="BR7" s="29" t="s">
        <v>699</v>
      </c>
      <c r="BS7" s="56" t="s">
        <v>160</v>
      </c>
      <c r="BT7" s="56">
        <v>0.53859999999999997</v>
      </c>
      <c r="BU7" s="56">
        <v>0.63660000000000005</v>
      </c>
      <c r="BV7" s="56" t="s">
        <v>161</v>
      </c>
      <c r="BW7" s="56">
        <v>4</v>
      </c>
      <c r="BX7" s="56" t="s">
        <v>160</v>
      </c>
      <c r="BY7" s="56">
        <v>0.66710000000000003</v>
      </c>
      <c r="BZ7" s="56">
        <v>0.7752</v>
      </c>
      <c r="CA7" s="56" t="s">
        <v>161</v>
      </c>
      <c r="CB7" s="56">
        <v>4</v>
      </c>
      <c r="CC7" s="56" t="s">
        <v>262</v>
      </c>
      <c r="CD7" s="56">
        <v>4</v>
      </c>
      <c r="CE7" s="29" t="s">
        <v>703</v>
      </c>
    </row>
    <row r="8" spans="1:83" ht="409.5">
      <c r="A8" s="26">
        <v>6</v>
      </c>
      <c r="B8" s="26" t="s">
        <v>88</v>
      </c>
      <c r="C8" s="26">
        <v>2013</v>
      </c>
      <c r="D8" s="26" t="s">
        <v>89</v>
      </c>
      <c r="E8" s="55">
        <v>44713</v>
      </c>
      <c r="F8" s="56" t="s">
        <v>90</v>
      </c>
      <c r="G8" s="56" t="s">
        <v>695</v>
      </c>
      <c r="H8" s="56"/>
      <c r="I8" s="29" t="s">
        <v>696</v>
      </c>
      <c r="J8" s="26" t="s">
        <v>93</v>
      </c>
      <c r="K8" s="26" t="s">
        <v>94</v>
      </c>
      <c r="L8" s="26" t="s">
        <v>94</v>
      </c>
      <c r="M8" s="26" t="s">
        <v>95</v>
      </c>
      <c r="N8" s="26" t="s">
        <v>96</v>
      </c>
      <c r="O8" s="26" t="s">
        <v>97</v>
      </c>
      <c r="P8" s="26" t="s">
        <v>97</v>
      </c>
      <c r="S8" s="26" t="s">
        <v>90</v>
      </c>
      <c r="T8" s="26" t="s">
        <v>98</v>
      </c>
      <c r="U8" s="26" t="s">
        <v>99</v>
      </c>
      <c r="V8" s="26">
        <v>1</v>
      </c>
      <c r="W8" s="26" t="s">
        <v>100</v>
      </c>
      <c r="X8" s="26" t="s">
        <v>101</v>
      </c>
      <c r="Y8" s="26" t="s">
        <v>102</v>
      </c>
      <c r="Z8" s="26" t="s">
        <v>103</v>
      </c>
      <c r="AA8" s="26" t="s">
        <v>104</v>
      </c>
      <c r="AB8" s="26" t="s">
        <v>105</v>
      </c>
      <c r="AC8" s="26" t="s">
        <v>106</v>
      </c>
      <c r="AD8" s="26" t="s">
        <v>107</v>
      </c>
      <c r="AE8" s="26" t="s">
        <v>108</v>
      </c>
      <c r="AF8" s="26">
        <v>3</v>
      </c>
      <c r="AG8" s="26" t="s">
        <v>90</v>
      </c>
      <c r="AH8" s="26" t="s">
        <v>109</v>
      </c>
      <c r="AI8" s="26" t="s">
        <v>110</v>
      </c>
      <c r="AJ8" s="26">
        <v>2</v>
      </c>
      <c r="AK8" s="26" t="s">
        <v>99</v>
      </c>
      <c r="AL8" s="26" t="s">
        <v>94</v>
      </c>
      <c r="AM8" s="26" t="s">
        <v>94</v>
      </c>
      <c r="AN8" s="26" t="s">
        <v>111</v>
      </c>
      <c r="AO8" s="26" t="s">
        <v>111</v>
      </c>
      <c r="AP8" s="26" t="s">
        <v>112</v>
      </c>
      <c r="AQ8" s="26" t="s">
        <v>113</v>
      </c>
      <c r="AR8" s="26" t="s">
        <v>114</v>
      </c>
      <c r="AS8" s="26" t="s">
        <v>115</v>
      </c>
      <c r="AT8" s="26" t="s">
        <v>116</v>
      </c>
      <c r="AU8" s="26" t="s">
        <v>117</v>
      </c>
      <c r="AV8" s="26">
        <v>2</v>
      </c>
      <c r="AW8" s="26" t="s">
        <v>118</v>
      </c>
      <c r="AX8" s="26" t="s">
        <v>119</v>
      </c>
      <c r="AY8" s="26" t="s">
        <v>120</v>
      </c>
      <c r="AZ8" s="26" t="s">
        <v>116</v>
      </c>
      <c r="BA8" s="26" t="s">
        <v>121</v>
      </c>
      <c r="BB8" s="26">
        <v>2</v>
      </c>
      <c r="BC8" s="26" t="s">
        <v>122</v>
      </c>
      <c r="BD8" s="26" t="s">
        <v>123</v>
      </c>
      <c r="BE8" s="26" t="s">
        <v>124</v>
      </c>
      <c r="BF8" s="26" t="s">
        <v>116</v>
      </c>
      <c r="BG8" s="26" t="s">
        <v>125</v>
      </c>
      <c r="BH8" s="26">
        <v>2</v>
      </c>
      <c r="BO8" s="29" t="s">
        <v>707</v>
      </c>
      <c r="BP8" s="29" t="s">
        <v>709</v>
      </c>
      <c r="BQ8" s="29"/>
      <c r="BR8" s="29" t="s">
        <v>699</v>
      </c>
      <c r="BS8" s="56" t="s">
        <v>160</v>
      </c>
      <c r="BT8" s="56">
        <v>0.73070000000000002</v>
      </c>
      <c r="BU8" s="56">
        <v>0.80520000000000003</v>
      </c>
      <c r="BV8" s="56" t="s">
        <v>161</v>
      </c>
      <c r="BW8" s="56">
        <v>4</v>
      </c>
      <c r="BX8" s="56" t="s">
        <v>160</v>
      </c>
      <c r="BY8" s="56">
        <v>0.66710000000000003</v>
      </c>
      <c r="BZ8" s="56">
        <v>0.7752</v>
      </c>
      <c r="CA8" s="56" t="s">
        <v>161</v>
      </c>
      <c r="CB8" s="56">
        <v>4</v>
      </c>
      <c r="CC8" s="56" t="s">
        <v>262</v>
      </c>
      <c r="CD8" s="56">
        <v>4</v>
      </c>
      <c r="CE8" s="29" t="s">
        <v>703</v>
      </c>
    </row>
    <row r="9" spans="1:83" ht="145">
      <c r="A9" s="26">
        <v>7</v>
      </c>
      <c r="B9" s="26" t="s">
        <v>204</v>
      </c>
      <c r="C9" s="26">
        <v>2014</v>
      </c>
      <c r="D9" s="26" t="s">
        <v>205</v>
      </c>
      <c r="E9" s="55">
        <v>44714</v>
      </c>
      <c r="F9" s="56" t="s">
        <v>90</v>
      </c>
      <c r="G9" s="56" t="s">
        <v>695</v>
      </c>
      <c r="H9" s="56"/>
      <c r="I9" s="29" t="s">
        <v>710</v>
      </c>
      <c r="J9" s="26" t="s">
        <v>326</v>
      </c>
      <c r="K9" s="26" t="s">
        <v>97</v>
      </c>
      <c r="L9" s="26" t="s">
        <v>97</v>
      </c>
      <c r="M9" s="26" t="s">
        <v>95</v>
      </c>
      <c r="N9" s="26" t="s">
        <v>711</v>
      </c>
      <c r="O9" s="26" t="s">
        <v>97</v>
      </c>
      <c r="P9" s="26" t="s">
        <v>97</v>
      </c>
      <c r="S9" s="26" t="s">
        <v>90</v>
      </c>
      <c r="T9" s="26" t="s">
        <v>191</v>
      </c>
      <c r="U9" s="26" t="s">
        <v>99</v>
      </c>
      <c r="V9" s="26">
        <v>1</v>
      </c>
      <c r="W9" s="26" t="s">
        <v>209</v>
      </c>
      <c r="X9" s="26" t="s">
        <v>210</v>
      </c>
      <c r="Y9" s="26" t="s">
        <v>102</v>
      </c>
      <c r="Z9" s="26" t="s">
        <v>211</v>
      </c>
      <c r="AA9" s="26" t="s">
        <v>212</v>
      </c>
      <c r="AB9" s="26" t="s">
        <v>105</v>
      </c>
      <c r="AC9" s="26" t="s">
        <v>213</v>
      </c>
      <c r="AD9" s="26" t="s">
        <v>214</v>
      </c>
      <c r="AE9" s="26" t="s">
        <v>108</v>
      </c>
      <c r="AF9" s="26">
        <v>1</v>
      </c>
      <c r="AG9" s="26" t="s">
        <v>160</v>
      </c>
      <c r="AH9" s="26" t="s">
        <v>155</v>
      </c>
      <c r="AI9" s="26" t="s">
        <v>110</v>
      </c>
      <c r="AJ9" s="26">
        <v>2</v>
      </c>
      <c r="AK9" s="26" t="s">
        <v>99</v>
      </c>
      <c r="AL9" s="26" t="s">
        <v>94</v>
      </c>
      <c r="AM9" s="26" t="s">
        <v>94</v>
      </c>
      <c r="AN9" s="26" t="s">
        <v>111</v>
      </c>
      <c r="AO9" s="26" t="s">
        <v>111</v>
      </c>
      <c r="AP9" s="26" t="s">
        <v>155</v>
      </c>
      <c r="AQ9" s="26" t="s">
        <v>119</v>
      </c>
      <c r="AR9" s="26" t="s">
        <v>114</v>
      </c>
      <c r="AS9" s="26" t="s">
        <v>120</v>
      </c>
      <c r="AT9" s="26" t="s">
        <v>116</v>
      </c>
      <c r="AU9" s="26" t="s">
        <v>215</v>
      </c>
      <c r="AV9" s="26">
        <v>5</v>
      </c>
      <c r="BO9" s="29" t="s">
        <v>238</v>
      </c>
      <c r="BP9" s="56" t="s">
        <v>223</v>
      </c>
      <c r="BQ9" s="56"/>
      <c r="BR9" s="29" t="s">
        <v>217</v>
      </c>
      <c r="BS9" s="56">
        <v>1.5299999999999999E-2</v>
      </c>
      <c r="BT9" s="56">
        <v>0.02</v>
      </c>
      <c r="BU9" s="56">
        <v>2.47E-2</v>
      </c>
      <c r="BV9" s="56" t="s">
        <v>161</v>
      </c>
      <c r="BW9" s="56">
        <v>5</v>
      </c>
      <c r="BX9" s="56">
        <v>-1.6999999999999999E-3</v>
      </c>
      <c r="BY9" s="56">
        <v>6.0000000000000001E-3</v>
      </c>
      <c r="BZ9" s="56">
        <v>1.4E-2</v>
      </c>
      <c r="CA9" s="56" t="s">
        <v>161</v>
      </c>
      <c r="CB9" s="56">
        <v>4</v>
      </c>
      <c r="CC9" s="29" t="s">
        <v>224</v>
      </c>
      <c r="CD9" s="56">
        <v>1</v>
      </c>
      <c r="CE9" s="56"/>
    </row>
    <row r="10" spans="1:83" ht="145">
      <c r="A10" s="26">
        <v>7</v>
      </c>
      <c r="B10" s="26" t="s">
        <v>204</v>
      </c>
      <c r="C10" s="26">
        <v>2014</v>
      </c>
      <c r="D10" s="26" t="s">
        <v>205</v>
      </c>
      <c r="E10" s="55">
        <v>44714</v>
      </c>
      <c r="F10" s="56" t="s">
        <v>90</v>
      </c>
      <c r="G10" s="56" t="s">
        <v>695</v>
      </c>
      <c r="H10" s="56"/>
      <c r="I10" s="29" t="s">
        <v>710</v>
      </c>
      <c r="J10" s="26" t="s">
        <v>326</v>
      </c>
      <c r="K10" s="26" t="s">
        <v>97</v>
      </c>
      <c r="L10" s="26" t="s">
        <v>97</v>
      </c>
      <c r="M10" s="26" t="s">
        <v>95</v>
      </c>
      <c r="N10" s="26" t="s">
        <v>711</v>
      </c>
      <c r="O10" s="26" t="s">
        <v>97</v>
      </c>
      <c r="P10" s="26" t="s">
        <v>97</v>
      </c>
      <c r="S10" s="26" t="s">
        <v>90</v>
      </c>
      <c r="T10" s="26" t="s">
        <v>191</v>
      </c>
      <c r="U10" s="26" t="s">
        <v>99</v>
      </c>
      <c r="V10" s="26">
        <v>1</v>
      </c>
      <c r="W10" s="26" t="s">
        <v>209</v>
      </c>
      <c r="X10" s="26" t="s">
        <v>210</v>
      </c>
      <c r="Y10" s="26" t="s">
        <v>102</v>
      </c>
      <c r="Z10" s="26" t="s">
        <v>211</v>
      </c>
      <c r="AA10" s="26" t="s">
        <v>212</v>
      </c>
      <c r="AB10" s="26" t="s">
        <v>105</v>
      </c>
      <c r="AC10" s="26" t="s">
        <v>213</v>
      </c>
      <c r="AD10" s="26" t="s">
        <v>214</v>
      </c>
      <c r="AE10" s="26" t="s">
        <v>108</v>
      </c>
      <c r="AF10" s="26">
        <v>1</v>
      </c>
      <c r="AG10" s="26" t="s">
        <v>160</v>
      </c>
      <c r="AH10" s="26" t="s">
        <v>155</v>
      </c>
      <c r="AI10" s="26" t="s">
        <v>110</v>
      </c>
      <c r="AJ10" s="26">
        <v>2</v>
      </c>
      <c r="AK10" s="26" t="s">
        <v>99</v>
      </c>
      <c r="AL10" s="26" t="s">
        <v>94</v>
      </c>
      <c r="AM10" s="26" t="s">
        <v>94</v>
      </c>
      <c r="AN10" s="26" t="s">
        <v>111</v>
      </c>
      <c r="AO10" s="26" t="s">
        <v>111</v>
      </c>
      <c r="AP10" s="26" t="s">
        <v>155</v>
      </c>
      <c r="AQ10" s="26" t="s">
        <v>119</v>
      </c>
      <c r="AR10" s="26" t="s">
        <v>114</v>
      </c>
      <c r="AS10" s="26" t="s">
        <v>120</v>
      </c>
      <c r="AT10" s="26" t="s">
        <v>116</v>
      </c>
      <c r="AU10" s="26" t="s">
        <v>215</v>
      </c>
      <c r="AV10" s="26">
        <v>5</v>
      </c>
      <c r="BO10" s="29" t="s">
        <v>238</v>
      </c>
      <c r="BP10" s="56" t="s">
        <v>712</v>
      </c>
      <c r="BQ10" s="56"/>
      <c r="BR10" s="29" t="s">
        <v>217</v>
      </c>
      <c r="BS10" s="56">
        <v>0.21290000000000001</v>
      </c>
      <c r="BT10" s="56">
        <v>2.63E-2</v>
      </c>
      <c r="BU10" s="56">
        <v>3.15E-2</v>
      </c>
      <c r="BV10" s="56" t="s">
        <v>161</v>
      </c>
      <c r="BW10" s="56">
        <v>5</v>
      </c>
      <c r="BX10" s="56">
        <v>1.2E-2</v>
      </c>
      <c r="BY10" s="56">
        <v>1.6199999999999999E-2</v>
      </c>
      <c r="BZ10" s="56">
        <v>2.0500000000000001E-2</v>
      </c>
      <c r="CA10" s="56" t="s">
        <v>161</v>
      </c>
      <c r="CB10" s="56">
        <v>5</v>
      </c>
      <c r="CC10" s="29" t="s">
        <v>224</v>
      </c>
      <c r="CD10" s="56">
        <v>1</v>
      </c>
      <c r="CE10" s="56"/>
    </row>
    <row r="11" spans="1:83" ht="145">
      <c r="A11" s="26">
        <v>7</v>
      </c>
      <c r="B11" s="26" t="s">
        <v>204</v>
      </c>
      <c r="C11" s="26">
        <v>2014</v>
      </c>
      <c r="D11" s="26" t="s">
        <v>205</v>
      </c>
      <c r="E11" s="55">
        <v>44714</v>
      </c>
      <c r="F11" s="56" t="s">
        <v>90</v>
      </c>
      <c r="G11" s="56" t="s">
        <v>695</v>
      </c>
      <c r="H11" s="56"/>
      <c r="I11" s="29" t="s">
        <v>710</v>
      </c>
      <c r="J11" s="26" t="s">
        <v>326</v>
      </c>
      <c r="K11" s="26" t="s">
        <v>97</v>
      </c>
      <c r="L11" s="26" t="s">
        <v>97</v>
      </c>
      <c r="M11" s="26" t="s">
        <v>95</v>
      </c>
      <c r="N11" s="26" t="s">
        <v>711</v>
      </c>
      <c r="O11" s="26" t="s">
        <v>97</v>
      </c>
      <c r="P11" s="26" t="s">
        <v>97</v>
      </c>
      <c r="S11" s="26" t="s">
        <v>90</v>
      </c>
      <c r="T11" s="26" t="s">
        <v>191</v>
      </c>
      <c r="U11" s="26" t="s">
        <v>99</v>
      </c>
      <c r="V11" s="26">
        <v>1</v>
      </c>
      <c r="W11" s="26" t="s">
        <v>209</v>
      </c>
      <c r="X11" s="26" t="s">
        <v>210</v>
      </c>
      <c r="Y11" s="26" t="s">
        <v>102</v>
      </c>
      <c r="Z11" s="26" t="s">
        <v>211</v>
      </c>
      <c r="AA11" s="26" t="s">
        <v>212</v>
      </c>
      <c r="AB11" s="26" t="s">
        <v>105</v>
      </c>
      <c r="AC11" s="26" t="s">
        <v>213</v>
      </c>
      <c r="AD11" s="26" t="s">
        <v>214</v>
      </c>
      <c r="AE11" s="26" t="s">
        <v>108</v>
      </c>
      <c r="AF11" s="26">
        <v>1</v>
      </c>
      <c r="AG11" s="26" t="s">
        <v>160</v>
      </c>
      <c r="AH11" s="26" t="s">
        <v>155</v>
      </c>
      <c r="AI11" s="26" t="s">
        <v>110</v>
      </c>
      <c r="AJ11" s="26">
        <v>2</v>
      </c>
      <c r="AK11" s="26" t="s">
        <v>99</v>
      </c>
      <c r="AL11" s="26" t="s">
        <v>94</v>
      </c>
      <c r="AM11" s="26" t="s">
        <v>94</v>
      </c>
      <c r="AN11" s="26" t="s">
        <v>111</v>
      </c>
      <c r="AO11" s="26" t="s">
        <v>111</v>
      </c>
      <c r="AP11" s="26" t="s">
        <v>155</v>
      </c>
      <c r="AQ11" s="26" t="s">
        <v>119</v>
      </c>
      <c r="AR11" s="26" t="s">
        <v>114</v>
      </c>
      <c r="AS11" s="26" t="s">
        <v>120</v>
      </c>
      <c r="AT11" s="26" t="s">
        <v>116</v>
      </c>
      <c r="AU11" s="26" t="s">
        <v>215</v>
      </c>
      <c r="AV11" s="26">
        <v>5</v>
      </c>
      <c r="BO11" s="29" t="s">
        <v>238</v>
      </c>
      <c r="BP11" s="56" t="s">
        <v>713</v>
      </c>
      <c r="BQ11" s="56"/>
      <c r="BR11" s="29" t="s">
        <v>217</v>
      </c>
      <c r="BS11" s="56">
        <v>3.3500000000000002E-2</v>
      </c>
      <c r="BT11" s="56">
        <v>0.04</v>
      </c>
      <c r="BU11" s="56">
        <v>4.6899999999999997E-2</v>
      </c>
      <c r="BV11" s="56" t="s">
        <v>161</v>
      </c>
      <c r="BW11" s="56">
        <v>5</v>
      </c>
      <c r="BX11" s="56">
        <v>1.6400000000000001E-2</v>
      </c>
      <c r="BY11" s="56">
        <v>2.3199999999999998E-2</v>
      </c>
      <c r="BZ11" s="56">
        <v>2.9899999999999999E-2</v>
      </c>
      <c r="CA11" s="56" t="s">
        <v>161</v>
      </c>
      <c r="CB11" s="56">
        <v>5</v>
      </c>
      <c r="CC11" s="29" t="s">
        <v>224</v>
      </c>
      <c r="CD11" s="56">
        <v>1</v>
      </c>
      <c r="CE11" s="56"/>
    </row>
    <row r="12" spans="1:83" ht="145">
      <c r="A12" s="26">
        <v>7</v>
      </c>
      <c r="B12" s="26" t="s">
        <v>204</v>
      </c>
      <c r="C12" s="26">
        <v>2014</v>
      </c>
      <c r="D12" s="26" t="s">
        <v>205</v>
      </c>
      <c r="E12" s="55">
        <v>44714</v>
      </c>
      <c r="F12" s="56" t="s">
        <v>90</v>
      </c>
      <c r="G12" s="56" t="s">
        <v>695</v>
      </c>
      <c r="H12" s="56"/>
      <c r="I12" s="29" t="s">
        <v>710</v>
      </c>
      <c r="J12" s="26" t="s">
        <v>326</v>
      </c>
      <c r="K12" s="26" t="s">
        <v>97</v>
      </c>
      <c r="L12" s="26" t="s">
        <v>97</v>
      </c>
      <c r="M12" s="26" t="s">
        <v>95</v>
      </c>
      <c r="N12" s="26" t="s">
        <v>711</v>
      </c>
      <c r="O12" s="26" t="s">
        <v>97</v>
      </c>
      <c r="P12" s="26" t="s">
        <v>97</v>
      </c>
      <c r="S12" s="26" t="s">
        <v>90</v>
      </c>
      <c r="T12" s="26" t="s">
        <v>191</v>
      </c>
      <c r="U12" s="26" t="s">
        <v>99</v>
      </c>
      <c r="V12" s="26">
        <v>1</v>
      </c>
      <c r="W12" s="26" t="s">
        <v>209</v>
      </c>
      <c r="X12" s="26" t="s">
        <v>210</v>
      </c>
      <c r="Y12" s="26" t="s">
        <v>102</v>
      </c>
      <c r="Z12" s="26" t="s">
        <v>211</v>
      </c>
      <c r="AA12" s="26" t="s">
        <v>212</v>
      </c>
      <c r="AB12" s="26" t="s">
        <v>105</v>
      </c>
      <c r="AC12" s="26" t="s">
        <v>213</v>
      </c>
      <c r="AD12" s="26" t="s">
        <v>214</v>
      </c>
      <c r="AE12" s="26" t="s">
        <v>108</v>
      </c>
      <c r="AF12" s="26">
        <v>1</v>
      </c>
      <c r="AG12" s="26" t="s">
        <v>160</v>
      </c>
      <c r="AH12" s="26" t="s">
        <v>155</v>
      </c>
      <c r="AI12" s="26" t="s">
        <v>110</v>
      </c>
      <c r="AJ12" s="26">
        <v>2</v>
      </c>
      <c r="AK12" s="26" t="s">
        <v>99</v>
      </c>
      <c r="AL12" s="26" t="s">
        <v>94</v>
      </c>
      <c r="AM12" s="26" t="s">
        <v>94</v>
      </c>
      <c r="AN12" s="26" t="s">
        <v>111</v>
      </c>
      <c r="AO12" s="26" t="s">
        <v>111</v>
      </c>
      <c r="AP12" s="26" t="s">
        <v>155</v>
      </c>
      <c r="AQ12" s="26" t="s">
        <v>119</v>
      </c>
      <c r="AR12" s="26" t="s">
        <v>114</v>
      </c>
      <c r="AS12" s="26" t="s">
        <v>120</v>
      </c>
      <c r="AT12" s="26" t="s">
        <v>116</v>
      </c>
      <c r="AU12" s="26" t="s">
        <v>215</v>
      </c>
      <c r="AV12" s="26">
        <v>5</v>
      </c>
      <c r="BO12" s="29" t="s">
        <v>238</v>
      </c>
      <c r="BP12" s="56" t="s">
        <v>714</v>
      </c>
      <c r="BQ12" s="56"/>
      <c r="BR12" s="29" t="s">
        <v>217</v>
      </c>
      <c r="BS12" s="56">
        <v>2.81E-2</v>
      </c>
      <c r="BT12" s="56">
        <v>3.7100000000000001E-2</v>
      </c>
      <c r="BU12" s="56">
        <v>4.5999999999999999E-2</v>
      </c>
      <c r="BV12" s="56" t="s">
        <v>161</v>
      </c>
      <c r="BW12" s="56">
        <v>5</v>
      </c>
      <c r="BX12" s="56">
        <v>1.29E-2</v>
      </c>
      <c r="BY12" s="56">
        <v>1.9300000000000001E-2</v>
      </c>
      <c r="BZ12" s="56">
        <v>2.5999999999999999E-2</v>
      </c>
      <c r="CA12" s="56" t="s">
        <v>161</v>
      </c>
      <c r="CB12" s="56">
        <v>5</v>
      </c>
      <c r="CC12" s="29" t="s">
        <v>224</v>
      </c>
      <c r="CD12" s="56">
        <v>1</v>
      </c>
      <c r="CE12" s="56"/>
    </row>
    <row r="13" spans="1:83" ht="145">
      <c r="A13" s="26">
        <v>7</v>
      </c>
      <c r="B13" s="26" t="s">
        <v>204</v>
      </c>
      <c r="C13" s="26">
        <v>2014</v>
      </c>
      <c r="D13" s="26" t="s">
        <v>205</v>
      </c>
      <c r="E13" s="55">
        <v>44714</v>
      </c>
      <c r="F13" s="56" t="s">
        <v>90</v>
      </c>
      <c r="G13" s="56" t="s">
        <v>695</v>
      </c>
      <c r="H13" s="56"/>
      <c r="I13" s="29" t="s">
        <v>710</v>
      </c>
      <c r="J13" s="26" t="s">
        <v>326</v>
      </c>
      <c r="K13" s="26" t="s">
        <v>97</v>
      </c>
      <c r="L13" s="26" t="s">
        <v>97</v>
      </c>
      <c r="M13" s="26" t="s">
        <v>95</v>
      </c>
      <c r="N13" s="26" t="s">
        <v>711</v>
      </c>
      <c r="O13" s="26" t="s">
        <v>97</v>
      </c>
      <c r="P13" s="26" t="s">
        <v>97</v>
      </c>
      <c r="S13" s="26" t="s">
        <v>90</v>
      </c>
      <c r="T13" s="26" t="s">
        <v>191</v>
      </c>
      <c r="U13" s="26" t="s">
        <v>99</v>
      </c>
      <c r="V13" s="26">
        <v>1</v>
      </c>
      <c r="W13" s="26" t="s">
        <v>209</v>
      </c>
      <c r="X13" s="26" t="s">
        <v>210</v>
      </c>
      <c r="Y13" s="26" t="s">
        <v>102</v>
      </c>
      <c r="Z13" s="26" t="s">
        <v>211</v>
      </c>
      <c r="AA13" s="26" t="s">
        <v>212</v>
      </c>
      <c r="AB13" s="26" t="s">
        <v>105</v>
      </c>
      <c r="AC13" s="26" t="s">
        <v>213</v>
      </c>
      <c r="AD13" s="26" t="s">
        <v>214</v>
      </c>
      <c r="AE13" s="26" t="s">
        <v>108</v>
      </c>
      <c r="AF13" s="26">
        <v>1</v>
      </c>
      <c r="AG13" s="26" t="s">
        <v>160</v>
      </c>
      <c r="AH13" s="26" t="s">
        <v>155</v>
      </c>
      <c r="AI13" s="26" t="s">
        <v>110</v>
      </c>
      <c r="AJ13" s="26">
        <v>2</v>
      </c>
      <c r="AK13" s="26" t="s">
        <v>99</v>
      </c>
      <c r="AL13" s="26" t="s">
        <v>94</v>
      </c>
      <c r="AM13" s="26" t="s">
        <v>94</v>
      </c>
      <c r="AN13" s="26" t="s">
        <v>111</v>
      </c>
      <c r="AO13" s="26" t="s">
        <v>111</v>
      </c>
      <c r="AP13" s="26" t="s">
        <v>155</v>
      </c>
      <c r="AQ13" s="26" t="s">
        <v>119</v>
      </c>
      <c r="AR13" s="26" t="s">
        <v>114</v>
      </c>
      <c r="AS13" s="26" t="s">
        <v>120</v>
      </c>
      <c r="AT13" s="26" t="s">
        <v>116</v>
      </c>
      <c r="AU13" s="26" t="s">
        <v>215</v>
      </c>
      <c r="AV13" s="26">
        <v>5</v>
      </c>
      <c r="BO13" s="29" t="s">
        <v>238</v>
      </c>
      <c r="BP13" s="56" t="s">
        <v>715</v>
      </c>
      <c r="BQ13" s="56"/>
      <c r="BR13" s="29" t="s">
        <v>217</v>
      </c>
      <c r="BS13" s="56">
        <v>1.9900000000000001E-2</v>
      </c>
      <c r="BT13" s="56">
        <v>2.3699999999999999E-2</v>
      </c>
      <c r="BU13" s="56">
        <v>2.9399999999999999E-2</v>
      </c>
      <c r="BV13" s="56" t="s">
        <v>161</v>
      </c>
      <c r="BW13" s="56">
        <v>5</v>
      </c>
      <c r="BX13" s="56">
        <v>1.55E-2</v>
      </c>
      <c r="BY13" s="56">
        <v>2.24E-2</v>
      </c>
      <c r="BZ13" s="56">
        <v>2.7199999999999998E-2</v>
      </c>
      <c r="CA13" s="56" t="s">
        <v>161</v>
      </c>
      <c r="CB13" s="56">
        <v>5</v>
      </c>
      <c r="CC13" s="29" t="s">
        <v>224</v>
      </c>
      <c r="CD13" s="56">
        <v>1</v>
      </c>
      <c r="CE13" s="56"/>
    </row>
    <row r="14" spans="1:83" ht="130.5">
      <c r="A14" s="26">
        <v>18</v>
      </c>
      <c r="B14" s="26" t="s">
        <v>248</v>
      </c>
      <c r="C14" s="26">
        <v>2017</v>
      </c>
      <c r="D14" s="26" t="s">
        <v>249</v>
      </c>
      <c r="E14" s="30">
        <v>44706</v>
      </c>
      <c r="F14" s="31" t="s">
        <v>90</v>
      </c>
      <c r="G14" s="31" t="s">
        <v>483</v>
      </c>
      <c r="H14" s="31"/>
      <c r="I14" s="31" t="s">
        <v>716</v>
      </c>
      <c r="J14" s="26" t="s">
        <v>251</v>
      </c>
      <c r="K14" s="26" t="s">
        <v>97</v>
      </c>
      <c r="L14" s="26" t="s">
        <v>137</v>
      </c>
      <c r="M14" s="26" t="s">
        <v>95</v>
      </c>
      <c r="N14" s="26" t="s">
        <v>252</v>
      </c>
      <c r="O14" s="26" t="s">
        <v>97</v>
      </c>
      <c r="P14" s="26" t="s">
        <v>97</v>
      </c>
      <c r="S14" s="26" t="s">
        <v>90</v>
      </c>
      <c r="T14" s="26" t="s">
        <v>141</v>
      </c>
      <c r="U14" s="26" t="s">
        <v>99</v>
      </c>
      <c r="V14" s="26">
        <v>1</v>
      </c>
      <c r="W14" s="26" t="s">
        <v>253</v>
      </c>
      <c r="X14" s="26" t="s">
        <v>254</v>
      </c>
      <c r="Y14" s="26" t="s">
        <v>102</v>
      </c>
      <c r="Z14" s="26" t="s">
        <v>255</v>
      </c>
      <c r="AA14" s="26" t="s">
        <v>256</v>
      </c>
      <c r="AB14" s="26" t="s">
        <v>105</v>
      </c>
      <c r="AC14" s="26" t="s">
        <v>257</v>
      </c>
      <c r="AD14" s="26" t="s">
        <v>258</v>
      </c>
      <c r="AE14" s="26" t="s">
        <v>148</v>
      </c>
      <c r="AF14" s="26">
        <v>1</v>
      </c>
      <c r="AG14" s="26" t="s">
        <v>160</v>
      </c>
      <c r="AH14" s="26" t="s">
        <v>155</v>
      </c>
      <c r="AI14" s="26" t="s">
        <v>150</v>
      </c>
      <c r="AJ14" s="26">
        <v>2</v>
      </c>
      <c r="AK14" s="26" t="s">
        <v>151</v>
      </c>
      <c r="AL14" s="26" t="s">
        <v>94</v>
      </c>
      <c r="AM14" s="26" t="s">
        <v>94</v>
      </c>
      <c r="AN14" s="26" t="s">
        <v>152</v>
      </c>
      <c r="AO14" s="26">
        <v>2</v>
      </c>
      <c r="AP14" s="26" t="s">
        <v>155</v>
      </c>
      <c r="AQ14" s="26" t="s">
        <v>119</v>
      </c>
      <c r="AR14" s="26" t="s">
        <v>114</v>
      </c>
      <c r="AS14" s="26" t="s">
        <v>120</v>
      </c>
      <c r="AT14" s="26" t="s">
        <v>116</v>
      </c>
      <c r="AU14" s="26" t="s">
        <v>259</v>
      </c>
      <c r="AV14" s="26">
        <v>5</v>
      </c>
      <c r="BO14" s="31" t="s">
        <v>238</v>
      </c>
      <c r="BP14" s="31" t="s">
        <v>484</v>
      </c>
      <c r="BQ14" s="31"/>
      <c r="BR14" s="31" t="s">
        <v>261</v>
      </c>
      <c r="BS14" s="31">
        <v>0.45</v>
      </c>
      <c r="BT14" s="31">
        <v>0.46600000000000003</v>
      </c>
      <c r="BU14" s="31">
        <v>0.48499999999999999</v>
      </c>
      <c r="BV14" s="31" t="s">
        <v>129</v>
      </c>
      <c r="BW14" s="31">
        <v>13</v>
      </c>
      <c r="BX14" s="31">
        <v>0.623</v>
      </c>
      <c r="BY14" s="31">
        <v>0.63500000000000001</v>
      </c>
      <c r="BZ14" s="31">
        <v>0.64600000000000002</v>
      </c>
      <c r="CA14" s="31" t="s">
        <v>129</v>
      </c>
      <c r="CB14" s="31">
        <v>13</v>
      </c>
      <c r="CC14" s="31" t="s">
        <v>262</v>
      </c>
      <c r="CD14" s="31">
        <v>1</v>
      </c>
      <c r="CE14" s="31"/>
    </row>
    <row r="15" spans="1:83" ht="130.5">
      <c r="A15" s="26">
        <v>18</v>
      </c>
      <c r="B15" s="26" t="s">
        <v>248</v>
      </c>
      <c r="C15" s="26">
        <v>2017</v>
      </c>
      <c r="D15" s="26" t="s">
        <v>249</v>
      </c>
      <c r="E15" s="30">
        <v>44706</v>
      </c>
      <c r="F15" s="31" t="s">
        <v>90</v>
      </c>
      <c r="G15" s="31" t="s">
        <v>483</v>
      </c>
      <c r="H15" s="31"/>
      <c r="I15" s="31"/>
      <c r="J15" s="26" t="s">
        <v>251</v>
      </c>
      <c r="K15" s="26" t="s">
        <v>97</v>
      </c>
      <c r="L15" s="26" t="s">
        <v>137</v>
      </c>
      <c r="M15" s="26" t="s">
        <v>95</v>
      </c>
      <c r="N15" s="26" t="s">
        <v>252</v>
      </c>
      <c r="O15" s="26" t="s">
        <v>97</v>
      </c>
      <c r="P15" s="26" t="s">
        <v>97</v>
      </c>
      <c r="S15" s="26" t="s">
        <v>90</v>
      </c>
      <c r="T15" s="26" t="s">
        <v>141</v>
      </c>
      <c r="U15" s="26" t="s">
        <v>99</v>
      </c>
      <c r="V15" s="26">
        <v>1</v>
      </c>
      <c r="W15" s="26" t="s">
        <v>253</v>
      </c>
      <c r="X15" s="26" t="s">
        <v>254</v>
      </c>
      <c r="Y15" s="26" t="s">
        <v>102</v>
      </c>
      <c r="Z15" s="26" t="s">
        <v>255</v>
      </c>
      <c r="AA15" s="26" t="s">
        <v>256</v>
      </c>
      <c r="AB15" s="26" t="s">
        <v>105</v>
      </c>
      <c r="AC15" s="26" t="s">
        <v>257</v>
      </c>
      <c r="AD15" s="26" t="s">
        <v>258</v>
      </c>
      <c r="AE15" s="26" t="s">
        <v>148</v>
      </c>
      <c r="AF15" s="26">
        <v>1</v>
      </c>
      <c r="AG15" s="26" t="s">
        <v>160</v>
      </c>
      <c r="AH15" s="26" t="s">
        <v>155</v>
      </c>
      <c r="AI15" s="26" t="s">
        <v>150</v>
      </c>
      <c r="AJ15" s="26">
        <v>2</v>
      </c>
      <c r="AK15" s="26" t="s">
        <v>151</v>
      </c>
      <c r="AL15" s="26" t="s">
        <v>94</v>
      </c>
      <c r="AM15" s="26" t="s">
        <v>94</v>
      </c>
      <c r="AN15" s="26" t="s">
        <v>152</v>
      </c>
      <c r="AO15" s="26">
        <v>2</v>
      </c>
      <c r="AP15" s="26" t="s">
        <v>155</v>
      </c>
      <c r="AQ15" s="26" t="s">
        <v>119</v>
      </c>
      <c r="AR15" s="26" t="s">
        <v>114</v>
      </c>
      <c r="AS15" s="26" t="s">
        <v>120</v>
      </c>
      <c r="AT15" s="26" t="s">
        <v>116</v>
      </c>
      <c r="AU15" s="26" t="s">
        <v>259</v>
      </c>
      <c r="AV15" s="26">
        <v>5</v>
      </c>
      <c r="BO15" s="31" t="s">
        <v>238</v>
      </c>
      <c r="BP15" s="31" t="s">
        <v>260</v>
      </c>
      <c r="BQ15" s="31"/>
      <c r="BR15" s="31" t="s">
        <v>261</v>
      </c>
      <c r="BS15" s="31">
        <v>0.46200000000000002</v>
      </c>
      <c r="BT15" s="31">
        <v>0.48399999999999999</v>
      </c>
      <c r="BU15" s="31">
        <v>0.50700000000000001</v>
      </c>
      <c r="BV15" s="31" t="s">
        <v>129</v>
      </c>
      <c r="BW15" s="31">
        <v>13</v>
      </c>
      <c r="BX15" s="31">
        <v>0.61899999999999999</v>
      </c>
      <c r="BY15" s="31">
        <v>0.63200000000000001</v>
      </c>
      <c r="BZ15" s="31">
        <v>0.64500000000000002</v>
      </c>
      <c r="CA15" s="31" t="s">
        <v>129</v>
      </c>
      <c r="CB15" s="31">
        <v>13</v>
      </c>
      <c r="CC15" s="31" t="s">
        <v>262</v>
      </c>
      <c r="CD15" s="31">
        <v>1</v>
      </c>
      <c r="CE15" s="31"/>
    </row>
    <row r="16" spans="1:83" ht="130.5">
      <c r="A16" s="26">
        <v>18</v>
      </c>
      <c r="B16" s="26" t="s">
        <v>248</v>
      </c>
      <c r="C16" s="26">
        <v>2017</v>
      </c>
      <c r="D16" s="26" t="s">
        <v>249</v>
      </c>
      <c r="E16" s="30">
        <v>44706</v>
      </c>
      <c r="F16" s="31" t="s">
        <v>90</v>
      </c>
      <c r="G16" s="31" t="s">
        <v>483</v>
      </c>
      <c r="H16" s="31"/>
      <c r="I16" s="31"/>
      <c r="J16" s="26" t="s">
        <v>251</v>
      </c>
      <c r="K16" s="26" t="s">
        <v>97</v>
      </c>
      <c r="L16" s="26" t="s">
        <v>137</v>
      </c>
      <c r="M16" s="26" t="s">
        <v>95</v>
      </c>
      <c r="N16" s="26" t="s">
        <v>252</v>
      </c>
      <c r="O16" s="26" t="s">
        <v>97</v>
      </c>
      <c r="P16" s="26" t="s">
        <v>97</v>
      </c>
      <c r="S16" s="26" t="s">
        <v>90</v>
      </c>
      <c r="T16" s="26" t="s">
        <v>141</v>
      </c>
      <c r="U16" s="26" t="s">
        <v>99</v>
      </c>
      <c r="V16" s="26">
        <v>1</v>
      </c>
      <c r="W16" s="26" t="s">
        <v>253</v>
      </c>
      <c r="X16" s="26" t="s">
        <v>254</v>
      </c>
      <c r="Y16" s="26" t="s">
        <v>102</v>
      </c>
      <c r="Z16" s="26" t="s">
        <v>255</v>
      </c>
      <c r="AA16" s="26" t="s">
        <v>256</v>
      </c>
      <c r="AB16" s="26" t="s">
        <v>105</v>
      </c>
      <c r="AC16" s="26" t="s">
        <v>257</v>
      </c>
      <c r="AD16" s="26" t="s">
        <v>258</v>
      </c>
      <c r="AE16" s="26" t="s">
        <v>148</v>
      </c>
      <c r="AF16" s="26">
        <v>1</v>
      </c>
      <c r="AG16" s="26" t="s">
        <v>160</v>
      </c>
      <c r="AH16" s="26" t="s">
        <v>155</v>
      </c>
      <c r="AI16" s="26" t="s">
        <v>150</v>
      </c>
      <c r="AJ16" s="26">
        <v>2</v>
      </c>
      <c r="AK16" s="26" t="s">
        <v>151</v>
      </c>
      <c r="AL16" s="26" t="s">
        <v>94</v>
      </c>
      <c r="AM16" s="26" t="s">
        <v>94</v>
      </c>
      <c r="AN16" s="26" t="s">
        <v>152</v>
      </c>
      <c r="AO16" s="26">
        <v>2</v>
      </c>
      <c r="AP16" s="26" t="s">
        <v>155</v>
      </c>
      <c r="AQ16" s="26" t="s">
        <v>119</v>
      </c>
      <c r="AR16" s="26" t="s">
        <v>114</v>
      </c>
      <c r="AS16" s="26" t="s">
        <v>120</v>
      </c>
      <c r="AT16" s="26" t="s">
        <v>116</v>
      </c>
      <c r="AU16" s="26" t="s">
        <v>259</v>
      </c>
      <c r="AV16" s="26">
        <v>5</v>
      </c>
      <c r="BO16" s="31" t="s">
        <v>238</v>
      </c>
      <c r="BP16" s="31" t="s">
        <v>264</v>
      </c>
      <c r="BQ16" s="31"/>
      <c r="BR16" s="31" t="s">
        <v>261</v>
      </c>
      <c r="BS16" s="31">
        <v>0.54400000000000004</v>
      </c>
      <c r="BT16" s="31">
        <v>0.55400000000000005</v>
      </c>
      <c r="BU16" s="31">
        <v>0.56699999999999995</v>
      </c>
      <c r="BV16" s="31" t="s">
        <v>129</v>
      </c>
      <c r="BW16" s="31">
        <v>13</v>
      </c>
      <c r="BX16" s="31">
        <v>0.67900000000000005</v>
      </c>
      <c r="BY16" s="31">
        <v>0.7</v>
      </c>
      <c r="BZ16" s="31">
        <v>0.71899999999999997</v>
      </c>
      <c r="CA16" s="31" t="s">
        <v>129</v>
      </c>
      <c r="CB16" s="31">
        <v>13</v>
      </c>
      <c r="CC16" s="31" t="s">
        <v>262</v>
      </c>
      <c r="CD16" s="31">
        <v>1</v>
      </c>
      <c r="CE16" s="31"/>
    </row>
    <row r="17" spans="1:83" ht="130.5">
      <c r="A17" s="26">
        <v>18</v>
      </c>
      <c r="B17" s="26" t="s">
        <v>248</v>
      </c>
      <c r="C17" s="26">
        <v>2017</v>
      </c>
      <c r="D17" s="26" t="s">
        <v>249</v>
      </c>
      <c r="E17" s="30">
        <v>44706</v>
      </c>
      <c r="F17" s="31" t="s">
        <v>90</v>
      </c>
      <c r="G17" s="31" t="s">
        <v>483</v>
      </c>
      <c r="H17" s="31"/>
      <c r="I17" s="31"/>
      <c r="J17" s="26" t="s">
        <v>251</v>
      </c>
      <c r="K17" s="26" t="s">
        <v>97</v>
      </c>
      <c r="L17" s="26" t="s">
        <v>137</v>
      </c>
      <c r="M17" s="26" t="s">
        <v>95</v>
      </c>
      <c r="N17" s="26" t="s">
        <v>252</v>
      </c>
      <c r="O17" s="26" t="s">
        <v>97</v>
      </c>
      <c r="P17" s="26" t="s">
        <v>97</v>
      </c>
      <c r="S17" s="26" t="s">
        <v>90</v>
      </c>
      <c r="T17" s="26" t="s">
        <v>141</v>
      </c>
      <c r="U17" s="26" t="s">
        <v>99</v>
      </c>
      <c r="V17" s="26">
        <v>1</v>
      </c>
      <c r="W17" s="26" t="s">
        <v>253</v>
      </c>
      <c r="X17" s="26" t="s">
        <v>254</v>
      </c>
      <c r="Y17" s="26" t="s">
        <v>102</v>
      </c>
      <c r="Z17" s="26" t="s">
        <v>255</v>
      </c>
      <c r="AA17" s="26" t="s">
        <v>256</v>
      </c>
      <c r="AB17" s="26" t="s">
        <v>105</v>
      </c>
      <c r="AC17" s="26" t="s">
        <v>257</v>
      </c>
      <c r="AD17" s="26" t="s">
        <v>258</v>
      </c>
      <c r="AE17" s="26" t="s">
        <v>148</v>
      </c>
      <c r="AF17" s="26">
        <v>1</v>
      </c>
      <c r="AG17" s="26" t="s">
        <v>160</v>
      </c>
      <c r="AH17" s="26" t="s">
        <v>155</v>
      </c>
      <c r="AI17" s="26" t="s">
        <v>150</v>
      </c>
      <c r="AJ17" s="26">
        <v>2</v>
      </c>
      <c r="AK17" s="26" t="s">
        <v>151</v>
      </c>
      <c r="AL17" s="26" t="s">
        <v>94</v>
      </c>
      <c r="AM17" s="26" t="s">
        <v>94</v>
      </c>
      <c r="AN17" s="26" t="s">
        <v>152</v>
      </c>
      <c r="AO17" s="26">
        <v>2</v>
      </c>
      <c r="AP17" s="26" t="s">
        <v>155</v>
      </c>
      <c r="AQ17" s="26" t="s">
        <v>119</v>
      </c>
      <c r="AR17" s="26" t="s">
        <v>114</v>
      </c>
      <c r="AS17" s="26" t="s">
        <v>120</v>
      </c>
      <c r="AT17" s="26" t="s">
        <v>116</v>
      </c>
      <c r="AU17" s="26" t="s">
        <v>259</v>
      </c>
      <c r="AV17" s="26">
        <v>5</v>
      </c>
      <c r="BO17" s="31" t="s">
        <v>238</v>
      </c>
      <c r="BP17" s="31" t="s">
        <v>485</v>
      </c>
      <c r="BQ17" s="31"/>
      <c r="BR17" s="31" t="s">
        <v>261</v>
      </c>
      <c r="BS17" s="31">
        <v>0.501</v>
      </c>
      <c r="BT17" s="31">
        <v>0.50600000000000001</v>
      </c>
      <c r="BU17" s="31">
        <v>0.52300000000000002</v>
      </c>
      <c r="BV17" s="31" t="s">
        <v>129</v>
      </c>
      <c r="BW17" s="31">
        <v>13</v>
      </c>
      <c r="BX17" s="31">
        <v>0.61799999999999999</v>
      </c>
      <c r="BY17" s="31">
        <v>0.625</v>
      </c>
      <c r="BZ17" s="31">
        <v>0.63700000000000001</v>
      </c>
      <c r="CA17" s="31" t="s">
        <v>129</v>
      </c>
      <c r="CB17" s="31">
        <v>13</v>
      </c>
      <c r="CC17" s="31" t="s">
        <v>262</v>
      </c>
      <c r="CD17" s="31">
        <v>1</v>
      </c>
      <c r="CE17" s="31"/>
    </row>
    <row r="18" spans="1:83" ht="130.5">
      <c r="A18" s="26">
        <v>18</v>
      </c>
      <c r="B18" s="26" t="s">
        <v>248</v>
      </c>
      <c r="C18" s="26">
        <v>2017</v>
      </c>
      <c r="D18" s="26" t="s">
        <v>249</v>
      </c>
      <c r="E18" s="30">
        <v>44706</v>
      </c>
      <c r="F18" s="31" t="s">
        <v>90</v>
      </c>
      <c r="G18" s="31" t="s">
        <v>483</v>
      </c>
      <c r="H18" s="31"/>
      <c r="I18" s="31"/>
      <c r="J18" s="26" t="s">
        <v>251</v>
      </c>
      <c r="K18" s="26" t="s">
        <v>97</v>
      </c>
      <c r="L18" s="26" t="s">
        <v>137</v>
      </c>
      <c r="M18" s="26" t="s">
        <v>95</v>
      </c>
      <c r="N18" s="26" t="s">
        <v>252</v>
      </c>
      <c r="O18" s="26" t="s">
        <v>97</v>
      </c>
      <c r="P18" s="26" t="s">
        <v>97</v>
      </c>
      <c r="S18" s="26" t="s">
        <v>90</v>
      </c>
      <c r="T18" s="26" t="s">
        <v>141</v>
      </c>
      <c r="U18" s="26" t="s">
        <v>99</v>
      </c>
      <c r="V18" s="26">
        <v>1</v>
      </c>
      <c r="W18" s="26" t="s">
        <v>253</v>
      </c>
      <c r="X18" s="26" t="s">
        <v>254</v>
      </c>
      <c r="Y18" s="26" t="s">
        <v>102</v>
      </c>
      <c r="Z18" s="26" t="s">
        <v>255</v>
      </c>
      <c r="AA18" s="26" t="s">
        <v>256</v>
      </c>
      <c r="AB18" s="26" t="s">
        <v>105</v>
      </c>
      <c r="AC18" s="26" t="s">
        <v>257</v>
      </c>
      <c r="AD18" s="26" t="s">
        <v>258</v>
      </c>
      <c r="AE18" s="26" t="s">
        <v>148</v>
      </c>
      <c r="AF18" s="26">
        <v>1</v>
      </c>
      <c r="AG18" s="26" t="s">
        <v>160</v>
      </c>
      <c r="AH18" s="26" t="s">
        <v>155</v>
      </c>
      <c r="AI18" s="26" t="s">
        <v>150</v>
      </c>
      <c r="AJ18" s="26">
        <v>2</v>
      </c>
      <c r="AK18" s="26" t="s">
        <v>151</v>
      </c>
      <c r="AL18" s="26" t="s">
        <v>94</v>
      </c>
      <c r="AM18" s="26" t="s">
        <v>94</v>
      </c>
      <c r="AN18" s="26" t="s">
        <v>152</v>
      </c>
      <c r="AO18" s="26">
        <v>2</v>
      </c>
      <c r="AP18" s="26" t="s">
        <v>155</v>
      </c>
      <c r="AQ18" s="26" t="s">
        <v>119</v>
      </c>
      <c r="AR18" s="26" t="s">
        <v>114</v>
      </c>
      <c r="AS18" s="26" t="s">
        <v>120</v>
      </c>
      <c r="AT18" s="26" t="s">
        <v>116</v>
      </c>
      <c r="AU18" s="26" t="s">
        <v>259</v>
      </c>
      <c r="AV18" s="26">
        <v>5</v>
      </c>
      <c r="BO18" s="31" t="s">
        <v>238</v>
      </c>
      <c r="BP18" s="31" t="s">
        <v>486</v>
      </c>
      <c r="BQ18" s="31"/>
      <c r="BR18" s="31" t="s">
        <v>261</v>
      </c>
      <c r="BS18" s="31">
        <v>0.53200000000000003</v>
      </c>
      <c r="BT18" s="31">
        <v>0.54300000000000004</v>
      </c>
      <c r="BU18" s="31">
        <v>0.55900000000000005</v>
      </c>
      <c r="BV18" s="31" t="s">
        <v>129</v>
      </c>
      <c r="BW18" s="31">
        <v>13</v>
      </c>
      <c r="BX18" s="31">
        <v>0.66600000000000004</v>
      </c>
      <c r="BY18" s="31">
        <v>0.67500000000000004</v>
      </c>
      <c r="BZ18" s="31">
        <v>0.68600000000000005</v>
      </c>
      <c r="CA18" s="31" t="s">
        <v>129</v>
      </c>
      <c r="CB18" s="31">
        <v>13</v>
      </c>
      <c r="CC18" s="31" t="s">
        <v>262</v>
      </c>
      <c r="CD18" s="31">
        <v>1</v>
      </c>
      <c r="CE18" s="31"/>
    </row>
    <row r="19" spans="1:83" ht="101.5">
      <c r="A19" s="26">
        <v>19</v>
      </c>
      <c r="B19" s="26" t="s">
        <v>266</v>
      </c>
      <c r="C19" s="26">
        <v>2017</v>
      </c>
      <c r="D19" s="26" t="s">
        <v>267</v>
      </c>
      <c r="E19" s="30">
        <v>44705</v>
      </c>
      <c r="F19" s="31" t="s">
        <v>90</v>
      </c>
      <c r="G19" s="31" t="s">
        <v>483</v>
      </c>
      <c r="H19" s="31"/>
      <c r="I19" s="32" t="s">
        <v>487</v>
      </c>
      <c r="J19" s="26" t="s">
        <v>488</v>
      </c>
      <c r="K19" s="26" t="s">
        <v>97</v>
      </c>
      <c r="L19" s="26" t="s">
        <v>137</v>
      </c>
      <c r="M19" s="26" t="s">
        <v>138</v>
      </c>
      <c r="N19" s="26" t="s">
        <v>270</v>
      </c>
      <c r="O19" s="26" t="s">
        <v>90</v>
      </c>
      <c r="P19" s="26" t="s">
        <v>97</v>
      </c>
      <c r="Q19" s="26" t="s">
        <v>271</v>
      </c>
      <c r="S19" s="26" t="s">
        <v>90</v>
      </c>
      <c r="T19" s="26" t="s">
        <v>98</v>
      </c>
      <c r="U19" s="26" t="s">
        <v>99</v>
      </c>
      <c r="V19" s="26">
        <v>1</v>
      </c>
      <c r="W19" s="26" t="s">
        <v>272</v>
      </c>
      <c r="X19" s="26" t="s">
        <v>273</v>
      </c>
      <c r="Y19" s="26" t="s">
        <v>102</v>
      </c>
      <c r="Z19" s="26" t="s">
        <v>274</v>
      </c>
      <c r="AA19" s="26" t="s">
        <v>256</v>
      </c>
      <c r="AB19" s="26" t="s">
        <v>20</v>
      </c>
      <c r="AC19" s="26" t="s">
        <v>275</v>
      </c>
      <c r="AD19" s="26" t="s">
        <v>276</v>
      </c>
      <c r="AE19" s="26" t="s">
        <v>148</v>
      </c>
      <c r="AF19" s="26">
        <v>1</v>
      </c>
      <c r="AG19" s="26" t="s">
        <v>160</v>
      </c>
      <c r="AH19" s="26" t="s">
        <v>155</v>
      </c>
      <c r="AI19" s="26" t="s">
        <v>110</v>
      </c>
      <c r="AJ19" s="26">
        <v>2</v>
      </c>
      <c r="AK19" s="26" t="s">
        <v>151</v>
      </c>
      <c r="AL19" s="26" t="s">
        <v>94</v>
      </c>
      <c r="AM19" s="26" t="s">
        <v>94</v>
      </c>
      <c r="AN19" s="26" t="s">
        <v>152</v>
      </c>
      <c r="AO19" s="26">
        <v>2</v>
      </c>
      <c r="AP19" s="26" t="s">
        <v>155</v>
      </c>
      <c r="AQ19" s="26" t="s">
        <v>119</v>
      </c>
      <c r="AR19" s="26" t="s">
        <v>114</v>
      </c>
      <c r="AS19" s="26" t="s">
        <v>120</v>
      </c>
      <c r="AT19" s="26" t="s">
        <v>116</v>
      </c>
      <c r="AU19" s="26" t="s">
        <v>277</v>
      </c>
      <c r="AV19" s="26">
        <v>2</v>
      </c>
      <c r="BO19" s="31" t="s">
        <v>238</v>
      </c>
      <c r="BP19" s="31">
        <v>18.186</v>
      </c>
      <c r="BQ19" s="31"/>
      <c r="BR19" s="31" t="s">
        <v>278</v>
      </c>
      <c r="BS19" s="31" t="s">
        <v>111</v>
      </c>
      <c r="BT19" s="31">
        <v>7.0000000000000007E-2</v>
      </c>
      <c r="BU19" s="31">
        <v>0.1</v>
      </c>
      <c r="BV19" s="31" t="s">
        <v>129</v>
      </c>
      <c r="BW19" s="31">
        <v>5</v>
      </c>
      <c r="BX19" s="31" t="s">
        <v>111</v>
      </c>
      <c r="BY19" s="31">
        <v>4.9000000000000002E-2</v>
      </c>
      <c r="BZ19" s="31">
        <v>6.7000000000000004E-2</v>
      </c>
      <c r="CA19" s="31" t="s">
        <v>129</v>
      </c>
      <c r="CB19" s="31">
        <v>5</v>
      </c>
      <c r="CC19" s="31" t="s">
        <v>279</v>
      </c>
      <c r="CD19" s="31">
        <v>4</v>
      </c>
      <c r="CE19" s="31" t="s">
        <v>280</v>
      </c>
    </row>
    <row r="20" spans="1:83" ht="101.5">
      <c r="A20" s="26">
        <v>19</v>
      </c>
      <c r="B20" s="26" t="s">
        <v>266</v>
      </c>
      <c r="C20" s="26">
        <v>2017</v>
      </c>
      <c r="D20" s="26" t="s">
        <v>267</v>
      </c>
      <c r="E20" s="30">
        <v>44705</v>
      </c>
      <c r="F20" s="31" t="s">
        <v>90</v>
      </c>
      <c r="G20" s="31" t="s">
        <v>483</v>
      </c>
      <c r="H20" s="31"/>
      <c r="I20" s="32" t="s">
        <v>487</v>
      </c>
      <c r="J20" s="26" t="s">
        <v>488</v>
      </c>
      <c r="K20" s="26" t="s">
        <v>97</v>
      </c>
      <c r="L20" s="26" t="s">
        <v>137</v>
      </c>
      <c r="M20" s="26" t="s">
        <v>138</v>
      </c>
      <c r="N20" s="26" t="s">
        <v>270</v>
      </c>
      <c r="O20" s="26" t="s">
        <v>90</v>
      </c>
      <c r="P20" s="26" t="s">
        <v>97</v>
      </c>
      <c r="Q20" s="26" t="s">
        <v>271</v>
      </c>
      <c r="S20" s="26" t="s">
        <v>90</v>
      </c>
      <c r="T20" s="26" t="s">
        <v>98</v>
      </c>
      <c r="U20" s="26" t="s">
        <v>99</v>
      </c>
      <c r="V20" s="26">
        <v>1</v>
      </c>
      <c r="W20" s="26" t="s">
        <v>272</v>
      </c>
      <c r="X20" s="26" t="s">
        <v>273</v>
      </c>
      <c r="Y20" s="26" t="s">
        <v>102</v>
      </c>
      <c r="Z20" s="26" t="s">
        <v>274</v>
      </c>
      <c r="AA20" s="26" t="s">
        <v>256</v>
      </c>
      <c r="AB20" s="26" t="s">
        <v>20</v>
      </c>
      <c r="AC20" s="26" t="s">
        <v>275</v>
      </c>
      <c r="AD20" s="26" t="s">
        <v>276</v>
      </c>
      <c r="AE20" s="26" t="s">
        <v>148</v>
      </c>
      <c r="AF20" s="26">
        <v>1</v>
      </c>
      <c r="AG20" s="26" t="s">
        <v>160</v>
      </c>
      <c r="AH20" s="26" t="s">
        <v>155</v>
      </c>
      <c r="AI20" s="26" t="s">
        <v>110</v>
      </c>
      <c r="AJ20" s="26">
        <v>2</v>
      </c>
      <c r="AK20" s="26" t="s">
        <v>151</v>
      </c>
      <c r="AL20" s="26" t="s">
        <v>94</v>
      </c>
      <c r="AM20" s="26" t="s">
        <v>94</v>
      </c>
      <c r="AN20" s="26" t="s">
        <v>152</v>
      </c>
      <c r="AO20" s="26">
        <v>2</v>
      </c>
      <c r="AP20" s="26" t="s">
        <v>155</v>
      </c>
      <c r="AQ20" s="26" t="s">
        <v>119</v>
      </c>
      <c r="AR20" s="26" t="s">
        <v>114</v>
      </c>
      <c r="AS20" s="26" t="s">
        <v>120</v>
      </c>
      <c r="AT20" s="26" t="s">
        <v>116</v>
      </c>
      <c r="AU20" s="26" t="s">
        <v>277</v>
      </c>
      <c r="AV20" s="26">
        <v>2</v>
      </c>
      <c r="BO20" s="31" t="s">
        <v>238</v>
      </c>
      <c r="BP20" s="31">
        <v>18.204000000000001</v>
      </c>
      <c r="BQ20" s="31"/>
      <c r="BR20" s="31" t="s">
        <v>278</v>
      </c>
      <c r="BS20" s="31" t="s">
        <v>111</v>
      </c>
      <c r="BT20" s="31">
        <v>0.01</v>
      </c>
      <c r="BU20" s="31">
        <v>1.7000000000000001E-2</v>
      </c>
      <c r="BV20" s="31" t="s">
        <v>129</v>
      </c>
      <c r="BW20" s="31">
        <v>5</v>
      </c>
      <c r="BX20" s="31" t="s">
        <v>111</v>
      </c>
      <c r="BY20" s="31">
        <v>1.6E-2</v>
      </c>
      <c r="BZ20" s="31">
        <v>0.02</v>
      </c>
      <c r="CA20" s="31" t="s">
        <v>129</v>
      </c>
      <c r="CB20" s="31">
        <v>5</v>
      </c>
      <c r="CC20" s="31" t="s">
        <v>279</v>
      </c>
      <c r="CD20" s="31">
        <v>4</v>
      </c>
      <c r="CE20" s="31" t="s">
        <v>280</v>
      </c>
    </row>
    <row r="21" spans="1:83" ht="101.5">
      <c r="A21" s="26">
        <v>19</v>
      </c>
      <c r="B21" s="26" t="s">
        <v>266</v>
      </c>
      <c r="C21" s="26">
        <v>2017</v>
      </c>
      <c r="D21" s="26" t="s">
        <v>267</v>
      </c>
      <c r="E21" s="30">
        <v>44705</v>
      </c>
      <c r="F21" s="31" t="s">
        <v>90</v>
      </c>
      <c r="G21" s="31" t="s">
        <v>483</v>
      </c>
      <c r="H21" s="31"/>
      <c r="I21" s="32" t="s">
        <v>487</v>
      </c>
      <c r="J21" s="26" t="s">
        <v>488</v>
      </c>
      <c r="K21" s="26" t="s">
        <v>97</v>
      </c>
      <c r="L21" s="26" t="s">
        <v>137</v>
      </c>
      <c r="M21" s="26" t="s">
        <v>138</v>
      </c>
      <c r="N21" s="26" t="s">
        <v>270</v>
      </c>
      <c r="O21" s="26" t="s">
        <v>90</v>
      </c>
      <c r="P21" s="26" t="s">
        <v>97</v>
      </c>
      <c r="Q21" s="26" t="s">
        <v>271</v>
      </c>
      <c r="S21" s="26" t="s">
        <v>90</v>
      </c>
      <c r="T21" s="26" t="s">
        <v>98</v>
      </c>
      <c r="U21" s="26" t="s">
        <v>99</v>
      </c>
      <c r="V21" s="26">
        <v>1</v>
      </c>
      <c r="W21" s="26" t="s">
        <v>272</v>
      </c>
      <c r="X21" s="26" t="s">
        <v>273</v>
      </c>
      <c r="Y21" s="26" t="s">
        <v>102</v>
      </c>
      <c r="Z21" s="26" t="s">
        <v>274</v>
      </c>
      <c r="AA21" s="26" t="s">
        <v>256</v>
      </c>
      <c r="AB21" s="26" t="s">
        <v>20</v>
      </c>
      <c r="AC21" s="26" t="s">
        <v>275</v>
      </c>
      <c r="AD21" s="26" t="s">
        <v>276</v>
      </c>
      <c r="AE21" s="26" t="s">
        <v>148</v>
      </c>
      <c r="AF21" s="26">
        <v>1</v>
      </c>
      <c r="AG21" s="26" t="s">
        <v>160</v>
      </c>
      <c r="AH21" s="26" t="s">
        <v>155</v>
      </c>
      <c r="AI21" s="26" t="s">
        <v>110</v>
      </c>
      <c r="AJ21" s="26">
        <v>2</v>
      </c>
      <c r="AK21" s="26" t="s">
        <v>151</v>
      </c>
      <c r="AL21" s="26" t="s">
        <v>94</v>
      </c>
      <c r="AM21" s="26" t="s">
        <v>94</v>
      </c>
      <c r="AN21" s="26" t="s">
        <v>152</v>
      </c>
      <c r="AO21" s="26">
        <v>2</v>
      </c>
      <c r="AP21" s="26" t="s">
        <v>155</v>
      </c>
      <c r="AQ21" s="26" t="s">
        <v>119</v>
      </c>
      <c r="AR21" s="26" t="s">
        <v>114</v>
      </c>
      <c r="AS21" s="26" t="s">
        <v>120</v>
      </c>
      <c r="AT21" s="26" t="s">
        <v>116</v>
      </c>
      <c r="AU21" s="26" t="s">
        <v>277</v>
      </c>
      <c r="AV21" s="26">
        <v>2</v>
      </c>
      <c r="BO21" s="31" t="s">
        <v>238</v>
      </c>
      <c r="BP21" s="31">
        <v>21.326000000000001</v>
      </c>
      <c r="BQ21" s="31"/>
      <c r="BR21" s="31" t="s">
        <v>278</v>
      </c>
      <c r="BS21" s="31" t="s">
        <v>111</v>
      </c>
      <c r="BT21" s="31">
        <v>0.218</v>
      </c>
      <c r="BU21" s="31">
        <v>0.313</v>
      </c>
      <c r="BV21" s="31" t="s">
        <v>129</v>
      </c>
      <c r="BW21" s="31">
        <v>5</v>
      </c>
      <c r="BX21" s="31" t="s">
        <v>111</v>
      </c>
      <c r="BY21" s="31">
        <v>0.13200000000000001</v>
      </c>
      <c r="BZ21" s="31">
        <v>0.16300000000000001</v>
      </c>
      <c r="CA21" s="31" t="s">
        <v>129</v>
      </c>
      <c r="CB21" s="31">
        <v>5</v>
      </c>
      <c r="CC21" s="31" t="s">
        <v>279</v>
      </c>
      <c r="CD21" s="31">
        <v>4</v>
      </c>
      <c r="CE21" s="31" t="s">
        <v>280</v>
      </c>
    </row>
    <row r="22" spans="1:83" ht="101.5">
      <c r="A22" s="26">
        <v>19</v>
      </c>
      <c r="B22" s="26" t="s">
        <v>266</v>
      </c>
      <c r="C22" s="26">
        <v>2017</v>
      </c>
      <c r="D22" s="26" t="s">
        <v>267</v>
      </c>
      <c r="E22" s="30">
        <v>44705</v>
      </c>
      <c r="F22" s="31" t="s">
        <v>90</v>
      </c>
      <c r="G22" s="31" t="s">
        <v>483</v>
      </c>
      <c r="H22" s="31"/>
      <c r="I22" s="32" t="s">
        <v>487</v>
      </c>
      <c r="J22" s="26" t="s">
        <v>488</v>
      </c>
      <c r="K22" s="26" t="s">
        <v>97</v>
      </c>
      <c r="L22" s="26" t="s">
        <v>137</v>
      </c>
      <c r="M22" s="26" t="s">
        <v>138</v>
      </c>
      <c r="N22" s="26" t="s">
        <v>270</v>
      </c>
      <c r="O22" s="26" t="s">
        <v>90</v>
      </c>
      <c r="P22" s="26" t="s">
        <v>97</v>
      </c>
      <c r="Q22" s="26" t="s">
        <v>271</v>
      </c>
      <c r="S22" s="26" t="s">
        <v>90</v>
      </c>
      <c r="T22" s="26" t="s">
        <v>98</v>
      </c>
      <c r="U22" s="26" t="s">
        <v>99</v>
      </c>
      <c r="V22" s="26">
        <v>1</v>
      </c>
      <c r="W22" s="26" t="s">
        <v>272</v>
      </c>
      <c r="X22" s="26" t="s">
        <v>273</v>
      </c>
      <c r="Y22" s="26" t="s">
        <v>102</v>
      </c>
      <c r="Z22" s="26" t="s">
        <v>274</v>
      </c>
      <c r="AA22" s="26" t="s">
        <v>256</v>
      </c>
      <c r="AB22" s="26" t="s">
        <v>20</v>
      </c>
      <c r="AC22" s="26" t="s">
        <v>275</v>
      </c>
      <c r="AD22" s="26" t="s">
        <v>276</v>
      </c>
      <c r="AE22" s="26" t="s">
        <v>148</v>
      </c>
      <c r="AF22" s="26">
        <v>1</v>
      </c>
      <c r="AG22" s="26" t="s">
        <v>160</v>
      </c>
      <c r="AH22" s="26" t="s">
        <v>155</v>
      </c>
      <c r="AI22" s="26" t="s">
        <v>110</v>
      </c>
      <c r="AJ22" s="26">
        <v>2</v>
      </c>
      <c r="AK22" s="26" t="s">
        <v>151</v>
      </c>
      <c r="AL22" s="26" t="s">
        <v>94</v>
      </c>
      <c r="AM22" s="26" t="s">
        <v>94</v>
      </c>
      <c r="AN22" s="26" t="s">
        <v>152</v>
      </c>
      <c r="AO22" s="26">
        <v>2</v>
      </c>
      <c r="AP22" s="26" t="s">
        <v>155</v>
      </c>
      <c r="AQ22" s="26" t="s">
        <v>119</v>
      </c>
      <c r="AR22" s="26" t="s">
        <v>114</v>
      </c>
      <c r="AS22" s="26" t="s">
        <v>120</v>
      </c>
      <c r="AT22" s="26" t="s">
        <v>116</v>
      </c>
      <c r="AU22" s="26" t="s">
        <v>277</v>
      </c>
      <c r="AV22" s="26">
        <v>2</v>
      </c>
      <c r="BO22" s="31" t="s">
        <v>238</v>
      </c>
      <c r="BP22" s="31">
        <v>22.777999999999999</v>
      </c>
      <c r="BQ22" s="31"/>
      <c r="BR22" s="31" t="s">
        <v>278</v>
      </c>
      <c r="BS22" s="31" t="s">
        <v>111</v>
      </c>
      <c r="BT22" s="31">
        <v>0.27400000000000002</v>
      </c>
      <c r="BU22" s="31">
        <v>0.30299999999999999</v>
      </c>
      <c r="BV22" s="31" t="s">
        <v>129</v>
      </c>
      <c r="BW22" s="31">
        <v>4</v>
      </c>
      <c r="BX22" s="31" t="s">
        <v>111</v>
      </c>
      <c r="BY22" s="31">
        <v>1.0999999999999999E-2</v>
      </c>
      <c r="BZ22" s="31">
        <v>1.2E-2</v>
      </c>
      <c r="CA22" s="31" t="s">
        <v>129</v>
      </c>
      <c r="CB22" s="31">
        <v>4</v>
      </c>
      <c r="CC22" s="31" t="s">
        <v>279</v>
      </c>
      <c r="CD22" s="31">
        <v>4</v>
      </c>
      <c r="CE22" s="31" t="s">
        <v>280</v>
      </c>
    </row>
    <row r="23" spans="1:83">
      <c r="A23" s="151">
        <v>12</v>
      </c>
      <c r="B23" s="149" t="s">
        <v>499</v>
      </c>
      <c r="C23" s="149">
        <v>2016</v>
      </c>
      <c r="D23" s="149" t="s">
        <v>500</v>
      </c>
      <c r="E23" s="153">
        <v>44705</v>
      </c>
      <c r="F23" s="147" t="s">
        <v>90</v>
      </c>
      <c r="G23" s="147" t="s">
        <v>360</v>
      </c>
      <c r="H23" s="147"/>
      <c r="I23" s="147" t="s">
        <v>501</v>
      </c>
      <c r="J23" s="34" t="s">
        <v>502</v>
      </c>
      <c r="K23" s="149" t="s">
        <v>97</v>
      </c>
      <c r="L23" s="149" t="s">
        <v>97</v>
      </c>
      <c r="M23" s="149" t="s">
        <v>95</v>
      </c>
      <c r="N23" s="149" t="s">
        <v>503</v>
      </c>
      <c r="O23" s="149" t="s">
        <v>97</v>
      </c>
      <c r="P23" s="149" t="s">
        <v>97</v>
      </c>
      <c r="Q23" s="149"/>
      <c r="R23" s="149"/>
      <c r="S23" s="149" t="s">
        <v>90</v>
      </c>
      <c r="T23" s="149" t="s">
        <v>191</v>
      </c>
      <c r="U23" s="149" t="s">
        <v>99</v>
      </c>
      <c r="V23" s="149">
        <v>1</v>
      </c>
      <c r="W23" s="149" t="s">
        <v>504</v>
      </c>
      <c r="X23" s="149" t="s">
        <v>211</v>
      </c>
      <c r="Y23" s="149" t="s">
        <v>102</v>
      </c>
      <c r="Z23" s="149"/>
      <c r="AA23" s="149" t="s">
        <v>505</v>
      </c>
      <c r="AB23" s="149" t="s">
        <v>105</v>
      </c>
      <c r="AC23" s="149" t="s">
        <v>506</v>
      </c>
      <c r="AD23" s="149" t="s">
        <v>211</v>
      </c>
      <c r="AE23" s="149" t="s">
        <v>197</v>
      </c>
      <c r="AF23" s="149">
        <v>2</v>
      </c>
      <c r="AG23" s="149" t="s">
        <v>90</v>
      </c>
      <c r="AH23" s="149" t="s">
        <v>507</v>
      </c>
      <c r="AI23" s="149" t="s">
        <v>508</v>
      </c>
      <c r="AJ23" s="149">
        <v>2</v>
      </c>
      <c r="AK23" s="149" t="s">
        <v>99</v>
      </c>
      <c r="AL23" s="149" t="s">
        <v>94</v>
      </c>
      <c r="AM23" s="149" t="s">
        <v>94</v>
      </c>
      <c r="AN23" s="149" t="s">
        <v>160</v>
      </c>
      <c r="AO23" s="149" t="s">
        <v>160</v>
      </c>
      <c r="AP23" s="149" t="s">
        <v>155</v>
      </c>
      <c r="AQ23" s="149" t="s">
        <v>119</v>
      </c>
      <c r="AR23" s="149" t="s">
        <v>114</v>
      </c>
      <c r="AS23" s="149" t="s">
        <v>120</v>
      </c>
      <c r="AT23" s="149" t="s">
        <v>116</v>
      </c>
      <c r="AU23" s="149" t="s">
        <v>509</v>
      </c>
      <c r="AV23" s="149">
        <v>2</v>
      </c>
      <c r="AW23" s="149"/>
      <c r="AX23" s="149"/>
      <c r="AY23" s="149"/>
      <c r="AZ23" s="149"/>
      <c r="BA23" s="149"/>
      <c r="BB23" s="149"/>
      <c r="BC23" s="149"/>
      <c r="BD23" s="149"/>
      <c r="BE23" s="149"/>
      <c r="BF23" s="149"/>
      <c r="BG23" s="149"/>
      <c r="BH23" s="149"/>
      <c r="BI23" s="149"/>
      <c r="BJ23" s="149"/>
      <c r="BK23" s="149"/>
      <c r="BL23" s="149"/>
      <c r="BM23" s="149"/>
      <c r="BN23" s="149"/>
      <c r="BO23" s="147" t="s">
        <v>717</v>
      </c>
      <c r="BP23" s="147" t="s">
        <v>510</v>
      </c>
      <c r="BQ23" s="65"/>
      <c r="BR23" s="147" t="s">
        <v>512</v>
      </c>
      <c r="BS23" s="147" t="s">
        <v>111</v>
      </c>
      <c r="BT23" s="147">
        <v>21.545000000000002</v>
      </c>
      <c r="BU23" s="147">
        <v>22.606999999999999</v>
      </c>
      <c r="BV23" s="147" t="s">
        <v>129</v>
      </c>
      <c r="BW23" s="147">
        <v>8</v>
      </c>
      <c r="BX23" s="147" t="s">
        <v>111</v>
      </c>
      <c r="BY23" s="147">
        <v>19.161999999999999</v>
      </c>
      <c r="BZ23" s="147">
        <v>19.492000000000001</v>
      </c>
      <c r="CA23" s="147" t="s">
        <v>129</v>
      </c>
      <c r="CB23" s="147">
        <v>8</v>
      </c>
      <c r="CC23" s="147" t="s">
        <v>512</v>
      </c>
      <c r="CD23" s="147" t="s">
        <v>513</v>
      </c>
      <c r="CE23" s="147" t="s">
        <v>514</v>
      </c>
    </row>
    <row r="24" spans="1:83" ht="43.5">
      <c r="A24" s="152"/>
      <c r="B24" s="150"/>
      <c r="C24" s="150"/>
      <c r="D24" s="150"/>
      <c r="E24" s="154"/>
      <c r="F24" s="148"/>
      <c r="G24" s="148"/>
      <c r="H24" s="148"/>
      <c r="I24" s="148"/>
      <c r="J24" s="35" t="s">
        <v>718</v>
      </c>
      <c r="K24" s="150"/>
      <c r="L24" s="150"/>
      <c r="M24" s="150"/>
      <c r="N24" s="150"/>
      <c r="O24" s="150"/>
      <c r="P24" s="150"/>
      <c r="Q24" s="150"/>
      <c r="R24" s="150"/>
      <c r="S24" s="150"/>
      <c r="T24" s="150"/>
      <c r="U24" s="150"/>
      <c r="V24" s="150"/>
      <c r="W24" s="150"/>
      <c r="X24" s="150"/>
      <c r="Y24" s="150"/>
      <c r="Z24" s="150"/>
      <c r="AA24" s="150"/>
      <c r="AB24" s="150"/>
      <c r="AC24" s="150"/>
      <c r="AD24" s="150"/>
      <c r="AE24" s="150"/>
      <c r="AF24" s="150"/>
      <c r="AG24" s="150"/>
      <c r="AH24" s="150"/>
      <c r="AI24" s="150"/>
      <c r="AJ24" s="150"/>
      <c r="AK24" s="150"/>
      <c r="AL24" s="150"/>
      <c r="AM24" s="150"/>
      <c r="AN24" s="150"/>
      <c r="AO24" s="150"/>
      <c r="AP24" s="150"/>
      <c r="AQ24" s="150"/>
      <c r="AR24" s="150"/>
      <c r="AS24" s="150"/>
      <c r="AT24" s="150"/>
      <c r="AU24" s="150"/>
      <c r="AV24" s="150"/>
      <c r="AW24" s="150"/>
      <c r="AX24" s="150"/>
      <c r="AY24" s="150"/>
      <c r="AZ24" s="150"/>
      <c r="BA24" s="150"/>
      <c r="BB24" s="150"/>
      <c r="BC24" s="150"/>
      <c r="BD24" s="150"/>
      <c r="BE24" s="150"/>
      <c r="BF24" s="150"/>
      <c r="BG24" s="150"/>
      <c r="BH24" s="150"/>
      <c r="BI24" s="150"/>
      <c r="BJ24" s="150"/>
      <c r="BK24" s="150"/>
      <c r="BL24" s="150"/>
      <c r="BM24" s="150"/>
      <c r="BN24" s="150"/>
      <c r="BO24" s="148"/>
      <c r="BP24" s="148"/>
      <c r="BQ24" s="66"/>
      <c r="BR24" s="148"/>
      <c r="BS24" s="148"/>
      <c r="BT24" s="148"/>
      <c r="BU24" s="148"/>
      <c r="BV24" s="148"/>
      <c r="BW24" s="148"/>
      <c r="BX24" s="148"/>
      <c r="BY24" s="148"/>
      <c r="BZ24" s="148"/>
      <c r="CA24" s="148"/>
      <c r="CB24" s="148"/>
      <c r="CC24" s="148"/>
      <c r="CD24" s="148"/>
      <c r="CE24" s="148"/>
    </row>
    <row r="25" spans="1:83">
      <c r="A25" s="151">
        <v>12</v>
      </c>
      <c r="B25" s="149" t="s">
        <v>499</v>
      </c>
      <c r="C25" s="149">
        <v>2016</v>
      </c>
      <c r="D25" s="149" t="s">
        <v>500</v>
      </c>
      <c r="E25" s="153">
        <v>44705</v>
      </c>
      <c r="F25" s="147" t="s">
        <v>90</v>
      </c>
      <c r="G25" s="147" t="s">
        <v>360</v>
      </c>
      <c r="H25" s="147"/>
      <c r="I25" s="147" t="s">
        <v>515</v>
      </c>
      <c r="J25" s="34" t="s">
        <v>502</v>
      </c>
      <c r="K25" s="149" t="s">
        <v>97</v>
      </c>
      <c r="L25" s="149" t="s">
        <v>97</v>
      </c>
      <c r="M25" s="149" t="s">
        <v>95</v>
      </c>
      <c r="N25" s="149" t="s">
        <v>503</v>
      </c>
      <c r="O25" s="149" t="s">
        <v>97</v>
      </c>
      <c r="P25" s="149" t="s">
        <v>97</v>
      </c>
      <c r="Q25" s="149"/>
      <c r="R25" s="149"/>
      <c r="S25" s="149" t="s">
        <v>90</v>
      </c>
      <c r="T25" s="149" t="s">
        <v>191</v>
      </c>
      <c r="U25" s="149" t="s">
        <v>99</v>
      </c>
      <c r="V25" s="149">
        <v>1</v>
      </c>
      <c r="W25" s="149" t="s">
        <v>504</v>
      </c>
      <c r="X25" s="149" t="s">
        <v>211</v>
      </c>
      <c r="Y25" s="149" t="s">
        <v>102</v>
      </c>
      <c r="Z25" s="149"/>
      <c r="AA25" s="149" t="s">
        <v>505</v>
      </c>
      <c r="AB25" s="149" t="s">
        <v>105</v>
      </c>
      <c r="AC25" s="149" t="s">
        <v>506</v>
      </c>
      <c r="AD25" s="149" t="s">
        <v>211</v>
      </c>
      <c r="AE25" s="149" t="s">
        <v>197</v>
      </c>
      <c r="AF25" s="149">
        <v>2</v>
      </c>
      <c r="AG25" s="149" t="s">
        <v>90</v>
      </c>
      <c r="AH25" s="149" t="s">
        <v>507</v>
      </c>
      <c r="AI25" s="149" t="s">
        <v>508</v>
      </c>
      <c r="AJ25" s="149">
        <v>2</v>
      </c>
      <c r="AK25" s="149" t="s">
        <v>99</v>
      </c>
      <c r="AL25" s="149" t="s">
        <v>94</v>
      </c>
      <c r="AM25" s="149" t="s">
        <v>94</v>
      </c>
      <c r="AN25" s="149" t="s">
        <v>160</v>
      </c>
      <c r="AO25" s="149" t="s">
        <v>160</v>
      </c>
      <c r="AP25" s="149" t="s">
        <v>155</v>
      </c>
      <c r="AQ25" s="149" t="s">
        <v>119</v>
      </c>
      <c r="AR25" s="149" t="s">
        <v>114</v>
      </c>
      <c r="AS25" s="149" t="s">
        <v>120</v>
      </c>
      <c r="AT25" s="149" t="s">
        <v>116</v>
      </c>
      <c r="AU25" s="149" t="s">
        <v>509</v>
      </c>
      <c r="AV25" s="149">
        <v>2</v>
      </c>
      <c r="AW25" s="149"/>
      <c r="AX25" s="149"/>
      <c r="AY25" s="149"/>
      <c r="AZ25" s="149"/>
      <c r="BA25" s="149"/>
      <c r="BB25" s="149"/>
      <c r="BC25" s="149"/>
      <c r="BD25" s="149"/>
      <c r="BE25" s="149"/>
      <c r="BF25" s="149"/>
      <c r="BG25" s="149"/>
      <c r="BH25" s="149"/>
      <c r="BI25" s="149"/>
      <c r="BJ25" s="149"/>
      <c r="BK25" s="149"/>
      <c r="BL25" s="149"/>
      <c r="BM25" s="149"/>
      <c r="BN25" s="149"/>
      <c r="BO25" s="147" t="s">
        <v>717</v>
      </c>
      <c r="BP25" s="147" t="s">
        <v>516</v>
      </c>
      <c r="BQ25" s="65"/>
      <c r="BR25" s="147" t="s">
        <v>512</v>
      </c>
      <c r="BS25" s="147" t="s">
        <v>111</v>
      </c>
      <c r="BT25" s="147">
        <v>18.283000000000001</v>
      </c>
      <c r="BU25" s="147">
        <v>18.795999999999999</v>
      </c>
      <c r="BV25" s="147" t="s">
        <v>129</v>
      </c>
      <c r="BW25" s="147">
        <v>8</v>
      </c>
      <c r="BX25" s="147" t="s">
        <v>111</v>
      </c>
      <c r="BY25" s="147">
        <v>15.901</v>
      </c>
      <c r="BZ25" s="147">
        <v>16.89</v>
      </c>
      <c r="CA25" s="147" t="s">
        <v>129</v>
      </c>
      <c r="CB25" s="147">
        <v>8</v>
      </c>
      <c r="CC25" s="147" t="s">
        <v>512</v>
      </c>
      <c r="CD25" s="147" t="s">
        <v>513</v>
      </c>
      <c r="CE25" s="147" t="s">
        <v>517</v>
      </c>
    </row>
    <row r="26" spans="1:83" ht="43.5">
      <c r="A26" s="152"/>
      <c r="B26" s="150"/>
      <c r="C26" s="150"/>
      <c r="D26" s="150"/>
      <c r="E26" s="154"/>
      <c r="F26" s="148"/>
      <c r="G26" s="148"/>
      <c r="H26" s="148"/>
      <c r="I26" s="148"/>
      <c r="J26" s="35" t="s">
        <v>718</v>
      </c>
      <c r="K26" s="150"/>
      <c r="L26" s="150"/>
      <c r="M26" s="150"/>
      <c r="N26" s="150"/>
      <c r="O26" s="150"/>
      <c r="P26" s="150"/>
      <c r="Q26" s="150"/>
      <c r="R26" s="150"/>
      <c r="S26" s="150"/>
      <c r="T26" s="150"/>
      <c r="U26" s="150"/>
      <c r="V26" s="150"/>
      <c r="W26" s="150"/>
      <c r="X26" s="150"/>
      <c r="Y26" s="150"/>
      <c r="Z26" s="150"/>
      <c r="AA26" s="150"/>
      <c r="AB26" s="150"/>
      <c r="AC26" s="150"/>
      <c r="AD26" s="150"/>
      <c r="AE26" s="150"/>
      <c r="AF26" s="150"/>
      <c r="AG26" s="150"/>
      <c r="AH26" s="150"/>
      <c r="AI26" s="150"/>
      <c r="AJ26" s="150"/>
      <c r="AK26" s="150"/>
      <c r="AL26" s="150"/>
      <c r="AM26" s="150"/>
      <c r="AN26" s="150"/>
      <c r="AO26" s="150"/>
      <c r="AP26" s="150"/>
      <c r="AQ26" s="150"/>
      <c r="AR26" s="150"/>
      <c r="AS26" s="150"/>
      <c r="AT26" s="150"/>
      <c r="AU26" s="150"/>
      <c r="AV26" s="150"/>
      <c r="AW26" s="150"/>
      <c r="AX26" s="150"/>
      <c r="AY26" s="150"/>
      <c r="AZ26" s="150"/>
      <c r="BA26" s="150"/>
      <c r="BB26" s="150"/>
      <c r="BC26" s="150"/>
      <c r="BD26" s="150"/>
      <c r="BE26" s="150"/>
      <c r="BF26" s="150"/>
      <c r="BG26" s="150"/>
      <c r="BH26" s="150"/>
      <c r="BI26" s="150"/>
      <c r="BJ26" s="150"/>
      <c r="BK26" s="150"/>
      <c r="BL26" s="150"/>
      <c r="BM26" s="150"/>
      <c r="BN26" s="150"/>
      <c r="BO26" s="148"/>
      <c r="BP26" s="148"/>
      <c r="BQ26" s="66"/>
      <c r="BR26" s="148"/>
      <c r="BS26" s="148"/>
      <c r="BT26" s="148"/>
      <c r="BU26" s="148"/>
      <c r="BV26" s="148"/>
      <c r="BW26" s="148"/>
      <c r="BX26" s="148"/>
      <c r="BY26" s="148"/>
      <c r="BZ26" s="148"/>
      <c r="CA26" s="148"/>
      <c r="CB26" s="148"/>
      <c r="CC26" s="148"/>
      <c r="CD26" s="148"/>
      <c r="CE26" s="148"/>
    </row>
    <row r="27" spans="1:83">
      <c r="A27" s="151">
        <v>12</v>
      </c>
      <c r="B27" s="149" t="s">
        <v>499</v>
      </c>
      <c r="C27" s="149">
        <v>2016</v>
      </c>
      <c r="D27" s="149" t="s">
        <v>500</v>
      </c>
      <c r="E27" s="153">
        <v>44705</v>
      </c>
      <c r="F27" s="147" t="s">
        <v>90</v>
      </c>
      <c r="G27" s="147" t="s">
        <v>360</v>
      </c>
      <c r="H27" s="147"/>
      <c r="I27" s="147" t="s">
        <v>515</v>
      </c>
      <c r="J27" s="34" t="s">
        <v>502</v>
      </c>
      <c r="K27" s="149" t="s">
        <v>97</v>
      </c>
      <c r="L27" s="149" t="s">
        <v>97</v>
      </c>
      <c r="M27" s="149" t="s">
        <v>95</v>
      </c>
      <c r="N27" s="149" t="s">
        <v>503</v>
      </c>
      <c r="O27" s="149" t="s">
        <v>97</v>
      </c>
      <c r="P27" s="149" t="s">
        <v>97</v>
      </c>
      <c r="Q27" s="149"/>
      <c r="R27" s="149"/>
      <c r="S27" s="149" t="s">
        <v>90</v>
      </c>
      <c r="T27" s="149" t="s">
        <v>191</v>
      </c>
      <c r="U27" s="149" t="s">
        <v>99</v>
      </c>
      <c r="V27" s="149">
        <v>1</v>
      </c>
      <c r="W27" s="149" t="s">
        <v>504</v>
      </c>
      <c r="X27" s="149" t="s">
        <v>211</v>
      </c>
      <c r="Y27" s="149" t="s">
        <v>102</v>
      </c>
      <c r="Z27" s="149"/>
      <c r="AA27" s="149" t="s">
        <v>505</v>
      </c>
      <c r="AB27" s="149" t="s">
        <v>105</v>
      </c>
      <c r="AC27" s="149" t="s">
        <v>506</v>
      </c>
      <c r="AD27" s="149" t="s">
        <v>211</v>
      </c>
      <c r="AE27" s="149" t="s">
        <v>197</v>
      </c>
      <c r="AF27" s="149">
        <v>2</v>
      </c>
      <c r="AG27" s="149" t="s">
        <v>90</v>
      </c>
      <c r="AH27" s="149" t="s">
        <v>507</v>
      </c>
      <c r="AI27" s="149" t="s">
        <v>508</v>
      </c>
      <c r="AJ27" s="149">
        <v>2</v>
      </c>
      <c r="AK27" s="149" t="s">
        <v>99</v>
      </c>
      <c r="AL27" s="149" t="s">
        <v>94</v>
      </c>
      <c r="AM27" s="149" t="s">
        <v>94</v>
      </c>
      <c r="AN27" s="149" t="s">
        <v>160</v>
      </c>
      <c r="AO27" s="149" t="s">
        <v>160</v>
      </c>
      <c r="AP27" s="149" t="s">
        <v>155</v>
      </c>
      <c r="AQ27" s="149" t="s">
        <v>119</v>
      </c>
      <c r="AR27" s="149" t="s">
        <v>114</v>
      </c>
      <c r="AS27" s="149" t="s">
        <v>120</v>
      </c>
      <c r="AT27" s="149" t="s">
        <v>116</v>
      </c>
      <c r="AU27" s="149" t="s">
        <v>509</v>
      </c>
      <c r="AV27" s="149">
        <v>2</v>
      </c>
      <c r="AW27" s="149"/>
      <c r="AX27" s="149"/>
      <c r="AY27" s="149"/>
      <c r="AZ27" s="149"/>
      <c r="BA27" s="149"/>
      <c r="BB27" s="149"/>
      <c r="BC27" s="149"/>
      <c r="BD27" s="149"/>
      <c r="BE27" s="149"/>
      <c r="BF27" s="149"/>
      <c r="BG27" s="149"/>
      <c r="BH27" s="149"/>
      <c r="BI27" s="149"/>
      <c r="BJ27" s="149"/>
      <c r="BK27" s="149"/>
      <c r="BL27" s="149"/>
      <c r="BM27" s="149"/>
      <c r="BN27" s="149"/>
      <c r="BO27" s="147" t="s">
        <v>717</v>
      </c>
      <c r="BP27" s="147" t="s">
        <v>518</v>
      </c>
      <c r="BQ27" s="65"/>
      <c r="BR27" s="147" t="s">
        <v>512</v>
      </c>
      <c r="BS27" s="147" t="s">
        <v>111</v>
      </c>
      <c r="BT27" s="147">
        <v>17.733000000000001</v>
      </c>
      <c r="BU27" s="147">
        <v>18.393000000000001</v>
      </c>
      <c r="BV27" s="147" t="s">
        <v>129</v>
      </c>
      <c r="BW27" s="147">
        <v>8</v>
      </c>
      <c r="BX27" s="147" t="s">
        <v>111</v>
      </c>
      <c r="BY27" s="147">
        <v>15.606999999999999</v>
      </c>
      <c r="BZ27" s="147">
        <v>16.266999999999999</v>
      </c>
      <c r="CA27" s="147" t="s">
        <v>129</v>
      </c>
      <c r="CB27" s="147">
        <v>8</v>
      </c>
      <c r="CC27" s="147" t="s">
        <v>512</v>
      </c>
      <c r="CD27" s="147" t="s">
        <v>513</v>
      </c>
      <c r="CE27" s="147" t="s">
        <v>514</v>
      </c>
    </row>
    <row r="28" spans="1:83" ht="43.5">
      <c r="A28" s="152"/>
      <c r="B28" s="150"/>
      <c r="C28" s="150"/>
      <c r="D28" s="150"/>
      <c r="E28" s="154"/>
      <c r="F28" s="148"/>
      <c r="G28" s="148"/>
      <c r="H28" s="148"/>
      <c r="I28" s="148"/>
      <c r="J28" s="35" t="s">
        <v>718</v>
      </c>
      <c r="K28" s="150"/>
      <c r="L28" s="150"/>
      <c r="M28" s="150"/>
      <c r="N28" s="150"/>
      <c r="O28" s="150"/>
      <c r="P28" s="150"/>
      <c r="Q28" s="150"/>
      <c r="R28" s="150"/>
      <c r="S28" s="150"/>
      <c r="T28" s="150"/>
      <c r="U28" s="150"/>
      <c r="V28" s="150"/>
      <c r="W28" s="150"/>
      <c r="X28" s="150"/>
      <c r="Y28" s="150"/>
      <c r="Z28" s="150"/>
      <c r="AA28" s="150"/>
      <c r="AB28" s="150"/>
      <c r="AC28" s="150"/>
      <c r="AD28" s="150"/>
      <c r="AE28" s="150"/>
      <c r="AF28" s="150"/>
      <c r="AG28" s="150"/>
      <c r="AH28" s="150"/>
      <c r="AI28" s="150"/>
      <c r="AJ28" s="150"/>
      <c r="AK28" s="150"/>
      <c r="AL28" s="150"/>
      <c r="AM28" s="150"/>
      <c r="AN28" s="150"/>
      <c r="AO28" s="150"/>
      <c r="AP28" s="150"/>
      <c r="AQ28" s="150"/>
      <c r="AR28" s="150"/>
      <c r="AS28" s="150"/>
      <c r="AT28" s="150"/>
      <c r="AU28" s="150"/>
      <c r="AV28" s="150"/>
      <c r="AW28" s="150"/>
      <c r="AX28" s="150"/>
      <c r="AY28" s="150"/>
      <c r="AZ28" s="150"/>
      <c r="BA28" s="150"/>
      <c r="BB28" s="150"/>
      <c r="BC28" s="150"/>
      <c r="BD28" s="150"/>
      <c r="BE28" s="150"/>
      <c r="BF28" s="150"/>
      <c r="BG28" s="150"/>
      <c r="BH28" s="150"/>
      <c r="BI28" s="150"/>
      <c r="BJ28" s="150"/>
      <c r="BK28" s="150"/>
      <c r="BL28" s="150"/>
      <c r="BM28" s="150"/>
      <c r="BN28" s="150"/>
      <c r="BO28" s="148"/>
      <c r="BP28" s="148"/>
      <c r="BQ28" s="66"/>
      <c r="BR28" s="148"/>
      <c r="BS28" s="148"/>
      <c r="BT28" s="148"/>
      <c r="BU28" s="148"/>
      <c r="BV28" s="148"/>
      <c r="BW28" s="148"/>
      <c r="BX28" s="148"/>
      <c r="BY28" s="148"/>
      <c r="BZ28" s="148"/>
      <c r="CA28" s="148"/>
      <c r="CB28" s="148"/>
      <c r="CC28" s="148"/>
      <c r="CD28" s="148"/>
      <c r="CE28" s="148"/>
    </row>
    <row r="29" spans="1:83">
      <c r="A29" s="151">
        <v>12</v>
      </c>
      <c r="B29" s="149" t="s">
        <v>499</v>
      </c>
      <c r="C29" s="149">
        <v>2016</v>
      </c>
      <c r="D29" s="149" t="s">
        <v>500</v>
      </c>
      <c r="E29" s="153">
        <v>44705</v>
      </c>
      <c r="F29" s="147" t="s">
        <v>90</v>
      </c>
      <c r="G29" s="147" t="s">
        <v>360</v>
      </c>
      <c r="H29" s="147"/>
      <c r="I29" s="147" t="s">
        <v>515</v>
      </c>
      <c r="J29" s="34" t="s">
        <v>502</v>
      </c>
      <c r="K29" s="149" t="s">
        <v>97</v>
      </c>
      <c r="L29" s="149" t="s">
        <v>97</v>
      </c>
      <c r="M29" s="149" t="s">
        <v>95</v>
      </c>
      <c r="N29" s="149" t="s">
        <v>503</v>
      </c>
      <c r="O29" s="149" t="s">
        <v>97</v>
      </c>
      <c r="P29" s="149" t="s">
        <v>97</v>
      </c>
      <c r="Q29" s="149"/>
      <c r="R29" s="149"/>
      <c r="S29" s="149" t="s">
        <v>90</v>
      </c>
      <c r="T29" s="149" t="s">
        <v>191</v>
      </c>
      <c r="U29" s="149" t="s">
        <v>99</v>
      </c>
      <c r="V29" s="149">
        <v>1</v>
      </c>
      <c r="W29" s="149" t="s">
        <v>504</v>
      </c>
      <c r="X29" s="149" t="s">
        <v>211</v>
      </c>
      <c r="Y29" s="149" t="s">
        <v>102</v>
      </c>
      <c r="Z29" s="149"/>
      <c r="AA29" s="149" t="s">
        <v>505</v>
      </c>
      <c r="AB29" s="149" t="s">
        <v>105</v>
      </c>
      <c r="AC29" s="149" t="s">
        <v>506</v>
      </c>
      <c r="AD29" s="149" t="s">
        <v>211</v>
      </c>
      <c r="AE29" s="149" t="s">
        <v>197</v>
      </c>
      <c r="AF29" s="149">
        <v>2</v>
      </c>
      <c r="AG29" s="149" t="s">
        <v>90</v>
      </c>
      <c r="AH29" s="149" t="s">
        <v>507</v>
      </c>
      <c r="AI29" s="149" t="s">
        <v>508</v>
      </c>
      <c r="AJ29" s="149">
        <v>2</v>
      </c>
      <c r="AK29" s="149" t="s">
        <v>99</v>
      </c>
      <c r="AL29" s="149" t="s">
        <v>94</v>
      </c>
      <c r="AM29" s="149" t="s">
        <v>94</v>
      </c>
      <c r="AN29" s="149" t="s">
        <v>160</v>
      </c>
      <c r="AO29" s="149" t="s">
        <v>160</v>
      </c>
      <c r="AP29" s="149" t="s">
        <v>155</v>
      </c>
      <c r="AQ29" s="149" t="s">
        <v>119</v>
      </c>
      <c r="AR29" s="149" t="s">
        <v>114</v>
      </c>
      <c r="AS29" s="149" t="s">
        <v>120</v>
      </c>
      <c r="AT29" s="149" t="s">
        <v>116</v>
      </c>
      <c r="AU29" s="149" t="s">
        <v>509</v>
      </c>
      <c r="AV29" s="149">
        <v>2</v>
      </c>
      <c r="AW29" s="149"/>
      <c r="AX29" s="149"/>
      <c r="AY29" s="149"/>
      <c r="AZ29" s="149"/>
      <c r="BA29" s="149"/>
      <c r="BB29" s="149"/>
      <c r="BC29" s="149"/>
      <c r="BD29" s="149"/>
      <c r="BE29" s="149"/>
      <c r="BF29" s="149"/>
      <c r="BG29" s="149"/>
      <c r="BH29" s="149"/>
      <c r="BI29" s="149"/>
      <c r="BJ29" s="149"/>
      <c r="BK29" s="149"/>
      <c r="BL29" s="149"/>
      <c r="BM29" s="149"/>
      <c r="BN29" s="149"/>
      <c r="BO29" s="147" t="s">
        <v>717</v>
      </c>
      <c r="BP29" s="147" t="s">
        <v>519</v>
      </c>
      <c r="BQ29" s="65"/>
      <c r="BR29" s="147" t="s">
        <v>512</v>
      </c>
      <c r="BS29" s="147" t="s">
        <v>111</v>
      </c>
      <c r="BT29" s="147">
        <v>16.963000000000001</v>
      </c>
      <c r="BU29" s="147">
        <v>18.356000000000002</v>
      </c>
      <c r="BV29" s="147" t="s">
        <v>129</v>
      </c>
      <c r="BW29" s="147">
        <v>8</v>
      </c>
      <c r="BX29" s="147" t="s">
        <v>111</v>
      </c>
      <c r="BY29" s="147">
        <v>14.691000000000001</v>
      </c>
      <c r="BZ29" s="147">
        <v>15.827</v>
      </c>
      <c r="CA29" s="147" t="s">
        <v>129</v>
      </c>
      <c r="CB29" s="147">
        <v>8</v>
      </c>
      <c r="CC29" s="147" t="s">
        <v>512</v>
      </c>
      <c r="CD29" s="147" t="s">
        <v>513</v>
      </c>
      <c r="CE29" s="147" t="s">
        <v>517</v>
      </c>
    </row>
    <row r="30" spans="1:83" ht="43.5">
      <c r="A30" s="152"/>
      <c r="B30" s="150"/>
      <c r="C30" s="150"/>
      <c r="D30" s="150"/>
      <c r="E30" s="154"/>
      <c r="F30" s="148"/>
      <c r="G30" s="148"/>
      <c r="H30" s="148"/>
      <c r="I30" s="148"/>
      <c r="J30" s="35" t="s">
        <v>718</v>
      </c>
      <c r="K30" s="150"/>
      <c r="L30" s="150"/>
      <c r="M30" s="150"/>
      <c r="N30" s="150"/>
      <c r="O30" s="150"/>
      <c r="P30" s="150"/>
      <c r="Q30" s="150"/>
      <c r="R30" s="150"/>
      <c r="S30" s="150"/>
      <c r="T30" s="150"/>
      <c r="U30" s="150"/>
      <c r="V30" s="150"/>
      <c r="W30" s="150"/>
      <c r="X30" s="150"/>
      <c r="Y30" s="150"/>
      <c r="Z30" s="150"/>
      <c r="AA30" s="150"/>
      <c r="AB30" s="150"/>
      <c r="AC30" s="150"/>
      <c r="AD30" s="150"/>
      <c r="AE30" s="150"/>
      <c r="AF30" s="150"/>
      <c r="AG30" s="150"/>
      <c r="AH30" s="150"/>
      <c r="AI30" s="150"/>
      <c r="AJ30" s="150"/>
      <c r="AK30" s="150"/>
      <c r="AL30" s="150"/>
      <c r="AM30" s="150"/>
      <c r="AN30" s="150"/>
      <c r="AO30" s="150"/>
      <c r="AP30" s="150"/>
      <c r="AQ30" s="150"/>
      <c r="AR30" s="150"/>
      <c r="AS30" s="150"/>
      <c r="AT30" s="150"/>
      <c r="AU30" s="150"/>
      <c r="AV30" s="150"/>
      <c r="AW30" s="150"/>
      <c r="AX30" s="150"/>
      <c r="AY30" s="150"/>
      <c r="AZ30" s="150"/>
      <c r="BA30" s="150"/>
      <c r="BB30" s="150"/>
      <c r="BC30" s="150"/>
      <c r="BD30" s="150"/>
      <c r="BE30" s="150"/>
      <c r="BF30" s="150"/>
      <c r="BG30" s="150"/>
      <c r="BH30" s="150"/>
      <c r="BI30" s="150"/>
      <c r="BJ30" s="150"/>
      <c r="BK30" s="150"/>
      <c r="BL30" s="150"/>
      <c r="BM30" s="150"/>
      <c r="BN30" s="150"/>
      <c r="BO30" s="148"/>
      <c r="BP30" s="148"/>
      <c r="BQ30" s="66"/>
      <c r="BR30" s="148"/>
      <c r="BS30" s="148"/>
      <c r="BT30" s="148"/>
      <c r="BU30" s="148"/>
      <c r="BV30" s="148"/>
      <c r="BW30" s="148"/>
      <c r="BX30" s="148"/>
      <c r="BY30" s="148"/>
      <c r="BZ30" s="148"/>
      <c r="CA30" s="148"/>
      <c r="CB30" s="148"/>
      <c r="CC30" s="148"/>
      <c r="CD30" s="148"/>
      <c r="CE30" s="148"/>
    </row>
    <row r="31" spans="1:83">
      <c r="A31" s="151">
        <v>12</v>
      </c>
      <c r="B31" s="149" t="s">
        <v>499</v>
      </c>
      <c r="C31" s="149">
        <v>2016</v>
      </c>
      <c r="D31" s="149" t="s">
        <v>500</v>
      </c>
      <c r="E31" s="153">
        <v>44705</v>
      </c>
      <c r="F31" s="147" t="s">
        <v>90</v>
      </c>
      <c r="G31" s="147" t="s">
        <v>360</v>
      </c>
      <c r="H31" s="147"/>
      <c r="I31" s="147" t="s">
        <v>515</v>
      </c>
      <c r="J31" s="34" t="s">
        <v>502</v>
      </c>
      <c r="K31" s="149" t="s">
        <v>97</v>
      </c>
      <c r="L31" s="149" t="s">
        <v>97</v>
      </c>
      <c r="M31" s="149" t="s">
        <v>95</v>
      </c>
      <c r="N31" s="149" t="s">
        <v>503</v>
      </c>
      <c r="O31" s="149" t="s">
        <v>97</v>
      </c>
      <c r="P31" s="149" t="s">
        <v>97</v>
      </c>
      <c r="Q31" s="149"/>
      <c r="R31" s="149"/>
      <c r="S31" s="149" t="s">
        <v>90</v>
      </c>
      <c r="T31" s="149" t="s">
        <v>191</v>
      </c>
      <c r="U31" s="149" t="s">
        <v>99</v>
      </c>
      <c r="V31" s="149">
        <v>1</v>
      </c>
      <c r="W31" s="149" t="s">
        <v>504</v>
      </c>
      <c r="X31" s="149" t="s">
        <v>211</v>
      </c>
      <c r="Y31" s="149" t="s">
        <v>102</v>
      </c>
      <c r="Z31" s="149"/>
      <c r="AA31" s="149" t="s">
        <v>505</v>
      </c>
      <c r="AB31" s="149" t="s">
        <v>105</v>
      </c>
      <c r="AC31" s="149" t="s">
        <v>506</v>
      </c>
      <c r="AD31" s="149" t="s">
        <v>211</v>
      </c>
      <c r="AE31" s="149" t="s">
        <v>197</v>
      </c>
      <c r="AF31" s="149">
        <v>2</v>
      </c>
      <c r="AG31" s="149" t="s">
        <v>90</v>
      </c>
      <c r="AH31" s="149" t="s">
        <v>507</v>
      </c>
      <c r="AI31" s="149" t="s">
        <v>508</v>
      </c>
      <c r="AJ31" s="149">
        <v>2</v>
      </c>
      <c r="AK31" s="149" t="s">
        <v>99</v>
      </c>
      <c r="AL31" s="149" t="s">
        <v>94</v>
      </c>
      <c r="AM31" s="149" t="s">
        <v>94</v>
      </c>
      <c r="AN31" s="149" t="s">
        <v>160</v>
      </c>
      <c r="AO31" s="149" t="s">
        <v>160</v>
      </c>
      <c r="AP31" s="149" t="s">
        <v>155</v>
      </c>
      <c r="AQ31" s="149" t="s">
        <v>119</v>
      </c>
      <c r="AR31" s="149" t="s">
        <v>114</v>
      </c>
      <c r="AS31" s="149" t="s">
        <v>120</v>
      </c>
      <c r="AT31" s="149" t="s">
        <v>116</v>
      </c>
      <c r="AU31" s="149" t="s">
        <v>509</v>
      </c>
      <c r="AV31" s="149">
        <v>2</v>
      </c>
      <c r="AW31" s="149"/>
      <c r="AX31" s="149"/>
      <c r="AY31" s="149"/>
      <c r="AZ31" s="149"/>
      <c r="BA31" s="149"/>
      <c r="BB31" s="149"/>
      <c r="BC31" s="149"/>
      <c r="BD31" s="149"/>
      <c r="BE31" s="149"/>
      <c r="BF31" s="149"/>
      <c r="BG31" s="149"/>
      <c r="BH31" s="149"/>
      <c r="BI31" s="149"/>
      <c r="BJ31" s="149"/>
      <c r="BK31" s="149"/>
      <c r="BL31" s="149"/>
      <c r="BM31" s="149"/>
      <c r="BN31" s="149"/>
      <c r="BO31" s="147" t="s">
        <v>717</v>
      </c>
      <c r="BP31" s="147" t="s">
        <v>510</v>
      </c>
      <c r="BQ31" s="65"/>
      <c r="BR31" s="147" t="s">
        <v>520</v>
      </c>
      <c r="BS31" s="147" t="s">
        <v>111</v>
      </c>
      <c r="BT31" s="147">
        <v>0.27789000000000003</v>
      </c>
      <c r="BU31" s="147">
        <v>0.28211000000000003</v>
      </c>
      <c r="BV31" s="147" t="s">
        <v>129</v>
      </c>
      <c r="BW31" s="147">
        <v>8</v>
      </c>
      <c r="BX31" s="147" t="s">
        <v>111</v>
      </c>
      <c r="BY31" s="147">
        <v>0.25684000000000001</v>
      </c>
      <c r="BZ31" s="147">
        <v>0.26105</v>
      </c>
      <c r="CA31" s="147" t="s">
        <v>129</v>
      </c>
      <c r="CB31" s="147">
        <v>8</v>
      </c>
      <c r="CC31" s="147" t="s">
        <v>521</v>
      </c>
      <c r="CD31" s="147" t="s">
        <v>522</v>
      </c>
      <c r="CE31" s="147" t="s">
        <v>523</v>
      </c>
    </row>
    <row r="32" spans="1:83" ht="43.5">
      <c r="A32" s="152"/>
      <c r="B32" s="150"/>
      <c r="C32" s="150"/>
      <c r="D32" s="150"/>
      <c r="E32" s="154"/>
      <c r="F32" s="148"/>
      <c r="G32" s="148"/>
      <c r="H32" s="148"/>
      <c r="I32" s="148"/>
      <c r="J32" s="35" t="s">
        <v>718</v>
      </c>
      <c r="K32" s="150"/>
      <c r="L32" s="150"/>
      <c r="M32" s="150"/>
      <c r="N32" s="150"/>
      <c r="O32" s="150"/>
      <c r="P32" s="150"/>
      <c r="Q32" s="150"/>
      <c r="R32" s="150"/>
      <c r="S32" s="150"/>
      <c r="T32" s="150"/>
      <c r="U32" s="150"/>
      <c r="V32" s="150"/>
      <c r="W32" s="150"/>
      <c r="X32" s="150"/>
      <c r="Y32" s="150"/>
      <c r="Z32" s="150"/>
      <c r="AA32" s="150"/>
      <c r="AB32" s="150"/>
      <c r="AC32" s="150"/>
      <c r="AD32" s="150"/>
      <c r="AE32" s="150"/>
      <c r="AF32" s="150"/>
      <c r="AG32" s="150"/>
      <c r="AH32" s="150"/>
      <c r="AI32" s="150"/>
      <c r="AJ32" s="150"/>
      <c r="AK32" s="150"/>
      <c r="AL32" s="150"/>
      <c r="AM32" s="150"/>
      <c r="AN32" s="150"/>
      <c r="AO32" s="150"/>
      <c r="AP32" s="150"/>
      <c r="AQ32" s="150"/>
      <c r="AR32" s="150"/>
      <c r="AS32" s="150"/>
      <c r="AT32" s="150"/>
      <c r="AU32" s="150"/>
      <c r="AV32" s="150"/>
      <c r="AW32" s="150"/>
      <c r="AX32" s="150"/>
      <c r="AY32" s="150"/>
      <c r="AZ32" s="150"/>
      <c r="BA32" s="150"/>
      <c r="BB32" s="150"/>
      <c r="BC32" s="150"/>
      <c r="BD32" s="150"/>
      <c r="BE32" s="150"/>
      <c r="BF32" s="150"/>
      <c r="BG32" s="150"/>
      <c r="BH32" s="150"/>
      <c r="BI32" s="150"/>
      <c r="BJ32" s="150"/>
      <c r="BK32" s="150"/>
      <c r="BL32" s="150"/>
      <c r="BM32" s="150"/>
      <c r="BN32" s="150"/>
      <c r="BO32" s="148"/>
      <c r="BP32" s="148"/>
      <c r="BQ32" s="66"/>
      <c r="BR32" s="148"/>
      <c r="BS32" s="148"/>
      <c r="BT32" s="148"/>
      <c r="BU32" s="148"/>
      <c r="BV32" s="148"/>
      <c r="BW32" s="148"/>
      <c r="BX32" s="148"/>
      <c r="BY32" s="148"/>
      <c r="BZ32" s="148"/>
      <c r="CA32" s="148"/>
      <c r="CB32" s="148"/>
      <c r="CC32" s="148"/>
      <c r="CD32" s="148"/>
      <c r="CE32" s="148"/>
    </row>
    <row r="33" spans="1:83">
      <c r="A33" s="151">
        <v>12</v>
      </c>
      <c r="B33" s="149" t="s">
        <v>499</v>
      </c>
      <c r="C33" s="149">
        <v>2016</v>
      </c>
      <c r="D33" s="149" t="s">
        <v>500</v>
      </c>
      <c r="E33" s="153">
        <v>44705</v>
      </c>
      <c r="F33" s="147" t="s">
        <v>90</v>
      </c>
      <c r="G33" s="147" t="s">
        <v>360</v>
      </c>
      <c r="H33" s="147"/>
      <c r="I33" s="147" t="s">
        <v>515</v>
      </c>
      <c r="J33" s="34" t="s">
        <v>502</v>
      </c>
      <c r="K33" s="149" t="s">
        <v>97</v>
      </c>
      <c r="L33" s="149" t="s">
        <v>97</v>
      </c>
      <c r="M33" s="149" t="s">
        <v>95</v>
      </c>
      <c r="N33" s="149" t="s">
        <v>503</v>
      </c>
      <c r="O33" s="149" t="s">
        <v>97</v>
      </c>
      <c r="P33" s="149" t="s">
        <v>97</v>
      </c>
      <c r="Q33" s="149"/>
      <c r="R33" s="149"/>
      <c r="S33" s="149" t="s">
        <v>90</v>
      </c>
      <c r="T33" s="149" t="s">
        <v>191</v>
      </c>
      <c r="U33" s="149" t="s">
        <v>99</v>
      </c>
      <c r="V33" s="149">
        <v>1</v>
      </c>
      <c r="W33" s="149" t="s">
        <v>504</v>
      </c>
      <c r="X33" s="149" t="s">
        <v>211</v>
      </c>
      <c r="Y33" s="149" t="s">
        <v>102</v>
      </c>
      <c r="Z33" s="149"/>
      <c r="AA33" s="149" t="s">
        <v>505</v>
      </c>
      <c r="AB33" s="149" t="s">
        <v>105</v>
      </c>
      <c r="AC33" s="149" t="s">
        <v>506</v>
      </c>
      <c r="AD33" s="149" t="s">
        <v>211</v>
      </c>
      <c r="AE33" s="149" t="s">
        <v>197</v>
      </c>
      <c r="AF33" s="149">
        <v>2</v>
      </c>
      <c r="AG33" s="149" t="s">
        <v>90</v>
      </c>
      <c r="AH33" s="149" t="s">
        <v>507</v>
      </c>
      <c r="AI33" s="149" t="s">
        <v>508</v>
      </c>
      <c r="AJ33" s="149">
        <v>2</v>
      </c>
      <c r="AK33" s="149" t="s">
        <v>99</v>
      </c>
      <c r="AL33" s="149" t="s">
        <v>94</v>
      </c>
      <c r="AM33" s="149" t="s">
        <v>94</v>
      </c>
      <c r="AN33" s="149" t="s">
        <v>160</v>
      </c>
      <c r="AO33" s="149" t="s">
        <v>160</v>
      </c>
      <c r="AP33" s="149" t="s">
        <v>155</v>
      </c>
      <c r="AQ33" s="149" t="s">
        <v>119</v>
      </c>
      <c r="AR33" s="149" t="s">
        <v>114</v>
      </c>
      <c r="AS33" s="149" t="s">
        <v>120</v>
      </c>
      <c r="AT33" s="149" t="s">
        <v>116</v>
      </c>
      <c r="AU33" s="149" t="s">
        <v>509</v>
      </c>
      <c r="AV33" s="149">
        <v>2</v>
      </c>
      <c r="AW33" s="149"/>
      <c r="AX33" s="149"/>
      <c r="AY33" s="149"/>
      <c r="AZ33" s="149"/>
      <c r="BA33" s="149"/>
      <c r="BB33" s="149"/>
      <c r="BC33" s="149"/>
      <c r="BD33" s="149"/>
      <c r="BE33" s="149"/>
      <c r="BF33" s="149"/>
      <c r="BG33" s="149"/>
      <c r="BH33" s="149"/>
      <c r="BI33" s="149"/>
      <c r="BJ33" s="149"/>
      <c r="BK33" s="149"/>
      <c r="BL33" s="149"/>
      <c r="BM33" s="149"/>
      <c r="BN33" s="149"/>
      <c r="BO33" s="147" t="s">
        <v>717</v>
      </c>
      <c r="BP33" s="147" t="s">
        <v>516</v>
      </c>
      <c r="BQ33" s="65"/>
      <c r="BR33" s="147" t="s">
        <v>520</v>
      </c>
      <c r="BS33" s="147" t="s">
        <v>111</v>
      </c>
      <c r="BT33" s="147">
        <v>0.27473999999999998</v>
      </c>
      <c r="BU33" s="147">
        <v>0.27789000000000003</v>
      </c>
      <c r="BV33" s="147" t="s">
        <v>129</v>
      </c>
      <c r="BW33" s="147">
        <v>8</v>
      </c>
      <c r="BX33" s="147" t="s">
        <v>111</v>
      </c>
      <c r="BY33" s="147">
        <v>0.25789000000000001</v>
      </c>
      <c r="BZ33" s="147">
        <v>0.26</v>
      </c>
      <c r="CA33" s="147" t="s">
        <v>129</v>
      </c>
      <c r="CB33" s="147">
        <v>8</v>
      </c>
      <c r="CC33" s="147" t="s">
        <v>521</v>
      </c>
      <c r="CD33" s="147" t="s">
        <v>522</v>
      </c>
      <c r="CE33" s="147" t="s">
        <v>524</v>
      </c>
    </row>
    <row r="34" spans="1:83" ht="43.5">
      <c r="A34" s="152"/>
      <c r="B34" s="150"/>
      <c r="C34" s="150"/>
      <c r="D34" s="150"/>
      <c r="E34" s="154"/>
      <c r="F34" s="148"/>
      <c r="G34" s="148"/>
      <c r="H34" s="148"/>
      <c r="I34" s="148"/>
      <c r="J34" s="35" t="s">
        <v>718</v>
      </c>
      <c r="K34" s="150"/>
      <c r="L34" s="150"/>
      <c r="M34" s="150"/>
      <c r="N34" s="150"/>
      <c r="O34" s="150"/>
      <c r="P34" s="150"/>
      <c r="Q34" s="150"/>
      <c r="R34" s="150"/>
      <c r="S34" s="150"/>
      <c r="T34" s="150"/>
      <c r="U34" s="150"/>
      <c r="V34" s="150"/>
      <c r="W34" s="150"/>
      <c r="X34" s="150"/>
      <c r="Y34" s="150"/>
      <c r="Z34" s="150"/>
      <c r="AA34" s="150"/>
      <c r="AB34" s="150"/>
      <c r="AC34" s="150"/>
      <c r="AD34" s="150"/>
      <c r="AE34" s="150"/>
      <c r="AF34" s="150"/>
      <c r="AG34" s="150"/>
      <c r="AH34" s="150"/>
      <c r="AI34" s="150"/>
      <c r="AJ34" s="150"/>
      <c r="AK34" s="150"/>
      <c r="AL34" s="150"/>
      <c r="AM34" s="150"/>
      <c r="AN34" s="150"/>
      <c r="AO34" s="150"/>
      <c r="AP34" s="150"/>
      <c r="AQ34" s="150"/>
      <c r="AR34" s="150"/>
      <c r="AS34" s="150"/>
      <c r="AT34" s="150"/>
      <c r="AU34" s="150"/>
      <c r="AV34" s="150"/>
      <c r="AW34" s="150"/>
      <c r="AX34" s="150"/>
      <c r="AY34" s="150"/>
      <c r="AZ34" s="150"/>
      <c r="BA34" s="150"/>
      <c r="BB34" s="150"/>
      <c r="BC34" s="150"/>
      <c r="BD34" s="150"/>
      <c r="BE34" s="150"/>
      <c r="BF34" s="150"/>
      <c r="BG34" s="150"/>
      <c r="BH34" s="150"/>
      <c r="BI34" s="150"/>
      <c r="BJ34" s="150"/>
      <c r="BK34" s="150"/>
      <c r="BL34" s="150"/>
      <c r="BM34" s="150"/>
      <c r="BN34" s="150"/>
      <c r="BO34" s="148"/>
      <c r="BP34" s="148"/>
      <c r="BQ34" s="66"/>
      <c r="BR34" s="148"/>
      <c r="BS34" s="148"/>
      <c r="BT34" s="148"/>
      <c r="BU34" s="148"/>
      <c r="BV34" s="148"/>
      <c r="BW34" s="148"/>
      <c r="BX34" s="148"/>
      <c r="BY34" s="148"/>
      <c r="BZ34" s="148"/>
      <c r="CA34" s="148"/>
      <c r="CB34" s="148"/>
      <c r="CC34" s="148"/>
      <c r="CD34" s="148"/>
      <c r="CE34" s="148"/>
    </row>
    <row r="35" spans="1:83">
      <c r="A35" s="151">
        <v>12</v>
      </c>
      <c r="B35" s="149" t="s">
        <v>499</v>
      </c>
      <c r="C35" s="149">
        <v>2016</v>
      </c>
      <c r="D35" s="149" t="s">
        <v>500</v>
      </c>
      <c r="E35" s="153">
        <v>44705</v>
      </c>
      <c r="F35" s="147" t="s">
        <v>90</v>
      </c>
      <c r="G35" s="147" t="s">
        <v>360</v>
      </c>
      <c r="H35" s="147"/>
      <c r="I35" s="147" t="s">
        <v>515</v>
      </c>
      <c r="J35" s="34" t="s">
        <v>502</v>
      </c>
      <c r="K35" s="149" t="s">
        <v>97</v>
      </c>
      <c r="L35" s="149" t="s">
        <v>97</v>
      </c>
      <c r="M35" s="149" t="s">
        <v>95</v>
      </c>
      <c r="N35" s="149" t="s">
        <v>503</v>
      </c>
      <c r="O35" s="149" t="s">
        <v>97</v>
      </c>
      <c r="P35" s="149" t="s">
        <v>97</v>
      </c>
      <c r="Q35" s="149"/>
      <c r="R35" s="149"/>
      <c r="S35" s="149" t="s">
        <v>90</v>
      </c>
      <c r="T35" s="149" t="s">
        <v>191</v>
      </c>
      <c r="U35" s="149" t="s">
        <v>99</v>
      </c>
      <c r="V35" s="149">
        <v>1</v>
      </c>
      <c r="W35" s="149" t="s">
        <v>504</v>
      </c>
      <c r="X35" s="149" t="s">
        <v>211</v>
      </c>
      <c r="Y35" s="149" t="s">
        <v>102</v>
      </c>
      <c r="Z35" s="149"/>
      <c r="AA35" s="149" t="s">
        <v>505</v>
      </c>
      <c r="AB35" s="149" t="s">
        <v>105</v>
      </c>
      <c r="AC35" s="149" t="s">
        <v>506</v>
      </c>
      <c r="AD35" s="149" t="s">
        <v>211</v>
      </c>
      <c r="AE35" s="149" t="s">
        <v>197</v>
      </c>
      <c r="AF35" s="149">
        <v>2</v>
      </c>
      <c r="AG35" s="149" t="s">
        <v>90</v>
      </c>
      <c r="AH35" s="149" t="s">
        <v>507</v>
      </c>
      <c r="AI35" s="149" t="s">
        <v>508</v>
      </c>
      <c r="AJ35" s="149">
        <v>2</v>
      </c>
      <c r="AK35" s="149" t="s">
        <v>99</v>
      </c>
      <c r="AL35" s="149" t="s">
        <v>94</v>
      </c>
      <c r="AM35" s="149" t="s">
        <v>94</v>
      </c>
      <c r="AN35" s="149" t="s">
        <v>160</v>
      </c>
      <c r="AO35" s="149" t="s">
        <v>160</v>
      </c>
      <c r="AP35" s="149" t="s">
        <v>155</v>
      </c>
      <c r="AQ35" s="149" t="s">
        <v>119</v>
      </c>
      <c r="AR35" s="149" t="s">
        <v>114</v>
      </c>
      <c r="AS35" s="149" t="s">
        <v>120</v>
      </c>
      <c r="AT35" s="149" t="s">
        <v>116</v>
      </c>
      <c r="AU35" s="149" t="s">
        <v>509</v>
      </c>
      <c r="AV35" s="149">
        <v>2</v>
      </c>
      <c r="AW35" s="149"/>
      <c r="AX35" s="149"/>
      <c r="AY35" s="149"/>
      <c r="AZ35" s="149"/>
      <c r="BA35" s="149"/>
      <c r="BB35" s="149"/>
      <c r="BC35" s="149"/>
      <c r="BD35" s="149"/>
      <c r="BE35" s="149"/>
      <c r="BF35" s="149"/>
      <c r="BG35" s="149"/>
      <c r="BH35" s="149"/>
      <c r="BI35" s="149"/>
      <c r="BJ35" s="149"/>
      <c r="BK35" s="149"/>
      <c r="BL35" s="149"/>
      <c r="BM35" s="149"/>
      <c r="BN35" s="149"/>
      <c r="BO35" s="147" t="s">
        <v>717</v>
      </c>
      <c r="BP35" s="147" t="s">
        <v>518</v>
      </c>
      <c r="BQ35" s="65"/>
      <c r="BR35" s="147" t="s">
        <v>520</v>
      </c>
      <c r="BS35" s="147" t="s">
        <v>111</v>
      </c>
      <c r="BT35" s="147">
        <v>0.30315999999999999</v>
      </c>
      <c r="BU35" s="147">
        <v>0.30842000000000003</v>
      </c>
      <c r="BV35" s="147" t="s">
        <v>129</v>
      </c>
      <c r="BW35" s="147">
        <v>8</v>
      </c>
      <c r="BX35" s="147" t="s">
        <v>111</v>
      </c>
      <c r="BY35" s="147">
        <v>0.28842000000000001</v>
      </c>
      <c r="BZ35" s="147">
        <v>0.29683999999999999</v>
      </c>
      <c r="CA35" s="147" t="s">
        <v>129</v>
      </c>
      <c r="CB35" s="147">
        <v>8</v>
      </c>
      <c r="CC35" s="147" t="s">
        <v>521</v>
      </c>
      <c r="CD35" s="147" t="s">
        <v>522</v>
      </c>
      <c r="CE35" s="147" t="s">
        <v>523</v>
      </c>
    </row>
    <row r="36" spans="1:83" ht="43.5">
      <c r="A36" s="152"/>
      <c r="B36" s="150"/>
      <c r="C36" s="150"/>
      <c r="D36" s="150"/>
      <c r="E36" s="154"/>
      <c r="F36" s="148"/>
      <c r="G36" s="148"/>
      <c r="H36" s="148"/>
      <c r="I36" s="148"/>
      <c r="J36" s="35" t="s">
        <v>718</v>
      </c>
      <c r="K36" s="150"/>
      <c r="L36" s="150"/>
      <c r="M36" s="150"/>
      <c r="N36" s="150"/>
      <c r="O36" s="150"/>
      <c r="P36" s="150"/>
      <c r="Q36" s="150"/>
      <c r="R36" s="150"/>
      <c r="S36" s="150"/>
      <c r="T36" s="150"/>
      <c r="U36" s="150"/>
      <c r="V36" s="150"/>
      <c r="W36" s="150"/>
      <c r="X36" s="150"/>
      <c r="Y36" s="150"/>
      <c r="Z36" s="150"/>
      <c r="AA36" s="150"/>
      <c r="AB36" s="150"/>
      <c r="AC36" s="150"/>
      <c r="AD36" s="150"/>
      <c r="AE36" s="150"/>
      <c r="AF36" s="150"/>
      <c r="AG36" s="150"/>
      <c r="AH36" s="150"/>
      <c r="AI36" s="150"/>
      <c r="AJ36" s="150"/>
      <c r="AK36" s="150"/>
      <c r="AL36" s="150"/>
      <c r="AM36" s="150"/>
      <c r="AN36" s="150"/>
      <c r="AO36" s="150"/>
      <c r="AP36" s="150"/>
      <c r="AQ36" s="150"/>
      <c r="AR36" s="150"/>
      <c r="AS36" s="150"/>
      <c r="AT36" s="150"/>
      <c r="AU36" s="150"/>
      <c r="AV36" s="150"/>
      <c r="AW36" s="150"/>
      <c r="AX36" s="150"/>
      <c r="AY36" s="150"/>
      <c r="AZ36" s="150"/>
      <c r="BA36" s="150"/>
      <c r="BB36" s="150"/>
      <c r="BC36" s="150"/>
      <c r="BD36" s="150"/>
      <c r="BE36" s="150"/>
      <c r="BF36" s="150"/>
      <c r="BG36" s="150"/>
      <c r="BH36" s="150"/>
      <c r="BI36" s="150"/>
      <c r="BJ36" s="150"/>
      <c r="BK36" s="150"/>
      <c r="BL36" s="150"/>
      <c r="BM36" s="150"/>
      <c r="BN36" s="150"/>
      <c r="BO36" s="148"/>
      <c r="BP36" s="148"/>
      <c r="BQ36" s="66"/>
      <c r="BR36" s="148"/>
      <c r="BS36" s="148"/>
      <c r="BT36" s="148"/>
      <c r="BU36" s="148"/>
      <c r="BV36" s="148"/>
      <c r="BW36" s="148"/>
      <c r="BX36" s="148"/>
      <c r="BY36" s="148"/>
      <c r="BZ36" s="148"/>
      <c r="CA36" s="148"/>
      <c r="CB36" s="148"/>
      <c r="CC36" s="148"/>
      <c r="CD36" s="148"/>
      <c r="CE36" s="148"/>
    </row>
    <row r="37" spans="1:83">
      <c r="A37" s="151">
        <v>12</v>
      </c>
      <c r="B37" s="149" t="s">
        <v>499</v>
      </c>
      <c r="C37" s="149">
        <v>2016</v>
      </c>
      <c r="D37" s="149" t="s">
        <v>500</v>
      </c>
      <c r="E37" s="153">
        <v>44705</v>
      </c>
      <c r="F37" s="147" t="s">
        <v>90</v>
      </c>
      <c r="G37" s="147" t="s">
        <v>360</v>
      </c>
      <c r="H37" s="147"/>
      <c r="I37" s="147" t="s">
        <v>515</v>
      </c>
      <c r="J37" s="34" t="s">
        <v>502</v>
      </c>
      <c r="K37" s="149" t="s">
        <v>97</v>
      </c>
      <c r="L37" s="149" t="s">
        <v>97</v>
      </c>
      <c r="M37" s="149" t="s">
        <v>95</v>
      </c>
      <c r="N37" s="149" t="s">
        <v>503</v>
      </c>
      <c r="O37" s="149" t="s">
        <v>97</v>
      </c>
      <c r="P37" s="149" t="s">
        <v>97</v>
      </c>
      <c r="Q37" s="149"/>
      <c r="R37" s="149"/>
      <c r="S37" s="149" t="s">
        <v>90</v>
      </c>
      <c r="T37" s="149" t="s">
        <v>191</v>
      </c>
      <c r="U37" s="149" t="s">
        <v>99</v>
      </c>
      <c r="V37" s="149">
        <v>1</v>
      </c>
      <c r="W37" s="149" t="s">
        <v>504</v>
      </c>
      <c r="X37" s="149" t="s">
        <v>211</v>
      </c>
      <c r="Y37" s="149" t="s">
        <v>102</v>
      </c>
      <c r="Z37" s="149"/>
      <c r="AA37" s="149" t="s">
        <v>505</v>
      </c>
      <c r="AB37" s="149" t="s">
        <v>105</v>
      </c>
      <c r="AC37" s="149" t="s">
        <v>506</v>
      </c>
      <c r="AD37" s="149" t="s">
        <v>211</v>
      </c>
      <c r="AE37" s="149" t="s">
        <v>197</v>
      </c>
      <c r="AF37" s="149">
        <v>2</v>
      </c>
      <c r="AG37" s="149" t="s">
        <v>90</v>
      </c>
      <c r="AH37" s="149" t="s">
        <v>507</v>
      </c>
      <c r="AI37" s="149" t="s">
        <v>508</v>
      </c>
      <c r="AJ37" s="149">
        <v>2</v>
      </c>
      <c r="AK37" s="149" t="s">
        <v>99</v>
      </c>
      <c r="AL37" s="149" t="s">
        <v>94</v>
      </c>
      <c r="AM37" s="149" t="s">
        <v>94</v>
      </c>
      <c r="AN37" s="149" t="s">
        <v>160</v>
      </c>
      <c r="AO37" s="149" t="s">
        <v>160</v>
      </c>
      <c r="AP37" s="149" t="s">
        <v>155</v>
      </c>
      <c r="AQ37" s="149" t="s">
        <v>119</v>
      </c>
      <c r="AR37" s="149" t="s">
        <v>114</v>
      </c>
      <c r="AS37" s="149" t="s">
        <v>120</v>
      </c>
      <c r="AT37" s="149" t="s">
        <v>116</v>
      </c>
      <c r="AU37" s="149" t="s">
        <v>509</v>
      </c>
      <c r="AV37" s="149">
        <v>2</v>
      </c>
      <c r="AW37" s="149"/>
      <c r="AX37" s="149"/>
      <c r="AY37" s="149"/>
      <c r="AZ37" s="149"/>
      <c r="BA37" s="149"/>
      <c r="BB37" s="149"/>
      <c r="BC37" s="149"/>
      <c r="BD37" s="149"/>
      <c r="BE37" s="149"/>
      <c r="BF37" s="149"/>
      <c r="BG37" s="149"/>
      <c r="BH37" s="149"/>
      <c r="BI37" s="149"/>
      <c r="BJ37" s="149"/>
      <c r="BK37" s="149"/>
      <c r="BL37" s="149"/>
      <c r="BM37" s="149"/>
      <c r="BN37" s="149"/>
      <c r="BO37" s="147" t="s">
        <v>717</v>
      </c>
      <c r="BP37" s="147" t="s">
        <v>519</v>
      </c>
      <c r="BQ37" s="65"/>
      <c r="BR37" s="147" t="s">
        <v>520</v>
      </c>
      <c r="BS37" s="147" t="s">
        <v>111</v>
      </c>
      <c r="BT37" s="147">
        <v>0.34842000000000001</v>
      </c>
      <c r="BU37" s="147">
        <v>0.35894999999999999</v>
      </c>
      <c r="BV37" s="147" t="s">
        <v>129</v>
      </c>
      <c r="BW37" s="147">
        <v>8</v>
      </c>
      <c r="BX37" s="147" t="s">
        <v>111</v>
      </c>
      <c r="BY37" s="147">
        <v>0.32736999999999999</v>
      </c>
      <c r="BZ37" s="147">
        <v>0.33894999999999997</v>
      </c>
      <c r="CA37" s="147" t="s">
        <v>129</v>
      </c>
      <c r="CB37" s="147">
        <v>8</v>
      </c>
      <c r="CC37" s="147" t="s">
        <v>521</v>
      </c>
      <c r="CD37" s="147" t="s">
        <v>522</v>
      </c>
      <c r="CE37" s="147" t="s">
        <v>524</v>
      </c>
    </row>
    <row r="38" spans="1:83" ht="43.5">
      <c r="A38" s="152"/>
      <c r="B38" s="150"/>
      <c r="C38" s="150"/>
      <c r="D38" s="150"/>
      <c r="E38" s="154"/>
      <c r="F38" s="148"/>
      <c r="G38" s="148"/>
      <c r="H38" s="148"/>
      <c r="I38" s="148"/>
      <c r="J38" s="35" t="s">
        <v>718</v>
      </c>
      <c r="K38" s="150"/>
      <c r="L38" s="150"/>
      <c r="M38" s="150"/>
      <c r="N38" s="150"/>
      <c r="O38" s="150"/>
      <c r="P38" s="150"/>
      <c r="Q38" s="150"/>
      <c r="R38" s="150"/>
      <c r="S38" s="150"/>
      <c r="T38" s="150"/>
      <c r="U38" s="150"/>
      <c r="V38" s="150"/>
      <c r="W38" s="150"/>
      <c r="X38" s="150"/>
      <c r="Y38" s="150"/>
      <c r="Z38" s="150"/>
      <c r="AA38" s="150"/>
      <c r="AB38" s="150"/>
      <c r="AC38" s="150"/>
      <c r="AD38" s="150"/>
      <c r="AE38" s="150"/>
      <c r="AF38" s="150"/>
      <c r="AG38" s="150"/>
      <c r="AH38" s="150"/>
      <c r="AI38" s="150"/>
      <c r="AJ38" s="150"/>
      <c r="AK38" s="150"/>
      <c r="AL38" s="150"/>
      <c r="AM38" s="150"/>
      <c r="AN38" s="150"/>
      <c r="AO38" s="150"/>
      <c r="AP38" s="150"/>
      <c r="AQ38" s="150"/>
      <c r="AR38" s="150"/>
      <c r="AS38" s="150"/>
      <c r="AT38" s="150"/>
      <c r="AU38" s="150"/>
      <c r="AV38" s="150"/>
      <c r="AW38" s="150"/>
      <c r="AX38" s="150"/>
      <c r="AY38" s="150"/>
      <c r="AZ38" s="150"/>
      <c r="BA38" s="150"/>
      <c r="BB38" s="150"/>
      <c r="BC38" s="150"/>
      <c r="BD38" s="150"/>
      <c r="BE38" s="150"/>
      <c r="BF38" s="150"/>
      <c r="BG38" s="150"/>
      <c r="BH38" s="150"/>
      <c r="BI38" s="150"/>
      <c r="BJ38" s="150"/>
      <c r="BK38" s="150"/>
      <c r="BL38" s="150"/>
      <c r="BM38" s="150"/>
      <c r="BN38" s="150"/>
      <c r="BO38" s="148"/>
      <c r="BP38" s="148"/>
      <c r="BQ38" s="66"/>
      <c r="BR38" s="148"/>
      <c r="BS38" s="148"/>
      <c r="BT38" s="148"/>
      <c r="BU38" s="148"/>
      <c r="BV38" s="148"/>
      <c r="BW38" s="148"/>
      <c r="BX38" s="148"/>
      <c r="BY38" s="148"/>
      <c r="BZ38" s="148"/>
      <c r="CA38" s="148"/>
      <c r="CB38" s="148"/>
      <c r="CC38" s="148"/>
      <c r="CD38" s="148"/>
      <c r="CE38" s="148"/>
    </row>
    <row r="39" spans="1:83" ht="145">
      <c r="A39" s="33">
        <v>13</v>
      </c>
      <c r="B39" s="26" t="s">
        <v>226</v>
      </c>
      <c r="C39" s="26">
        <v>2016</v>
      </c>
      <c r="D39" s="26" t="s">
        <v>227</v>
      </c>
      <c r="E39" s="30">
        <v>44706</v>
      </c>
      <c r="F39" s="31" t="s">
        <v>90</v>
      </c>
      <c r="G39" s="31" t="s">
        <v>360</v>
      </c>
      <c r="H39" s="31"/>
      <c r="I39" s="31"/>
      <c r="J39" s="26" t="s">
        <v>229</v>
      </c>
      <c r="K39" s="26" t="s">
        <v>97</v>
      </c>
      <c r="L39" s="26" t="s">
        <v>97</v>
      </c>
      <c r="M39" s="26" t="s">
        <v>95</v>
      </c>
      <c r="N39" s="26" t="s">
        <v>230</v>
      </c>
      <c r="O39" s="26" t="s">
        <v>97</v>
      </c>
      <c r="P39" s="26" t="s">
        <v>97</v>
      </c>
      <c r="S39" s="26" t="s">
        <v>90</v>
      </c>
      <c r="T39" s="26" t="s">
        <v>141</v>
      </c>
      <c r="U39" s="26" t="s">
        <v>99</v>
      </c>
      <c r="V39" s="26">
        <v>1</v>
      </c>
      <c r="W39" s="26" t="s">
        <v>231</v>
      </c>
      <c r="X39" s="26" t="s">
        <v>232</v>
      </c>
      <c r="Y39" s="26" t="s">
        <v>102</v>
      </c>
      <c r="Z39" s="26" t="s">
        <v>233</v>
      </c>
      <c r="AA39" s="26" t="s">
        <v>234</v>
      </c>
      <c r="AB39" s="26" t="s">
        <v>105</v>
      </c>
      <c r="AC39" s="26" t="s">
        <v>235</v>
      </c>
      <c r="AD39" s="26" t="s">
        <v>236</v>
      </c>
      <c r="AE39" s="26" t="s">
        <v>148</v>
      </c>
      <c r="AF39" s="26">
        <v>1</v>
      </c>
      <c r="AG39" s="26" t="s">
        <v>160</v>
      </c>
      <c r="AH39" s="26" t="s">
        <v>155</v>
      </c>
      <c r="AI39" s="26" t="s">
        <v>110</v>
      </c>
      <c r="AJ39" s="26">
        <v>2</v>
      </c>
      <c r="AK39" s="26" t="s">
        <v>99</v>
      </c>
      <c r="AL39" s="26" t="s">
        <v>94</v>
      </c>
      <c r="AM39" s="26" t="s">
        <v>94</v>
      </c>
      <c r="AN39" s="26" t="s">
        <v>111</v>
      </c>
      <c r="AO39" s="26" t="s">
        <v>111</v>
      </c>
      <c r="AP39" s="26" t="s">
        <v>155</v>
      </c>
      <c r="AQ39" s="26" t="s">
        <v>119</v>
      </c>
      <c r="AR39" s="26" t="s">
        <v>114</v>
      </c>
      <c r="AS39" s="26" t="s">
        <v>120</v>
      </c>
      <c r="AT39" s="26" t="s">
        <v>116</v>
      </c>
      <c r="AU39" s="26" t="s">
        <v>237</v>
      </c>
      <c r="AV39" s="26">
        <v>3</v>
      </c>
      <c r="BO39" s="31" t="s">
        <v>238</v>
      </c>
      <c r="BP39" s="31" t="s">
        <v>239</v>
      </c>
      <c r="BQ39" s="31"/>
      <c r="BR39" s="31" t="s">
        <v>240</v>
      </c>
      <c r="BS39" s="31" t="s">
        <v>111</v>
      </c>
      <c r="BT39" s="31">
        <v>0.63863000000000003</v>
      </c>
      <c r="BU39" s="31" t="s">
        <v>111</v>
      </c>
      <c r="BV39" s="31" t="s">
        <v>111</v>
      </c>
      <c r="BW39" s="31">
        <v>10</v>
      </c>
      <c r="BX39" s="31" t="s">
        <v>111</v>
      </c>
      <c r="BY39" s="31">
        <v>0.63863000000000003</v>
      </c>
      <c r="BZ39" s="31" t="s">
        <v>111</v>
      </c>
      <c r="CA39" s="31" t="s">
        <v>111</v>
      </c>
      <c r="CB39" s="31">
        <v>10</v>
      </c>
      <c r="CC39" s="31" t="s">
        <v>241</v>
      </c>
      <c r="CD39" s="31" t="s">
        <v>242</v>
      </c>
      <c r="CE39" s="31"/>
    </row>
    <row r="40" spans="1:83" ht="145">
      <c r="A40" s="33">
        <v>13</v>
      </c>
      <c r="B40" s="26" t="s">
        <v>226</v>
      </c>
      <c r="C40" s="26">
        <v>2016</v>
      </c>
      <c r="D40" s="26" t="s">
        <v>227</v>
      </c>
      <c r="E40" s="30">
        <v>44706</v>
      </c>
      <c r="F40" s="31" t="s">
        <v>90</v>
      </c>
      <c r="G40" s="31" t="s">
        <v>360</v>
      </c>
      <c r="H40" s="31"/>
      <c r="I40" s="31"/>
      <c r="J40" s="26" t="s">
        <v>229</v>
      </c>
      <c r="K40" s="26" t="s">
        <v>97</v>
      </c>
      <c r="L40" s="26" t="s">
        <v>97</v>
      </c>
      <c r="M40" s="26" t="s">
        <v>95</v>
      </c>
      <c r="N40" s="26" t="s">
        <v>230</v>
      </c>
      <c r="O40" s="26" t="s">
        <v>97</v>
      </c>
      <c r="P40" s="26" t="s">
        <v>97</v>
      </c>
      <c r="S40" s="26" t="s">
        <v>90</v>
      </c>
      <c r="T40" s="26" t="s">
        <v>141</v>
      </c>
      <c r="U40" s="26" t="s">
        <v>99</v>
      </c>
      <c r="V40" s="26">
        <v>1</v>
      </c>
      <c r="W40" s="26" t="s">
        <v>231</v>
      </c>
      <c r="X40" s="26" t="s">
        <v>232</v>
      </c>
      <c r="Y40" s="26" t="s">
        <v>102</v>
      </c>
      <c r="Z40" s="26" t="s">
        <v>233</v>
      </c>
      <c r="AA40" s="26" t="s">
        <v>234</v>
      </c>
      <c r="AB40" s="26" t="s">
        <v>105</v>
      </c>
      <c r="AC40" s="26" t="s">
        <v>235</v>
      </c>
      <c r="AD40" s="26" t="s">
        <v>236</v>
      </c>
      <c r="AE40" s="26" t="s">
        <v>148</v>
      </c>
      <c r="AF40" s="26">
        <v>1</v>
      </c>
      <c r="AG40" s="26" t="s">
        <v>160</v>
      </c>
      <c r="AH40" s="26" t="s">
        <v>155</v>
      </c>
      <c r="AI40" s="26" t="s">
        <v>110</v>
      </c>
      <c r="AJ40" s="26">
        <v>2</v>
      </c>
      <c r="AK40" s="26" t="s">
        <v>99</v>
      </c>
      <c r="AL40" s="26" t="s">
        <v>94</v>
      </c>
      <c r="AM40" s="26" t="s">
        <v>94</v>
      </c>
      <c r="AN40" s="26" t="s">
        <v>111</v>
      </c>
      <c r="AO40" s="26" t="s">
        <v>111</v>
      </c>
      <c r="AP40" s="26" t="s">
        <v>155</v>
      </c>
      <c r="AQ40" s="26" t="s">
        <v>119</v>
      </c>
      <c r="AR40" s="26" t="s">
        <v>114</v>
      </c>
      <c r="AS40" s="26" t="s">
        <v>120</v>
      </c>
      <c r="AT40" s="26" t="s">
        <v>116</v>
      </c>
      <c r="AU40" s="26" t="s">
        <v>237</v>
      </c>
      <c r="AV40" s="26">
        <v>3</v>
      </c>
      <c r="BO40" s="31" t="s">
        <v>238</v>
      </c>
      <c r="BP40" s="31" t="s">
        <v>243</v>
      </c>
      <c r="BQ40" s="31"/>
      <c r="BR40" s="31" t="s">
        <v>240</v>
      </c>
      <c r="BS40" s="31" t="s">
        <v>111</v>
      </c>
      <c r="BT40" s="31">
        <v>0.28383999999999998</v>
      </c>
      <c r="BU40" s="31" t="s">
        <v>111</v>
      </c>
      <c r="BV40" s="31" t="s">
        <v>111</v>
      </c>
      <c r="BW40" s="31">
        <v>10</v>
      </c>
      <c r="BX40" s="31" t="s">
        <v>111</v>
      </c>
      <c r="BY40" s="31">
        <v>0.17068</v>
      </c>
      <c r="BZ40" s="31" t="s">
        <v>111</v>
      </c>
      <c r="CA40" s="31" t="s">
        <v>111</v>
      </c>
      <c r="CB40" s="31">
        <v>10</v>
      </c>
      <c r="CC40" s="31" t="s">
        <v>241</v>
      </c>
      <c r="CD40" s="31" t="s">
        <v>242</v>
      </c>
      <c r="CE40" s="31"/>
    </row>
    <row r="41" spans="1:83" ht="145">
      <c r="A41" s="33">
        <v>13</v>
      </c>
      <c r="B41" s="26" t="s">
        <v>226</v>
      </c>
      <c r="C41" s="26">
        <v>2016</v>
      </c>
      <c r="D41" s="26" t="s">
        <v>227</v>
      </c>
      <c r="E41" s="30">
        <v>44706</v>
      </c>
      <c r="F41" s="31" t="s">
        <v>90</v>
      </c>
      <c r="G41" s="31" t="s">
        <v>360</v>
      </c>
      <c r="H41" s="31"/>
      <c r="I41" s="31"/>
      <c r="J41" s="26" t="s">
        <v>229</v>
      </c>
      <c r="K41" s="26" t="s">
        <v>97</v>
      </c>
      <c r="L41" s="26" t="s">
        <v>97</v>
      </c>
      <c r="M41" s="26" t="s">
        <v>95</v>
      </c>
      <c r="N41" s="26" t="s">
        <v>230</v>
      </c>
      <c r="O41" s="26" t="s">
        <v>97</v>
      </c>
      <c r="P41" s="26" t="s">
        <v>97</v>
      </c>
      <c r="S41" s="26" t="s">
        <v>90</v>
      </c>
      <c r="T41" s="26" t="s">
        <v>141</v>
      </c>
      <c r="U41" s="26" t="s">
        <v>99</v>
      </c>
      <c r="V41" s="26">
        <v>1</v>
      </c>
      <c r="W41" s="26" t="s">
        <v>231</v>
      </c>
      <c r="X41" s="26" t="s">
        <v>232</v>
      </c>
      <c r="Y41" s="26" t="s">
        <v>102</v>
      </c>
      <c r="Z41" s="26" t="s">
        <v>233</v>
      </c>
      <c r="AA41" s="26" t="s">
        <v>234</v>
      </c>
      <c r="AB41" s="26" t="s">
        <v>105</v>
      </c>
      <c r="AC41" s="26" t="s">
        <v>235</v>
      </c>
      <c r="AD41" s="26" t="s">
        <v>236</v>
      </c>
      <c r="AE41" s="26" t="s">
        <v>148</v>
      </c>
      <c r="AF41" s="26">
        <v>1</v>
      </c>
      <c r="AG41" s="26" t="s">
        <v>160</v>
      </c>
      <c r="AH41" s="26" t="s">
        <v>155</v>
      </c>
      <c r="AI41" s="26" t="s">
        <v>110</v>
      </c>
      <c r="AJ41" s="26">
        <v>2</v>
      </c>
      <c r="AK41" s="26" t="s">
        <v>99</v>
      </c>
      <c r="AL41" s="26" t="s">
        <v>94</v>
      </c>
      <c r="AM41" s="26" t="s">
        <v>94</v>
      </c>
      <c r="AN41" s="26" t="s">
        <v>111</v>
      </c>
      <c r="AO41" s="26" t="s">
        <v>111</v>
      </c>
      <c r="AP41" s="26" t="s">
        <v>155</v>
      </c>
      <c r="AQ41" s="26" t="s">
        <v>119</v>
      </c>
      <c r="AR41" s="26" t="s">
        <v>114</v>
      </c>
      <c r="AS41" s="26" t="s">
        <v>120</v>
      </c>
      <c r="AT41" s="26" t="s">
        <v>116</v>
      </c>
      <c r="AU41" s="26" t="s">
        <v>237</v>
      </c>
      <c r="AV41" s="26">
        <v>3</v>
      </c>
      <c r="BO41" s="31" t="s">
        <v>238</v>
      </c>
      <c r="BP41" s="31" t="s">
        <v>246</v>
      </c>
      <c r="BQ41" s="31"/>
      <c r="BR41" s="31" t="s">
        <v>240</v>
      </c>
      <c r="BS41" s="31" t="s">
        <v>111</v>
      </c>
      <c r="BT41" s="31">
        <v>3.2603E-2</v>
      </c>
      <c r="BU41" s="31" t="s">
        <v>111</v>
      </c>
      <c r="BV41" s="31" t="s">
        <v>111</v>
      </c>
      <c r="BW41" s="31">
        <v>10</v>
      </c>
      <c r="BX41" s="31" t="s">
        <v>111</v>
      </c>
      <c r="BY41" s="31">
        <v>3.3562000000000002E-2</v>
      </c>
      <c r="BZ41" s="31" t="s">
        <v>111</v>
      </c>
      <c r="CA41" s="31" t="s">
        <v>111</v>
      </c>
      <c r="CB41" s="31">
        <v>10</v>
      </c>
      <c r="CC41" s="31" t="s">
        <v>241</v>
      </c>
      <c r="CD41" s="31" t="s">
        <v>242</v>
      </c>
      <c r="CE41" s="31"/>
    </row>
    <row r="42" spans="1:83" ht="145">
      <c r="A42" s="33">
        <v>13</v>
      </c>
      <c r="B42" s="26" t="s">
        <v>226</v>
      </c>
      <c r="C42" s="26">
        <v>2016</v>
      </c>
      <c r="D42" s="26" t="s">
        <v>227</v>
      </c>
      <c r="E42" s="30">
        <v>44706</v>
      </c>
      <c r="F42" s="31" t="s">
        <v>90</v>
      </c>
      <c r="G42" s="31" t="s">
        <v>360</v>
      </c>
      <c r="H42" s="31"/>
      <c r="I42" s="31"/>
      <c r="J42" s="26" t="s">
        <v>229</v>
      </c>
      <c r="K42" s="26" t="s">
        <v>97</v>
      </c>
      <c r="L42" s="26" t="s">
        <v>97</v>
      </c>
      <c r="M42" s="26" t="s">
        <v>95</v>
      </c>
      <c r="N42" s="26" t="s">
        <v>230</v>
      </c>
      <c r="O42" s="26" t="s">
        <v>97</v>
      </c>
      <c r="P42" s="26" t="s">
        <v>97</v>
      </c>
      <c r="S42" s="26" t="s">
        <v>90</v>
      </c>
      <c r="T42" s="26" t="s">
        <v>141</v>
      </c>
      <c r="U42" s="26" t="s">
        <v>99</v>
      </c>
      <c r="V42" s="26">
        <v>1</v>
      </c>
      <c r="W42" s="26" t="s">
        <v>231</v>
      </c>
      <c r="X42" s="26" t="s">
        <v>232</v>
      </c>
      <c r="Y42" s="26" t="s">
        <v>102</v>
      </c>
      <c r="Z42" s="26" t="s">
        <v>233</v>
      </c>
      <c r="AA42" s="26" t="s">
        <v>234</v>
      </c>
      <c r="AB42" s="26" t="s">
        <v>105</v>
      </c>
      <c r="AC42" s="26" t="s">
        <v>235</v>
      </c>
      <c r="AD42" s="26" t="s">
        <v>236</v>
      </c>
      <c r="AE42" s="26" t="s">
        <v>148</v>
      </c>
      <c r="AF42" s="26">
        <v>1</v>
      </c>
      <c r="AG42" s="26" t="s">
        <v>160</v>
      </c>
      <c r="AH42" s="26" t="s">
        <v>155</v>
      </c>
      <c r="AI42" s="26" t="s">
        <v>110</v>
      </c>
      <c r="AJ42" s="26">
        <v>2</v>
      </c>
      <c r="AK42" s="26" t="s">
        <v>99</v>
      </c>
      <c r="AL42" s="26" t="s">
        <v>94</v>
      </c>
      <c r="AM42" s="26" t="s">
        <v>94</v>
      </c>
      <c r="AN42" s="26" t="s">
        <v>111</v>
      </c>
      <c r="AO42" s="26" t="s">
        <v>111</v>
      </c>
      <c r="AP42" s="26" t="s">
        <v>155</v>
      </c>
      <c r="AQ42" s="26" t="s">
        <v>119</v>
      </c>
      <c r="AR42" s="26" t="s">
        <v>114</v>
      </c>
      <c r="AS42" s="26" t="s">
        <v>120</v>
      </c>
      <c r="AT42" s="26" t="s">
        <v>116</v>
      </c>
      <c r="AU42" s="26" t="s">
        <v>237</v>
      </c>
      <c r="AV42" s="26">
        <v>3</v>
      </c>
      <c r="BO42" s="31" t="s">
        <v>238</v>
      </c>
      <c r="BP42" s="31" t="s">
        <v>239</v>
      </c>
      <c r="BQ42" s="31"/>
      <c r="BR42" s="31" t="s">
        <v>247</v>
      </c>
      <c r="BS42" s="31" t="s">
        <v>111</v>
      </c>
      <c r="BT42" s="31">
        <v>6.1430999999999999E-2</v>
      </c>
      <c r="BU42" s="31" t="s">
        <v>111</v>
      </c>
      <c r="BV42" s="31" t="s">
        <v>129</v>
      </c>
      <c r="BW42" s="31">
        <v>10</v>
      </c>
      <c r="BX42" s="31" t="s">
        <v>111</v>
      </c>
      <c r="BY42" s="31">
        <v>4.0488999999999997E-2</v>
      </c>
      <c r="BZ42" s="31" t="s">
        <v>111</v>
      </c>
      <c r="CA42" s="31" t="s">
        <v>129</v>
      </c>
      <c r="CB42" s="31">
        <v>10</v>
      </c>
      <c r="CC42" s="31" t="s">
        <v>244</v>
      </c>
      <c r="CD42" s="31" t="s">
        <v>245</v>
      </c>
      <c r="CE42" s="31"/>
    </row>
    <row r="43" spans="1:83" ht="145">
      <c r="A43" s="33">
        <v>13</v>
      </c>
      <c r="B43" s="26" t="s">
        <v>226</v>
      </c>
      <c r="C43" s="26">
        <v>2016</v>
      </c>
      <c r="D43" s="26" t="s">
        <v>227</v>
      </c>
      <c r="E43" s="30">
        <v>44706</v>
      </c>
      <c r="F43" s="31" t="s">
        <v>90</v>
      </c>
      <c r="G43" s="31" t="s">
        <v>360</v>
      </c>
      <c r="H43" s="31"/>
      <c r="I43" s="31"/>
      <c r="J43" s="26" t="s">
        <v>229</v>
      </c>
      <c r="K43" s="26" t="s">
        <v>97</v>
      </c>
      <c r="L43" s="26" t="s">
        <v>97</v>
      </c>
      <c r="M43" s="26" t="s">
        <v>95</v>
      </c>
      <c r="N43" s="26" t="s">
        <v>230</v>
      </c>
      <c r="O43" s="26" t="s">
        <v>97</v>
      </c>
      <c r="P43" s="26" t="s">
        <v>97</v>
      </c>
      <c r="S43" s="26" t="s">
        <v>90</v>
      </c>
      <c r="T43" s="26" t="s">
        <v>141</v>
      </c>
      <c r="U43" s="26" t="s">
        <v>99</v>
      </c>
      <c r="V43" s="26">
        <v>1</v>
      </c>
      <c r="W43" s="26" t="s">
        <v>231</v>
      </c>
      <c r="X43" s="26" t="s">
        <v>232</v>
      </c>
      <c r="Y43" s="26" t="s">
        <v>102</v>
      </c>
      <c r="Z43" s="26" t="s">
        <v>233</v>
      </c>
      <c r="AA43" s="26" t="s">
        <v>234</v>
      </c>
      <c r="AB43" s="26" t="s">
        <v>105</v>
      </c>
      <c r="AC43" s="26" t="s">
        <v>235</v>
      </c>
      <c r="AD43" s="26" t="s">
        <v>236</v>
      </c>
      <c r="AE43" s="26" t="s">
        <v>148</v>
      </c>
      <c r="AF43" s="26">
        <v>1</v>
      </c>
      <c r="AG43" s="26" t="s">
        <v>160</v>
      </c>
      <c r="AH43" s="26" t="s">
        <v>155</v>
      </c>
      <c r="AI43" s="26" t="s">
        <v>110</v>
      </c>
      <c r="AJ43" s="26">
        <v>2</v>
      </c>
      <c r="AK43" s="26" t="s">
        <v>99</v>
      </c>
      <c r="AL43" s="26" t="s">
        <v>94</v>
      </c>
      <c r="AM43" s="26" t="s">
        <v>94</v>
      </c>
      <c r="AN43" s="26" t="s">
        <v>111</v>
      </c>
      <c r="AO43" s="26" t="s">
        <v>111</v>
      </c>
      <c r="AP43" s="26" t="s">
        <v>155</v>
      </c>
      <c r="AQ43" s="26" t="s">
        <v>119</v>
      </c>
      <c r="AR43" s="26" t="s">
        <v>114</v>
      </c>
      <c r="AS43" s="26" t="s">
        <v>120</v>
      </c>
      <c r="AT43" s="26" t="s">
        <v>116</v>
      </c>
      <c r="AU43" s="26" t="s">
        <v>237</v>
      </c>
      <c r="AV43" s="26">
        <v>3</v>
      </c>
      <c r="BO43" s="31" t="s">
        <v>238</v>
      </c>
      <c r="BP43" s="31" t="s">
        <v>243</v>
      </c>
      <c r="BQ43" s="31"/>
      <c r="BR43" s="31" t="s">
        <v>247</v>
      </c>
      <c r="BS43" s="31" t="s">
        <v>111</v>
      </c>
      <c r="BT43" s="31">
        <v>0.13053999999999999</v>
      </c>
      <c r="BU43" s="31">
        <v>0.15497</v>
      </c>
      <c r="BV43" s="31" t="s">
        <v>129</v>
      </c>
      <c r="BW43" s="31">
        <v>10</v>
      </c>
      <c r="BX43" s="31" t="s">
        <v>111</v>
      </c>
      <c r="BY43" s="31">
        <v>0.11239</v>
      </c>
      <c r="BZ43" s="31">
        <v>0.13403000000000001</v>
      </c>
      <c r="CA43" s="31" t="s">
        <v>129</v>
      </c>
      <c r="CB43" s="31">
        <v>10</v>
      </c>
      <c r="CC43" s="31" t="s">
        <v>244</v>
      </c>
      <c r="CD43" s="31" t="s">
        <v>245</v>
      </c>
      <c r="CE43" s="31"/>
    </row>
    <row r="44" spans="1:83" ht="145">
      <c r="A44" s="33">
        <v>13</v>
      </c>
      <c r="B44" s="26" t="s">
        <v>226</v>
      </c>
      <c r="C44" s="26">
        <v>2016</v>
      </c>
      <c r="D44" s="26" t="s">
        <v>227</v>
      </c>
      <c r="E44" s="30">
        <v>44706</v>
      </c>
      <c r="F44" s="31" t="s">
        <v>90</v>
      </c>
      <c r="G44" s="31" t="s">
        <v>360</v>
      </c>
      <c r="H44" s="31"/>
      <c r="I44" s="31"/>
      <c r="J44" s="26" t="s">
        <v>229</v>
      </c>
      <c r="K44" s="26" t="s">
        <v>97</v>
      </c>
      <c r="L44" s="26" t="s">
        <v>97</v>
      </c>
      <c r="M44" s="26" t="s">
        <v>95</v>
      </c>
      <c r="N44" s="26" t="s">
        <v>230</v>
      </c>
      <c r="O44" s="26" t="s">
        <v>97</v>
      </c>
      <c r="P44" s="26" t="s">
        <v>97</v>
      </c>
      <c r="S44" s="26" t="s">
        <v>90</v>
      </c>
      <c r="T44" s="26" t="s">
        <v>141</v>
      </c>
      <c r="U44" s="26" t="s">
        <v>99</v>
      </c>
      <c r="V44" s="26">
        <v>1</v>
      </c>
      <c r="W44" s="26" t="s">
        <v>231</v>
      </c>
      <c r="X44" s="26" t="s">
        <v>232</v>
      </c>
      <c r="Y44" s="26" t="s">
        <v>102</v>
      </c>
      <c r="Z44" s="26" t="s">
        <v>233</v>
      </c>
      <c r="AA44" s="26" t="s">
        <v>234</v>
      </c>
      <c r="AB44" s="26" t="s">
        <v>105</v>
      </c>
      <c r="AC44" s="26" t="s">
        <v>235</v>
      </c>
      <c r="AD44" s="26" t="s">
        <v>236</v>
      </c>
      <c r="AE44" s="26" t="s">
        <v>148</v>
      </c>
      <c r="AF44" s="26">
        <v>1</v>
      </c>
      <c r="AG44" s="26" t="s">
        <v>160</v>
      </c>
      <c r="AH44" s="26" t="s">
        <v>155</v>
      </c>
      <c r="AI44" s="26" t="s">
        <v>110</v>
      </c>
      <c r="AJ44" s="26">
        <v>2</v>
      </c>
      <c r="AK44" s="26" t="s">
        <v>99</v>
      </c>
      <c r="AL44" s="26" t="s">
        <v>94</v>
      </c>
      <c r="AM44" s="26" t="s">
        <v>94</v>
      </c>
      <c r="AN44" s="26" t="s">
        <v>111</v>
      </c>
      <c r="AO44" s="26" t="s">
        <v>111</v>
      </c>
      <c r="AP44" s="26" t="s">
        <v>155</v>
      </c>
      <c r="AQ44" s="26" t="s">
        <v>119</v>
      </c>
      <c r="AR44" s="26" t="s">
        <v>114</v>
      </c>
      <c r="AS44" s="26" t="s">
        <v>120</v>
      </c>
      <c r="AT44" s="26" t="s">
        <v>116</v>
      </c>
      <c r="AU44" s="26" t="s">
        <v>237</v>
      </c>
      <c r="AV44" s="26">
        <v>3</v>
      </c>
      <c r="BO44" s="31" t="s">
        <v>238</v>
      </c>
      <c r="BP44" s="31" t="s">
        <v>246</v>
      </c>
      <c r="BQ44" s="31"/>
      <c r="BR44" s="31" t="s">
        <v>247</v>
      </c>
      <c r="BS44" s="31" t="s">
        <v>111</v>
      </c>
      <c r="BT44" s="31">
        <v>0.27365</v>
      </c>
      <c r="BU44" s="31">
        <v>0.28900999999999999</v>
      </c>
      <c r="BV44" s="31" t="s">
        <v>129</v>
      </c>
      <c r="BW44" s="31">
        <v>10</v>
      </c>
      <c r="BX44" s="31" t="s">
        <v>111</v>
      </c>
      <c r="BY44" s="31">
        <v>0.30715999999999999</v>
      </c>
      <c r="BZ44" s="31">
        <v>0.33018999999999998</v>
      </c>
      <c r="CA44" s="31" t="s">
        <v>129</v>
      </c>
      <c r="CB44" s="31">
        <v>10</v>
      </c>
      <c r="CC44" s="31" t="s">
        <v>244</v>
      </c>
      <c r="CD44" s="31" t="s">
        <v>245</v>
      </c>
      <c r="CE44" s="31"/>
    </row>
    <row r="45" spans="1:83" ht="87">
      <c r="A45" s="33">
        <v>14</v>
      </c>
      <c r="B45" s="26" t="s">
        <v>365</v>
      </c>
      <c r="C45" s="26">
        <v>2017</v>
      </c>
      <c r="D45" s="26" t="s">
        <v>366</v>
      </c>
      <c r="E45" s="30">
        <v>44714</v>
      </c>
      <c r="F45" s="31" t="s">
        <v>90</v>
      </c>
      <c r="G45" s="31" t="s">
        <v>360</v>
      </c>
      <c r="H45" s="31"/>
      <c r="I45" s="31" t="s">
        <v>368</v>
      </c>
      <c r="J45" s="26" t="s">
        <v>369</v>
      </c>
      <c r="K45" s="26" t="s">
        <v>97</v>
      </c>
      <c r="L45" s="26" t="s">
        <v>137</v>
      </c>
      <c r="M45" s="26" t="s">
        <v>95</v>
      </c>
      <c r="N45" s="26" t="s">
        <v>370</v>
      </c>
      <c r="O45" s="26" t="s">
        <v>97</v>
      </c>
      <c r="P45" s="26" t="s">
        <v>97</v>
      </c>
      <c r="S45" s="26" t="s">
        <v>90</v>
      </c>
      <c r="T45" s="26" t="s">
        <v>191</v>
      </c>
      <c r="U45" s="26" t="s">
        <v>99</v>
      </c>
      <c r="W45" s="26">
        <v>2</v>
      </c>
      <c r="X45" s="26">
        <v>1</v>
      </c>
      <c r="Y45" s="26" t="s">
        <v>371</v>
      </c>
      <c r="AA45" s="26" t="s">
        <v>319</v>
      </c>
      <c r="AB45" s="26" t="s">
        <v>105</v>
      </c>
      <c r="AC45" s="26" t="s">
        <v>372</v>
      </c>
      <c r="AD45" s="26" t="s">
        <v>373</v>
      </c>
      <c r="AE45" s="26" t="s">
        <v>197</v>
      </c>
      <c r="AF45" s="26">
        <v>4</v>
      </c>
      <c r="AG45" s="26" t="s">
        <v>90</v>
      </c>
      <c r="AH45" s="26" t="s">
        <v>374</v>
      </c>
      <c r="AI45" s="26" t="s">
        <v>150</v>
      </c>
      <c r="AJ45" s="26">
        <v>2</v>
      </c>
      <c r="AK45" s="26" t="s">
        <v>151</v>
      </c>
      <c r="AL45" s="26" t="s">
        <v>97</v>
      </c>
      <c r="AM45" s="26" t="s">
        <v>97</v>
      </c>
      <c r="AN45" s="26" t="s">
        <v>152</v>
      </c>
      <c r="AO45" s="26">
        <v>2</v>
      </c>
      <c r="AP45" s="26" t="s">
        <v>155</v>
      </c>
      <c r="AQ45" s="26" t="s">
        <v>119</v>
      </c>
      <c r="AR45" s="26" t="s">
        <v>114</v>
      </c>
      <c r="AS45" s="26" t="s">
        <v>120</v>
      </c>
      <c r="AT45" s="26" t="s">
        <v>116</v>
      </c>
      <c r="AU45" s="26" t="s">
        <v>375</v>
      </c>
      <c r="AV45" s="26">
        <v>2</v>
      </c>
      <c r="AW45" s="26" t="s">
        <v>184</v>
      </c>
      <c r="AX45" s="26" t="s">
        <v>113</v>
      </c>
      <c r="AY45" s="26" t="s">
        <v>115</v>
      </c>
      <c r="AZ45" s="26" t="s">
        <v>116</v>
      </c>
      <c r="BA45" s="26" t="s">
        <v>376</v>
      </c>
      <c r="BB45" s="26">
        <v>3</v>
      </c>
      <c r="BC45" s="26" t="s">
        <v>184</v>
      </c>
      <c r="BD45" s="26" t="s">
        <v>123</v>
      </c>
      <c r="BE45" s="26" t="s">
        <v>124</v>
      </c>
      <c r="BF45" s="26" t="s">
        <v>116</v>
      </c>
      <c r="BG45" s="26" t="s">
        <v>377</v>
      </c>
      <c r="BH45" s="26">
        <v>2</v>
      </c>
      <c r="BI45" s="26" t="s">
        <v>378</v>
      </c>
      <c r="BJ45" s="26" t="s">
        <v>123</v>
      </c>
      <c r="BK45" s="26" t="s">
        <v>124</v>
      </c>
      <c r="BL45" s="26" t="s">
        <v>116</v>
      </c>
      <c r="BM45" s="26" t="s">
        <v>379</v>
      </c>
      <c r="BN45" s="26">
        <v>3</v>
      </c>
      <c r="BO45" s="31" t="s">
        <v>719</v>
      </c>
      <c r="BP45" s="31" t="s">
        <v>380</v>
      </c>
      <c r="BQ45" s="31"/>
      <c r="BR45" s="31" t="s">
        <v>240</v>
      </c>
      <c r="BS45" s="31">
        <v>-2.9163597999999999E-2</v>
      </c>
      <c r="BT45" s="31">
        <v>2.8571428999999999E-2</v>
      </c>
      <c r="BU45" s="31">
        <v>8.6306455000000004E-2</v>
      </c>
      <c r="BV45" s="31" t="s">
        <v>393</v>
      </c>
      <c r="BW45" s="31">
        <v>7</v>
      </c>
      <c r="BX45" s="31"/>
      <c r="BY45" s="31"/>
      <c r="BZ45" s="31"/>
      <c r="CA45" s="31"/>
      <c r="CB45" s="31"/>
      <c r="CC45" s="31" t="s">
        <v>381</v>
      </c>
      <c r="CD45" s="31"/>
      <c r="CE45" s="31">
        <v>5.7735027000000001E-2</v>
      </c>
    </row>
    <row r="46" spans="1:83" ht="87">
      <c r="A46" s="33">
        <v>14</v>
      </c>
      <c r="B46" s="26" t="s">
        <v>365</v>
      </c>
      <c r="C46" s="26">
        <v>2017</v>
      </c>
      <c r="D46" s="26" t="s">
        <v>366</v>
      </c>
      <c r="E46" s="30">
        <v>44714</v>
      </c>
      <c r="F46" s="31" t="s">
        <v>90</v>
      </c>
      <c r="G46" s="31" t="s">
        <v>360</v>
      </c>
      <c r="H46" s="31"/>
      <c r="I46" s="31" t="s">
        <v>368</v>
      </c>
      <c r="J46" s="26" t="s">
        <v>369</v>
      </c>
      <c r="K46" s="26" t="s">
        <v>97</v>
      </c>
      <c r="L46" s="26" t="s">
        <v>137</v>
      </c>
      <c r="M46" s="26" t="s">
        <v>95</v>
      </c>
      <c r="N46" s="26" t="s">
        <v>370</v>
      </c>
      <c r="O46" s="26" t="s">
        <v>97</v>
      </c>
      <c r="P46" s="26" t="s">
        <v>97</v>
      </c>
      <c r="S46" s="26" t="s">
        <v>90</v>
      </c>
      <c r="T46" s="26" t="s">
        <v>191</v>
      </c>
      <c r="U46" s="26" t="s">
        <v>99</v>
      </c>
      <c r="W46" s="26">
        <v>2</v>
      </c>
      <c r="X46" s="26">
        <v>1</v>
      </c>
      <c r="Y46" s="26" t="s">
        <v>371</v>
      </c>
      <c r="AA46" s="26" t="s">
        <v>319</v>
      </c>
      <c r="AB46" s="26" t="s">
        <v>105</v>
      </c>
      <c r="AC46" s="26" t="s">
        <v>372</v>
      </c>
      <c r="AD46" s="26" t="s">
        <v>373</v>
      </c>
      <c r="AE46" s="26" t="s">
        <v>197</v>
      </c>
      <c r="AF46" s="26">
        <v>4</v>
      </c>
      <c r="AG46" s="26" t="s">
        <v>90</v>
      </c>
      <c r="AH46" s="26" t="s">
        <v>374</v>
      </c>
      <c r="AI46" s="26" t="s">
        <v>150</v>
      </c>
      <c r="AJ46" s="26">
        <v>2</v>
      </c>
      <c r="AK46" s="26" t="s">
        <v>151</v>
      </c>
      <c r="AL46" s="26" t="s">
        <v>97</v>
      </c>
      <c r="AM46" s="26" t="s">
        <v>97</v>
      </c>
      <c r="AN46" s="26" t="s">
        <v>152</v>
      </c>
      <c r="AO46" s="26">
        <v>2</v>
      </c>
      <c r="AP46" s="26" t="s">
        <v>155</v>
      </c>
      <c r="AQ46" s="26" t="s">
        <v>119</v>
      </c>
      <c r="AR46" s="26" t="s">
        <v>114</v>
      </c>
      <c r="AS46" s="26" t="s">
        <v>120</v>
      </c>
      <c r="AT46" s="26" t="s">
        <v>116</v>
      </c>
      <c r="AU46" s="26" t="s">
        <v>375</v>
      </c>
      <c r="AV46" s="26">
        <v>2</v>
      </c>
      <c r="AW46" s="26" t="s">
        <v>184</v>
      </c>
      <c r="AX46" s="26" t="s">
        <v>113</v>
      </c>
      <c r="AY46" s="26" t="s">
        <v>115</v>
      </c>
      <c r="AZ46" s="26" t="s">
        <v>116</v>
      </c>
      <c r="BA46" s="26" t="s">
        <v>376</v>
      </c>
      <c r="BB46" s="26">
        <v>3</v>
      </c>
      <c r="BC46" s="26" t="s">
        <v>184</v>
      </c>
      <c r="BD46" s="26" t="s">
        <v>123</v>
      </c>
      <c r="BE46" s="26" t="s">
        <v>124</v>
      </c>
      <c r="BF46" s="26" t="s">
        <v>116</v>
      </c>
      <c r="BG46" s="26" t="s">
        <v>377</v>
      </c>
      <c r="BH46" s="26">
        <v>2</v>
      </c>
      <c r="BI46" s="26" t="s">
        <v>378</v>
      </c>
      <c r="BJ46" s="26" t="s">
        <v>123</v>
      </c>
      <c r="BK46" s="26" t="s">
        <v>124</v>
      </c>
      <c r="BL46" s="26" t="s">
        <v>116</v>
      </c>
      <c r="BM46" s="26" t="s">
        <v>379</v>
      </c>
      <c r="BN46" s="26">
        <v>3</v>
      </c>
      <c r="BO46" s="31" t="s">
        <v>719</v>
      </c>
      <c r="BP46" s="31" t="s">
        <v>384</v>
      </c>
      <c r="BQ46" s="31"/>
      <c r="BR46" s="31" t="s">
        <v>240</v>
      </c>
      <c r="BS46" s="31">
        <v>-1.180026E-3</v>
      </c>
      <c r="BT46" s="31">
        <v>6.3492059999999996E-3</v>
      </c>
      <c r="BU46" s="31">
        <v>1.3878438999999999E-2</v>
      </c>
      <c r="BV46" s="31" t="s">
        <v>393</v>
      </c>
      <c r="BW46" s="31">
        <v>7</v>
      </c>
      <c r="BX46" s="31"/>
      <c r="BY46" s="31"/>
      <c r="BZ46" s="31"/>
      <c r="CA46" s="31"/>
      <c r="CB46" s="31"/>
      <c r="CC46" s="31" t="s">
        <v>381</v>
      </c>
      <c r="CD46" s="31"/>
      <c r="CE46" s="31">
        <v>7.5292329999999998E-3</v>
      </c>
    </row>
    <row r="47" spans="1:83" ht="87">
      <c r="A47" s="33">
        <v>14</v>
      </c>
      <c r="B47" s="26" t="s">
        <v>365</v>
      </c>
      <c r="C47" s="26">
        <v>2017</v>
      </c>
      <c r="D47" s="26" t="s">
        <v>366</v>
      </c>
      <c r="E47" s="30">
        <v>44714</v>
      </c>
      <c r="F47" s="31" t="s">
        <v>90</v>
      </c>
      <c r="G47" s="31" t="s">
        <v>360</v>
      </c>
      <c r="H47" s="31"/>
      <c r="I47" s="31" t="s">
        <v>368</v>
      </c>
      <c r="J47" s="26" t="s">
        <v>369</v>
      </c>
      <c r="K47" s="26" t="s">
        <v>97</v>
      </c>
      <c r="L47" s="26" t="s">
        <v>137</v>
      </c>
      <c r="M47" s="26" t="s">
        <v>95</v>
      </c>
      <c r="N47" s="26" t="s">
        <v>370</v>
      </c>
      <c r="O47" s="26" t="s">
        <v>97</v>
      </c>
      <c r="P47" s="26" t="s">
        <v>97</v>
      </c>
      <c r="S47" s="26" t="s">
        <v>90</v>
      </c>
      <c r="T47" s="26" t="s">
        <v>191</v>
      </c>
      <c r="U47" s="26" t="s">
        <v>99</v>
      </c>
      <c r="W47" s="26">
        <v>2</v>
      </c>
      <c r="X47" s="26">
        <v>1</v>
      </c>
      <c r="Y47" s="26" t="s">
        <v>371</v>
      </c>
      <c r="AA47" s="26" t="s">
        <v>319</v>
      </c>
      <c r="AB47" s="26" t="s">
        <v>105</v>
      </c>
      <c r="AC47" s="26" t="s">
        <v>372</v>
      </c>
      <c r="AD47" s="26" t="s">
        <v>373</v>
      </c>
      <c r="AE47" s="26" t="s">
        <v>197</v>
      </c>
      <c r="AF47" s="26">
        <v>4</v>
      </c>
      <c r="AG47" s="26" t="s">
        <v>90</v>
      </c>
      <c r="AH47" s="26" t="s">
        <v>374</v>
      </c>
      <c r="AI47" s="26" t="s">
        <v>150</v>
      </c>
      <c r="AJ47" s="26">
        <v>2</v>
      </c>
      <c r="AK47" s="26" t="s">
        <v>151</v>
      </c>
      <c r="AL47" s="26" t="s">
        <v>97</v>
      </c>
      <c r="AM47" s="26" t="s">
        <v>97</v>
      </c>
      <c r="AN47" s="26" t="s">
        <v>152</v>
      </c>
      <c r="AO47" s="26">
        <v>2</v>
      </c>
      <c r="AP47" s="26" t="s">
        <v>155</v>
      </c>
      <c r="AQ47" s="26" t="s">
        <v>119</v>
      </c>
      <c r="AR47" s="26" t="s">
        <v>114</v>
      </c>
      <c r="AS47" s="26" t="s">
        <v>120</v>
      </c>
      <c r="AT47" s="26" t="s">
        <v>116</v>
      </c>
      <c r="AU47" s="26" t="s">
        <v>375</v>
      </c>
      <c r="AV47" s="26">
        <v>2</v>
      </c>
      <c r="AW47" s="26" t="s">
        <v>184</v>
      </c>
      <c r="AX47" s="26" t="s">
        <v>113</v>
      </c>
      <c r="AY47" s="26" t="s">
        <v>115</v>
      </c>
      <c r="AZ47" s="26" t="s">
        <v>116</v>
      </c>
      <c r="BA47" s="26" t="s">
        <v>376</v>
      </c>
      <c r="BB47" s="26">
        <v>3</v>
      </c>
      <c r="BC47" s="26" t="s">
        <v>184</v>
      </c>
      <c r="BD47" s="26" t="s">
        <v>123</v>
      </c>
      <c r="BE47" s="26" t="s">
        <v>124</v>
      </c>
      <c r="BF47" s="26" t="s">
        <v>116</v>
      </c>
      <c r="BG47" s="26" t="s">
        <v>377</v>
      </c>
      <c r="BH47" s="26">
        <v>2</v>
      </c>
      <c r="BI47" s="26" t="s">
        <v>378</v>
      </c>
      <c r="BJ47" s="26" t="s">
        <v>123</v>
      </c>
      <c r="BK47" s="26" t="s">
        <v>124</v>
      </c>
      <c r="BL47" s="26" t="s">
        <v>116</v>
      </c>
      <c r="BM47" s="26" t="s">
        <v>379</v>
      </c>
      <c r="BN47" s="26">
        <v>3</v>
      </c>
      <c r="BO47" s="31" t="s">
        <v>719</v>
      </c>
      <c r="BP47" s="31" t="s">
        <v>720</v>
      </c>
      <c r="BQ47" s="31"/>
      <c r="BR47" s="31" t="s">
        <v>240</v>
      </c>
      <c r="BS47" s="31"/>
      <c r="BT47" s="31"/>
      <c r="BU47" s="31"/>
      <c r="BV47" s="31"/>
      <c r="BW47" s="31"/>
      <c r="BX47" s="31">
        <v>-5.3756400000000001E-3</v>
      </c>
      <c r="BY47" s="31">
        <v>5.9523809999999996E-3</v>
      </c>
      <c r="BZ47" s="31">
        <v>1.7280402E-2</v>
      </c>
      <c r="CA47" s="31" t="s">
        <v>393</v>
      </c>
      <c r="CB47" s="31">
        <v>5</v>
      </c>
      <c r="CC47" s="31" t="s">
        <v>381</v>
      </c>
      <c r="CD47" s="31"/>
      <c r="CE47" s="31">
        <v>1.1328021000000001E-2</v>
      </c>
    </row>
    <row r="48" spans="1:83" ht="87">
      <c r="A48" s="33">
        <v>14</v>
      </c>
      <c r="B48" s="26" t="s">
        <v>365</v>
      </c>
      <c r="C48" s="26">
        <v>2017</v>
      </c>
      <c r="D48" s="26" t="s">
        <v>366</v>
      </c>
      <c r="E48" s="30">
        <v>44714</v>
      </c>
      <c r="F48" s="31" t="s">
        <v>90</v>
      </c>
      <c r="G48" s="31" t="s">
        <v>360</v>
      </c>
      <c r="H48" s="31"/>
      <c r="I48" s="31" t="s">
        <v>368</v>
      </c>
      <c r="J48" s="26" t="s">
        <v>369</v>
      </c>
      <c r="K48" s="26" t="s">
        <v>97</v>
      </c>
      <c r="L48" s="26" t="s">
        <v>137</v>
      </c>
      <c r="M48" s="26" t="s">
        <v>95</v>
      </c>
      <c r="N48" s="26" t="s">
        <v>370</v>
      </c>
      <c r="O48" s="26" t="s">
        <v>97</v>
      </c>
      <c r="P48" s="26" t="s">
        <v>97</v>
      </c>
      <c r="S48" s="26" t="s">
        <v>90</v>
      </c>
      <c r="T48" s="26" t="s">
        <v>191</v>
      </c>
      <c r="U48" s="26" t="s">
        <v>99</v>
      </c>
      <c r="W48" s="26">
        <v>2</v>
      </c>
      <c r="X48" s="26">
        <v>1</v>
      </c>
      <c r="Y48" s="26" t="s">
        <v>371</v>
      </c>
      <c r="AA48" s="26" t="s">
        <v>319</v>
      </c>
      <c r="AB48" s="26" t="s">
        <v>105</v>
      </c>
      <c r="AC48" s="26" t="s">
        <v>372</v>
      </c>
      <c r="AD48" s="26" t="s">
        <v>373</v>
      </c>
      <c r="AE48" s="26" t="s">
        <v>197</v>
      </c>
      <c r="AF48" s="26">
        <v>4</v>
      </c>
      <c r="AG48" s="26" t="s">
        <v>90</v>
      </c>
      <c r="AH48" s="26" t="s">
        <v>374</v>
      </c>
      <c r="AI48" s="26" t="s">
        <v>150</v>
      </c>
      <c r="AJ48" s="26">
        <v>2</v>
      </c>
      <c r="AK48" s="26" t="s">
        <v>151</v>
      </c>
      <c r="AL48" s="26" t="s">
        <v>97</v>
      </c>
      <c r="AM48" s="26" t="s">
        <v>97</v>
      </c>
      <c r="AN48" s="26" t="s">
        <v>152</v>
      </c>
      <c r="AO48" s="26">
        <v>2</v>
      </c>
      <c r="AP48" s="26" t="s">
        <v>155</v>
      </c>
      <c r="AQ48" s="26" t="s">
        <v>119</v>
      </c>
      <c r="AR48" s="26" t="s">
        <v>114</v>
      </c>
      <c r="AS48" s="26" t="s">
        <v>120</v>
      </c>
      <c r="AT48" s="26" t="s">
        <v>116</v>
      </c>
      <c r="AU48" s="26" t="s">
        <v>375</v>
      </c>
      <c r="AV48" s="26">
        <v>2</v>
      </c>
      <c r="AW48" s="26" t="s">
        <v>184</v>
      </c>
      <c r="AX48" s="26" t="s">
        <v>113</v>
      </c>
      <c r="AY48" s="26" t="s">
        <v>115</v>
      </c>
      <c r="AZ48" s="26" t="s">
        <v>116</v>
      </c>
      <c r="BA48" s="26" t="s">
        <v>376</v>
      </c>
      <c r="BB48" s="26">
        <v>3</v>
      </c>
      <c r="BC48" s="26" t="s">
        <v>184</v>
      </c>
      <c r="BD48" s="26" t="s">
        <v>123</v>
      </c>
      <c r="BE48" s="26" t="s">
        <v>124</v>
      </c>
      <c r="BF48" s="26" t="s">
        <v>116</v>
      </c>
      <c r="BG48" s="26" t="s">
        <v>377</v>
      </c>
      <c r="BH48" s="26">
        <v>2</v>
      </c>
      <c r="BI48" s="26" t="s">
        <v>378</v>
      </c>
      <c r="BJ48" s="26" t="s">
        <v>123</v>
      </c>
      <c r="BK48" s="26" t="s">
        <v>124</v>
      </c>
      <c r="BL48" s="26" t="s">
        <v>116</v>
      </c>
      <c r="BM48" s="26" t="s">
        <v>379</v>
      </c>
      <c r="BN48" s="26">
        <v>3</v>
      </c>
      <c r="BO48" s="31" t="s">
        <v>719</v>
      </c>
      <c r="BP48" s="31" t="s">
        <v>382</v>
      </c>
      <c r="BQ48" s="31"/>
      <c r="BR48" s="31" t="s">
        <v>240</v>
      </c>
      <c r="BS48" s="31">
        <v>-8.667246E-3</v>
      </c>
      <c r="BT48" s="31">
        <v>1.2244898000000001E-2</v>
      </c>
      <c r="BU48" s="31">
        <v>3.3157041999999998E-2</v>
      </c>
      <c r="BV48" s="31" t="s">
        <v>393</v>
      </c>
      <c r="BW48" s="31">
        <v>7</v>
      </c>
      <c r="BX48" s="31"/>
      <c r="BY48" s="31"/>
      <c r="BZ48" s="31"/>
      <c r="CA48" s="31"/>
      <c r="CB48" s="31"/>
      <c r="CC48" s="31" t="s">
        <v>381</v>
      </c>
      <c r="CD48" s="31"/>
      <c r="CE48" s="31">
        <v>2.0912144000000001E-2</v>
      </c>
    </row>
    <row r="49" spans="1:83" ht="87">
      <c r="A49" s="33">
        <v>14</v>
      </c>
      <c r="B49" s="26" t="s">
        <v>365</v>
      </c>
      <c r="C49" s="26">
        <v>2017</v>
      </c>
      <c r="D49" s="26" t="s">
        <v>366</v>
      </c>
      <c r="E49" s="30">
        <v>44714</v>
      </c>
      <c r="F49" s="31" t="s">
        <v>90</v>
      </c>
      <c r="G49" s="31" t="s">
        <v>360</v>
      </c>
      <c r="H49" s="31"/>
      <c r="I49" s="31" t="s">
        <v>368</v>
      </c>
      <c r="J49" s="26" t="s">
        <v>369</v>
      </c>
      <c r="K49" s="26" t="s">
        <v>97</v>
      </c>
      <c r="L49" s="26" t="s">
        <v>137</v>
      </c>
      <c r="M49" s="26" t="s">
        <v>95</v>
      </c>
      <c r="N49" s="26" t="s">
        <v>370</v>
      </c>
      <c r="O49" s="26" t="s">
        <v>97</v>
      </c>
      <c r="P49" s="26" t="s">
        <v>97</v>
      </c>
      <c r="S49" s="26" t="s">
        <v>90</v>
      </c>
      <c r="T49" s="26" t="s">
        <v>191</v>
      </c>
      <c r="U49" s="26" t="s">
        <v>99</v>
      </c>
      <c r="W49" s="26">
        <v>2</v>
      </c>
      <c r="X49" s="26">
        <v>1</v>
      </c>
      <c r="Y49" s="26" t="s">
        <v>371</v>
      </c>
      <c r="AA49" s="26" t="s">
        <v>319</v>
      </c>
      <c r="AB49" s="26" t="s">
        <v>105</v>
      </c>
      <c r="AC49" s="26" t="s">
        <v>372</v>
      </c>
      <c r="AD49" s="26" t="s">
        <v>373</v>
      </c>
      <c r="AE49" s="26" t="s">
        <v>197</v>
      </c>
      <c r="AF49" s="26">
        <v>4</v>
      </c>
      <c r="AG49" s="26" t="s">
        <v>90</v>
      </c>
      <c r="AH49" s="26" t="s">
        <v>374</v>
      </c>
      <c r="AI49" s="26" t="s">
        <v>150</v>
      </c>
      <c r="AJ49" s="26">
        <v>2</v>
      </c>
      <c r="AK49" s="26" t="s">
        <v>151</v>
      </c>
      <c r="AL49" s="26" t="s">
        <v>97</v>
      </c>
      <c r="AM49" s="26" t="s">
        <v>97</v>
      </c>
      <c r="AN49" s="26" t="s">
        <v>152</v>
      </c>
      <c r="AO49" s="26">
        <v>2</v>
      </c>
      <c r="AP49" s="26" t="s">
        <v>155</v>
      </c>
      <c r="AQ49" s="26" t="s">
        <v>119</v>
      </c>
      <c r="AR49" s="26" t="s">
        <v>114</v>
      </c>
      <c r="AS49" s="26" t="s">
        <v>120</v>
      </c>
      <c r="AT49" s="26" t="s">
        <v>116</v>
      </c>
      <c r="AU49" s="26" t="s">
        <v>375</v>
      </c>
      <c r="AV49" s="26">
        <v>2</v>
      </c>
      <c r="AW49" s="26" t="s">
        <v>184</v>
      </c>
      <c r="AX49" s="26" t="s">
        <v>113</v>
      </c>
      <c r="AY49" s="26" t="s">
        <v>115</v>
      </c>
      <c r="AZ49" s="26" t="s">
        <v>116</v>
      </c>
      <c r="BA49" s="26" t="s">
        <v>376</v>
      </c>
      <c r="BB49" s="26">
        <v>3</v>
      </c>
      <c r="BC49" s="26" t="s">
        <v>184</v>
      </c>
      <c r="BD49" s="26" t="s">
        <v>123</v>
      </c>
      <c r="BE49" s="26" t="s">
        <v>124</v>
      </c>
      <c r="BF49" s="26" t="s">
        <v>116</v>
      </c>
      <c r="BG49" s="26" t="s">
        <v>377</v>
      </c>
      <c r="BH49" s="26">
        <v>2</v>
      </c>
      <c r="BI49" s="26" t="s">
        <v>378</v>
      </c>
      <c r="BJ49" s="26" t="s">
        <v>123</v>
      </c>
      <c r="BK49" s="26" t="s">
        <v>124</v>
      </c>
      <c r="BL49" s="26" t="s">
        <v>116</v>
      </c>
      <c r="BM49" s="26" t="s">
        <v>379</v>
      </c>
      <c r="BN49" s="26">
        <v>3</v>
      </c>
      <c r="BO49" s="31" t="s">
        <v>719</v>
      </c>
      <c r="BP49" s="31" t="s">
        <v>387</v>
      </c>
      <c r="BQ49" s="31"/>
      <c r="BR49" s="31" t="s">
        <v>240</v>
      </c>
      <c r="BS49" s="31">
        <v>-3.4511659999999999E-3</v>
      </c>
      <c r="BT49" s="31">
        <v>2.380952E-3</v>
      </c>
      <c r="BU49" s="31">
        <v>8.2130710000000006E-3</v>
      </c>
      <c r="BV49" s="31" t="s">
        <v>393</v>
      </c>
      <c r="BW49" s="31">
        <v>7</v>
      </c>
      <c r="BX49" s="31"/>
      <c r="BY49" s="31"/>
      <c r="BZ49" s="31"/>
      <c r="CA49" s="31"/>
      <c r="CB49" s="31"/>
      <c r="CC49" s="31" t="s">
        <v>381</v>
      </c>
      <c r="CD49" s="31"/>
      <c r="CE49" s="31">
        <v>5.8321179999999999E-3</v>
      </c>
    </row>
    <row r="50" spans="1:83" ht="87">
      <c r="A50" s="33">
        <v>14</v>
      </c>
      <c r="B50" s="26" t="s">
        <v>365</v>
      </c>
      <c r="C50" s="26">
        <v>2017</v>
      </c>
      <c r="D50" s="26" t="s">
        <v>366</v>
      </c>
      <c r="E50" s="30">
        <v>44714</v>
      </c>
      <c r="F50" s="31" t="s">
        <v>90</v>
      </c>
      <c r="G50" s="31" t="s">
        <v>360</v>
      </c>
      <c r="H50" s="31"/>
      <c r="I50" s="31" t="s">
        <v>368</v>
      </c>
      <c r="J50" s="26" t="s">
        <v>369</v>
      </c>
      <c r="K50" s="26" t="s">
        <v>97</v>
      </c>
      <c r="L50" s="26" t="s">
        <v>137</v>
      </c>
      <c r="M50" s="26" t="s">
        <v>95</v>
      </c>
      <c r="N50" s="26" t="s">
        <v>370</v>
      </c>
      <c r="O50" s="26" t="s">
        <v>97</v>
      </c>
      <c r="P50" s="26" t="s">
        <v>97</v>
      </c>
      <c r="S50" s="26" t="s">
        <v>90</v>
      </c>
      <c r="T50" s="26" t="s">
        <v>191</v>
      </c>
      <c r="U50" s="26" t="s">
        <v>99</v>
      </c>
      <c r="W50" s="26">
        <v>2</v>
      </c>
      <c r="X50" s="26">
        <v>1</v>
      </c>
      <c r="Y50" s="26" t="s">
        <v>371</v>
      </c>
      <c r="AA50" s="26" t="s">
        <v>319</v>
      </c>
      <c r="AB50" s="26" t="s">
        <v>105</v>
      </c>
      <c r="AC50" s="26" t="s">
        <v>372</v>
      </c>
      <c r="AD50" s="26" t="s">
        <v>373</v>
      </c>
      <c r="AE50" s="26" t="s">
        <v>197</v>
      </c>
      <c r="AF50" s="26">
        <v>4</v>
      </c>
      <c r="AG50" s="26" t="s">
        <v>90</v>
      </c>
      <c r="AH50" s="26" t="s">
        <v>374</v>
      </c>
      <c r="AI50" s="26" t="s">
        <v>150</v>
      </c>
      <c r="AJ50" s="26">
        <v>2</v>
      </c>
      <c r="AK50" s="26" t="s">
        <v>151</v>
      </c>
      <c r="AL50" s="26" t="s">
        <v>97</v>
      </c>
      <c r="AM50" s="26" t="s">
        <v>97</v>
      </c>
      <c r="AN50" s="26" t="s">
        <v>152</v>
      </c>
      <c r="AO50" s="26">
        <v>2</v>
      </c>
      <c r="AP50" s="26" t="s">
        <v>155</v>
      </c>
      <c r="AQ50" s="26" t="s">
        <v>119</v>
      </c>
      <c r="AR50" s="26" t="s">
        <v>114</v>
      </c>
      <c r="AS50" s="26" t="s">
        <v>120</v>
      </c>
      <c r="AT50" s="26" t="s">
        <v>116</v>
      </c>
      <c r="AU50" s="26" t="s">
        <v>375</v>
      </c>
      <c r="AV50" s="26">
        <v>2</v>
      </c>
      <c r="AW50" s="26" t="s">
        <v>184</v>
      </c>
      <c r="AX50" s="26" t="s">
        <v>113</v>
      </c>
      <c r="AY50" s="26" t="s">
        <v>115</v>
      </c>
      <c r="AZ50" s="26" t="s">
        <v>116</v>
      </c>
      <c r="BA50" s="26" t="s">
        <v>376</v>
      </c>
      <c r="BB50" s="26">
        <v>3</v>
      </c>
      <c r="BC50" s="26" t="s">
        <v>184</v>
      </c>
      <c r="BD50" s="26" t="s">
        <v>123</v>
      </c>
      <c r="BE50" s="26" t="s">
        <v>124</v>
      </c>
      <c r="BF50" s="26" t="s">
        <v>116</v>
      </c>
      <c r="BG50" s="26" t="s">
        <v>377</v>
      </c>
      <c r="BH50" s="26">
        <v>2</v>
      </c>
      <c r="BI50" s="26" t="s">
        <v>378</v>
      </c>
      <c r="BJ50" s="26" t="s">
        <v>123</v>
      </c>
      <c r="BK50" s="26" t="s">
        <v>124</v>
      </c>
      <c r="BL50" s="26" t="s">
        <v>116</v>
      </c>
      <c r="BM50" s="26" t="s">
        <v>379</v>
      </c>
      <c r="BN50" s="26">
        <v>3</v>
      </c>
      <c r="BO50" s="31" t="s">
        <v>719</v>
      </c>
      <c r="BP50" s="31" t="s">
        <v>385</v>
      </c>
      <c r="BQ50" s="31"/>
      <c r="BR50" s="31" t="s">
        <v>240</v>
      </c>
      <c r="BS50" s="31">
        <v>-9.3836319999999994E-3</v>
      </c>
      <c r="BT50" s="31">
        <v>7.1428570999999996E-2</v>
      </c>
      <c r="BU50" s="31">
        <v>0.15224077499999999</v>
      </c>
      <c r="BV50" s="31" t="s">
        <v>393</v>
      </c>
      <c r="BW50" s="31">
        <v>7</v>
      </c>
      <c r="BX50" s="31"/>
      <c r="BY50" s="31"/>
      <c r="BZ50" s="31"/>
      <c r="CA50" s="31"/>
      <c r="CB50" s="31"/>
      <c r="CC50" s="31" t="s">
        <v>381</v>
      </c>
      <c r="CD50" s="31"/>
      <c r="CE50" s="31">
        <v>8.0812203999999999E-2</v>
      </c>
    </row>
    <row r="51" spans="1:83" ht="87">
      <c r="A51" s="33">
        <v>14</v>
      </c>
      <c r="B51" s="26" t="s">
        <v>365</v>
      </c>
      <c r="C51" s="26">
        <v>2017</v>
      </c>
      <c r="D51" s="26" t="s">
        <v>366</v>
      </c>
      <c r="E51" s="30">
        <v>44714</v>
      </c>
      <c r="F51" s="31" t="s">
        <v>90</v>
      </c>
      <c r="G51" s="31" t="s">
        <v>360</v>
      </c>
      <c r="H51" s="31"/>
      <c r="I51" s="31" t="s">
        <v>368</v>
      </c>
      <c r="J51" s="26" t="s">
        <v>369</v>
      </c>
      <c r="K51" s="26" t="s">
        <v>97</v>
      </c>
      <c r="L51" s="26" t="s">
        <v>137</v>
      </c>
      <c r="M51" s="26" t="s">
        <v>95</v>
      </c>
      <c r="N51" s="26" t="s">
        <v>370</v>
      </c>
      <c r="O51" s="26" t="s">
        <v>97</v>
      </c>
      <c r="P51" s="26" t="s">
        <v>97</v>
      </c>
      <c r="S51" s="26" t="s">
        <v>90</v>
      </c>
      <c r="T51" s="26" t="s">
        <v>191</v>
      </c>
      <c r="U51" s="26" t="s">
        <v>99</v>
      </c>
      <c r="W51" s="26">
        <v>2</v>
      </c>
      <c r="X51" s="26">
        <v>1</v>
      </c>
      <c r="Y51" s="26" t="s">
        <v>371</v>
      </c>
      <c r="AA51" s="26" t="s">
        <v>319</v>
      </c>
      <c r="AB51" s="26" t="s">
        <v>105</v>
      </c>
      <c r="AC51" s="26" t="s">
        <v>372</v>
      </c>
      <c r="AD51" s="26" t="s">
        <v>373</v>
      </c>
      <c r="AE51" s="26" t="s">
        <v>197</v>
      </c>
      <c r="AF51" s="26">
        <v>4</v>
      </c>
      <c r="AG51" s="26" t="s">
        <v>90</v>
      </c>
      <c r="AH51" s="26" t="s">
        <v>374</v>
      </c>
      <c r="AI51" s="26" t="s">
        <v>150</v>
      </c>
      <c r="AJ51" s="26">
        <v>2</v>
      </c>
      <c r="AK51" s="26" t="s">
        <v>151</v>
      </c>
      <c r="AL51" s="26" t="s">
        <v>97</v>
      </c>
      <c r="AM51" s="26" t="s">
        <v>97</v>
      </c>
      <c r="AN51" s="26" t="s">
        <v>152</v>
      </c>
      <c r="AO51" s="26">
        <v>2</v>
      </c>
      <c r="AP51" s="26" t="s">
        <v>155</v>
      </c>
      <c r="AQ51" s="26" t="s">
        <v>119</v>
      </c>
      <c r="AR51" s="26" t="s">
        <v>114</v>
      </c>
      <c r="AS51" s="26" t="s">
        <v>120</v>
      </c>
      <c r="AT51" s="26" t="s">
        <v>116</v>
      </c>
      <c r="AU51" s="26" t="s">
        <v>375</v>
      </c>
      <c r="AV51" s="26">
        <v>2</v>
      </c>
      <c r="AW51" s="26" t="s">
        <v>184</v>
      </c>
      <c r="AX51" s="26" t="s">
        <v>113</v>
      </c>
      <c r="AY51" s="26" t="s">
        <v>115</v>
      </c>
      <c r="AZ51" s="26" t="s">
        <v>116</v>
      </c>
      <c r="BA51" s="26" t="s">
        <v>376</v>
      </c>
      <c r="BB51" s="26">
        <v>3</v>
      </c>
      <c r="BC51" s="26" t="s">
        <v>184</v>
      </c>
      <c r="BD51" s="26" t="s">
        <v>123</v>
      </c>
      <c r="BE51" s="26" t="s">
        <v>124</v>
      </c>
      <c r="BF51" s="26" t="s">
        <v>116</v>
      </c>
      <c r="BG51" s="26" t="s">
        <v>377</v>
      </c>
      <c r="BH51" s="26">
        <v>2</v>
      </c>
      <c r="BI51" s="26" t="s">
        <v>378</v>
      </c>
      <c r="BJ51" s="26" t="s">
        <v>123</v>
      </c>
      <c r="BK51" s="26" t="s">
        <v>124</v>
      </c>
      <c r="BL51" s="26" t="s">
        <v>116</v>
      </c>
      <c r="BM51" s="26" t="s">
        <v>379</v>
      </c>
      <c r="BN51" s="26">
        <v>3</v>
      </c>
      <c r="BO51" s="31" t="s">
        <v>719</v>
      </c>
      <c r="BP51" s="31" t="s">
        <v>388</v>
      </c>
      <c r="BQ51" s="31"/>
      <c r="BR51" s="31" t="s">
        <v>240</v>
      </c>
      <c r="BS51" s="31">
        <v>-1.7003400000000001E-3</v>
      </c>
      <c r="BT51" s="31">
        <v>8.9285709999999997E-3</v>
      </c>
      <c r="BU51" s="31">
        <v>1.9557483000000001E-2</v>
      </c>
      <c r="BV51" s="31" t="s">
        <v>393</v>
      </c>
      <c r="BW51" s="31">
        <v>7</v>
      </c>
      <c r="BX51" s="31"/>
      <c r="BY51" s="31"/>
      <c r="BZ51" s="31"/>
      <c r="CA51" s="31"/>
      <c r="CB51" s="31"/>
      <c r="CC51" s="31" t="s">
        <v>381</v>
      </c>
      <c r="CD51" s="31"/>
      <c r="CE51" s="31">
        <v>1.0628912000000001E-2</v>
      </c>
    </row>
    <row r="52" spans="1:83" ht="87">
      <c r="A52" s="33">
        <v>14</v>
      </c>
      <c r="B52" s="26" t="s">
        <v>365</v>
      </c>
      <c r="C52" s="26">
        <v>2017</v>
      </c>
      <c r="D52" s="26" t="s">
        <v>366</v>
      </c>
      <c r="E52" s="30">
        <v>44714</v>
      </c>
      <c r="F52" s="31" t="s">
        <v>90</v>
      </c>
      <c r="G52" s="31" t="s">
        <v>360</v>
      </c>
      <c r="H52" s="31"/>
      <c r="I52" s="31" t="s">
        <v>368</v>
      </c>
      <c r="J52" s="26" t="s">
        <v>369</v>
      </c>
      <c r="K52" s="26" t="s">
        <v>97</v>
      </c>
      <c r="L52" s="26" t="s">
        <v>137</v>
      </c>
      <c r="M52" s="26" t="s">
        <v>95</v>
      </c>
      <c r="N52" s="26" t="s">
        <v>370</v>
      </c>
      <c r="O52" s="26" t="s">
        <v>97</v>
      </c>
      <c r="P52" s="26" t="s">
        <v>97</v>
      </c>
      <c r="S52" s="26" t="s">
        <v>90</v>
      </c>
      <c r="T52" s="26" t="s">
        <v>191</v>
      </c>
      <c r="U52" s="26" t="s">
        <v>99</v>
      </c>
      <c r="W52" s="26">
        <v>2</v>
      </c>
      <c r="X52" s="26">
        <v>1</v>
      </c>
      <c r="Y52" s="26" t="s">
        <v>371</v>
      </c>
      <c r="AA52" s="26" t="s">
        <v>319</v>
      </c>
      <c r="AB52" s="26" t="s">
        <v>105</v>
      </c>
      <c r="AC52" s="26" t="s">
        <v>372</v>
      </c>
      <c r="AD52" s="26" t="s">
        <v>373</v>
      </c>
      <c r="AE52" s="26" t="s">
        <v>197</v>
      </c>
      <c r="AF52" s="26">
        <v>4</v>
      </c>
      <c r="AG52" s="26" t="s">
        <v>90</v>
      </c>
      <c r="AH52" s="26" t="s">
        <v>374</v>
      </c>
      <c r="AI52" s="26" t="s">
        <v>150</v>
      </c>
      <c r="AJ52" s="26">
        <v>2</v>
      </c>
      <c r="AK52" s="26" t="s">
        <v>151</v>
      </c>
      <c r="AL52" s="26" t="s">
        <v>97</v>
      </c>
      <c r="AM52" s="26" t="s">
        <v>97</v>
      </c>
      <c r="AN52" s="26" t="s">
        <v>152</v>
      </c>
      <c r="AO52" s="26">
        <v>2</v>
      </c>
      <c r="AP52" s="26" t="s">
        <v>155</v>
      </c>
      <c r="AQ52" s="26" t="s">
        <v>119</v>
      </c>
      <c r="AR52" s="26" t="s">
        <v>114</v>
      </c>
      <c r="AS52" s="26" t="s">
        <v>120</v>
      </c>
      <c r="AT52" s="26" t="s">
        <v>116</v>
      </c>
      <c r="AU52" s="26" t="s">
        <v>375</v>
      </c>
      <c r="AV52" s="26">
        <v>2</v>
      </c>
      <c r="AW52" s="26" t="s">
        <v>184</v>
      </c>
      <c r="AX52" s="26" t="s">
        <v>113</v>
      </c>
      <c r="AY52" s="26" t="s">
        <v>115</v>
      </c>
      <c r="AZ52" s="26" t="s">
        <v>116</v>
      </c>
      <c r="BA52" s="26" t="s">
        <v>376</v>
      </c>
      <c r="BB52" s="26">
        <v>3</v>
      </c>
      <c r="BC52" s="26" t="s">
        <v>184</v>
      </c>
      <c r="BD52" s="26" t="s">
        <v>123</v>
      </c>
      <c r="BE52" s="26" t="s">
        <v>124</v>
      </c>
      <c r="BF52" s="26" t="s">
        <v>116</v>
      </c>
      <c r="BG52" s="26" t="s">
        <v>377</v>
      </c>
      <c r="BH52" s="26">
        <v>2</v>
      </c>
      <c r="BI52" s="26" t="s">
        <v>378</v>
      </c>
      <c r="BJ52" s="26" t="s">
        <v>123</v>
      </c>
      <c r="BK52" s="26" t="s">
        <v>124</v>
      </c>
      <c r="BL52" s="26" t="s">
        <v>116</v>
      </c>
      <c r="BM52" s="26" t="s">
        <v>379</v>
      </c>
      <c r="BN52" s="26">
        <v>3</v>
      </c>
      <c r="BO52" s="31" t="s">
        <v>719</v>
      </c>
      <c r="BP52" s="31" t="s">
        <v>383</v>
      </c>
      <c r="BQ52" s="31"/>
      <c r="BR52" s="31" t="s">
        <v>240</v>
      </c>
      <c r="BS52" s="31">
        <v>5.1196389999999996E-3</v>
      </c>
      <c r="BT52" s="31">
        <v>3.4693877999999997E-2</v>
      </c>
      <c r="BU52" s="31">
        <v>6.4268116E-2</v>
      </c>
      <c r="BV52" s="31" t="s">
        <v>393</v>
      </c>
      <c r="BW52" s="31">
        <v>7</v>
      </c>
      <c r="BX52" s="31"/>
      <c r="BY52" s="31"/>
      <c r="BZ52" s="31"/>
      <c r="CA52" s="31"/>
      <c r="CB52" s="31"/>
      <c r="CC52" s="31" t="s">
        <v>381</v>
      </c>
      <c r="CD52" s="31"/>
      <c r="CE52" s="31">
        <v>2.9574237999999999E-2</v>
      </c>
    </row>
    <row r="53" spans="1:83" ht="87">
      <c r="A53" s="33">
        <v>14</v>
      </c>
      <c r="B53" s="26" t="s">
        <v>365</v>
      </c>
      <c r="C53" s="26">
        <v>2017</v>
      </c>
      <c r="D53" s="26" t="s">
        <v>366</v>
      </c>
      <c r="E53" s="30">
        <v>44714</v>
      </c>
      <c r="F53" s="31" t="s">
        <v>90</v>
      </c>
      <c r="G53" s="31" t="s">
        <v>360</v>
      </c>
      <c r="H53" s="31"/>
      <c r="I53" s="31" t="s">
        <v>368</v>
      </c>
      <c r="J53" s="26" t="s">
        <v>369</v>
      </c>
      <c r="K53" s="26" t="s">
        <v>97</v>
      </c>
      <c r="L53" s="26" t="s">
        <v>137</v>
      </c>
      <c r="M53" s="26" t="s">
        <v>95</v>
      </c>
      <c r="N53" s="26" t="s">
        <v>370</v>
      </c>
      <c r="O53" s="26" t="s">
        <v>97</v>
      </c>
      <c r="P53" s="26" t="s">
        <v>97</v>
      </c>
      <c r="S53" s="26" t="s">
        <v>90</v>
      </c>
      <c r="T53" s="26" t="s">
        <v>191</v>
      </c>
      <c r="U53" s="26" t="s">
        <v>99</v>
      </c>
      <c r="W53" s="26">
        <v>2</v>
      </c>
      <c r="X53" s="26">
        <v>1</v>
      </c>
      <c r="Y53" s="26" t="s">
        <v>371</v>
      </c>
      <c r="AA53" s="26" t="s">
        <v>319</v>
      </c>
      <c r="AB53" s="26" t="s">
        <v>105</v>
      </c>
      <c r="AC53" s="26" t="s">
        <v>372</v>
      </c>
      <c r="AD53" s="26" t="s">
        <v>373</v>
      </c>
      <c r="AE53" s="26" t="s">
        <v>197</v>
      </c>
      <c r="AF53" s="26">
        <v>4</v>
      </c>
      <c r="AG53" s="26" t="s">
        <v>90</v>
      </c>
      <c r="AH53" s="26" t="s">
        <v>374</v>
      </c>
      <c r="AI53" s="26" t="s">
        <v>150</v>
      </c>
      <c r="AJ53" s="26">
        <v>2</v>
      </c>
      <c r="AK53" s="26" t="s">
        <v>151</v>
      </c>
      <c r="AL53" s="26" t="s">
        <v>97</v>
      </c>
      <c r="AM53" s="26" t="s">
        <v>97</v>
      </c>
      <c r="AN53" s="26" t="s">
        <v>152</v>
      </c>
      <c r="AO53" s="26">
        <v>2</v>
      </c>
      <c r="AP53" s="26" t="s">
        <v>155</v>
      </c>
      <c r="AQ53" s="26" t="s">
        <v>119</v>
      </c>
      <c r="AR53" s="26" t="s">
        <v>114</v>
      </c>
      <c r="AS53" s="26" t="s">
        <v>120</v>
      </c>
      <c r="AT53" s="26" t="s">
        <v>116</v>
      </c>
      <c r="AU53" s="26" t="s">
        <v>375</v>
      </c>
      <c r="AV53" s="26">
        <v>2</v>
      </c>
      <c r="AW53" s="26" t="s">
        <v>184</v>
      </c>
      <c r="AX53" s="26" t="s">
        <v>113</v>
      </c>
      <c r="AY53" s="26" t="s">
        <v>115</v>
      </c>
      <c r="AZ53" s="26" t="s">
        <v>116</v>
      </c>
      <c r="BA53" s="26" t="s">
        <v>376</v>
      </c>
      <c r="BB53" s="26">
        <v>3</v>
      </c>
      <c r="BC53" s="26" t="s">
        <v>184</v>
      </c>
      <c r="BD53" s="26" t="s">
        <v>123</v>
      </c>
      <c r="BE53" s="26" t="s">
        <v>124</v>
      </c>
      <c r="BF53" s="26" t="s">
        <v>116</v>
      </c>
      <c r="BG53" s="26" t="s">
        <v>377</v>
      </c>
      <c r="BH53" s="26">
        <v>2</v>
      </c>
      <c r="BI53" s="26" t="s">
        <v>378</v>
      </c>
      <c r="BJ53" s="26" t="s">
        <v>123</v>
      </c>
      <c r="BK53" s="26" t="s">
        <v>124</v>
      </c>
      <c r="BL53" s="26" t="s">
        <v>116</v>
      </c>
      <c r="BM53" s="26" t="s">
        <v>379</v>
      </c>
      <c r="BN53" s="26">
        <v>3</v>
      </c>
      <c r="BO53" s="31" t="s">
        <v>719</v>
      </c>
      <c r="BP53" s="31" t="s">
        <v>389</v>
      </c>
      <c r="BQ53" s="31"/>
      <c r="BR53" s="31" t="s">
        <v>240</v>
      </c>
      <c r="BS53" s="31">
        <v>-3.166243E-3</v>
      </c>
      <c r="BT53" s="31">
        <v>2.8571429999999999E-3</v>
      </c>
      <c r="BU53" s="31">
        <v>8.8805289999999999E-3</v>
      </c>
      <c r="BV53" s="31" t="s">
        <v>393</v>
      </c>
      <c r="BW53" s="31">
        <v>7</v>
      </c>
      <c r="BX53" s="31"/>
      <c r="BY53" s="31"/>
      <c r="BZ53" s="31"/>
      <c r="CA53" s="31"/>
      <c r="CB53" s="31"/>
      <c r="CC53" s="31" t="s">
        <v>381</v>
      </c>
      <c r="CD53" s="31"/>
      <c r="CE53" s="31">
        <v>6.0233860000000004E-3</v>
      </c>
    </row>
    <row r="54" spans="1:83" ht="87">
      <c r="A54" s="33">
        <v>14</v>
      </c>
      <c r="B54" s="26" t="s">
        <v>365</v>
      </c>
      <c r="C54" s="26">
        <v>2017</v>
      </c>
      <c r="D54" s="26" t="s">
        <v>366</v>
      </c>
      <c r="E54" s="30">
        <v>44714</v>
      </c>
      <c r="F54" s="31" t="s">
        <v>90</v>
      </c>
      <c r="G54" s="31" t="s">
        <v>360</v>
      </c>
      <c r="H54" s="31"/>
      <c r="I54" s="31" t="s">
        <v>368</v>
      </c>
      <c r="J54" s="26" t="s">
        <v>369</v>
      </c>
      <c r="K54" s="26" t="s">
        <v>97</v>
      </c>
      <c r="L54" s="26" t="s">
        <v>137</v>
      </c>
      <c r="M54" s="26" t="s">
        <v>95</v>
      </c>
      <c r="N54" s="26" t="s">
        <v>370</v>
      </c>
      <c r="O54" s="26" t="s">
        <v>97</v>
      </c>
      <c r="P54" s="26" t="s">
        <v>97</v>
      </c>
      <c r="S54" s="26" t="s">
        <v>90</v>
      </c>
      <c r="T54" s="26" t="s">
        <v>191</v>
      </c>
      <c r="U54" s="26" t="s">
        <v>99</v>
      </c>
      <c r="W54" s="26">
        <v>2</v>
      </c>
      <c r="X54" s="26">
        <v>1</v>
      </c>
      <c r="Y54" s="26" t="s">
        <v>371</v>
      </c>
      <c r="AA54" s="26" t="s">
        <v>319</v>
      </c>
      <c r="AB54" s="26" t="s">
        <v>105</v>
      </c>
      <c r="AC54" s="26" t="s">
        <v>372</v>
      </c>
      <c r="AD54" s="26" t="s">
        <v>373</v>
      </c>
      <c r="AE54" s="26" t="s">
        <v>197</v>
      </c>
      <c r="AF54" s="26">
        <v>4</v>
      </c>
      <c r="AG54" s="26" t="s">
        <v>90</v>
      </c>
      <c r="AH54" s="26" t="s">
        <v>374</v>
      </c>
      <c r="AI54" s="26" t="s">
        <v>150</v>
      </c>
      <c r="AJ54" s="26">
        <v>2</v>
      </c>
      <c r="AK54" s="26" t="s">
        <v>151</v>
      </c>
      <c r="AL54" s="26" t="s">
        <v>97</v>
      </c>
      <c r="AM54" s="26" t="s">
        <v>97</v>
      </c>
      <c r="AN54" s="26" t="s">
        <v>152</v>
      </c>
      <c r="AO54" s="26">
        <v>2</v>
      </c>
      <c r="AP54" s="26" t="s">
        <v>155</v>
      </c>
      <c r="AQ54" s="26" t="s">
        <v>119</v>
      </c>
      <c r="AR54" s="26" t="s">
        <v>114</v>
      </c>
      <c r="AS54" s="26" t="s">
        <v>120</v>
      </c>
      <c r="AT54" s="26" t="s">
        <v>116</v>
      </c>
      <c r="AU54" s="26" t="s">
        <v>375</v>
      </c>
      <c r="AV54" s="26">
        <v>2</v>
      </c>
      <c r="AW54" s="26" t="s">
        <v>184</v>
      </c>
      <c r="AX54" s="26" t="s">
        <v>113</v>
      </c>
      <c r="AY54" s="26" t="s">
        <v>115</v>
      </c>
      <c r="AZ54" s="26" t="s">
        <v>116</v>
      </c>
      <c r="BA54" s="26" t="s">
        <v>376</v>
      </c>
      <c r="BB54" s="26">
        <v>3</v>
      </c>
      <c r="BC54" s="26" t="s">
        <v>184</v>
      </c>
      <c r="BD54" s="26" t="s">
        <v>123</v>
      </c>
      <c r="BE54" s="26" t="s">
        <v>124</v>
      </c>
      <c r="BF54" s="26" t="s">
        <v>116</v>
      </c>
      <c r="BG54" s="26" t="s">
        <v>377</v>
      </c>
      <c r="BH54" s="26">
        <v>2</v>
      </c>
      <c r="BI54" s="26" t="s">
        <v>378</v>
      </c>
      <c r="BJ54" s="26" t="s">
        <v>123</v>
      </c>
      <c r="BK54" s="26" t="s">
        <v>124</v>
      </c>
      <c r="BL54" s="26" t="s">
        <v>116</v>
      </c>
      <c r="BM54" s="26" t="s">
        <v>379</v>
      </c>
      <c r="BN54" s="26">
        <v>3</v>
      </c>
      <c r="BO54" s="31" t="s">
        <v>719</v>
      </c>
      <c r="BP54" s="31" t="s">
        <v>386</v>
      </c>
      <c r="BQ54" s="31"/>
      <c r="BR54" s="31" t="s">
        <v>240</v>
      </c>
      <c r="BS54" s="31">
        <v>-1.5133977999999999E-2</v>
      </c>
      <c r="BT54" s="31">
        <v>1.8571429E-2</v>
      </c>
      <c r="BU54" s="31">
        <v>5.2276835000000001E-2</v>
      </c>
      <c r="BV54" s="31" t="s">
        <v>393</v>
      </c>
      <c r="BW54" s="31">
        <v>7</v>
      </c>
      <c r="BX54" s="31"/>
      <c r="BY54" s="31"/>
      <c r="BZ54" s="31"/>
      <c r="CA54" s="31"/>
      <c r="CB54" s="31"/>
      <c r="CC54" s="31" t="s">
        <v>381</v>
      </c>
      <c r="CD54" s="31"/>
      <c r="CE54" s="31">
        <v>3.3705406E-2</v>
      </c>
    </row>
    <row r="55" spans="1:83" ht="87">
      <c r="A55" s="33">
        <v>14</v>
      </c>
      <c r="B55" s="26" t="s">
        <v>365</v>
      </c>
      <c r="C55" s="26">
        <v>2017</v>
      </c>
      <c r="D55" s="26" t="s">
        <v>366</v>
      </c>
      <c r="E55" s="30">
        <v>44714</v>
      </c>
      <c r="F55" s="31" t="s">
        <v>90</v>
      </c>
      <c r="G55" s="31" t="s">
        <v>360</v>
      </c>
      <c r="H55" s="31"/>
      <c r="I55" s="31" t="s">
        <v>368</v>
      </c>
      <c r="J55" s="26" t="s">
        <v>369</v>
      </c>
      <c r="K55" s="26" t="s">
        <v>97</v>
      </c>
      <c r="L55" s="26" t="s">
        <v>137</v>
      </c>
      <c r="M55" s="26" t="s">
        <v>95</v>
      </c>
      <c r="N55" s="26" t="s">
        <v>370</v>
      </c>
      <c r="O55" s="26" t="s">
        <v>97</v>
      </c>
      <c r="P55" s="26" t="s">
        <v>97</v>
      </c>
      <c r="S55" s="26" t="s">
        <v>90</v>
      </c>
      <c r="T55" s="26" t="s">
        <v>191</v>
      </c>
      <c r="U55" s="26" t="s">
        <v>99</v>
      </c>
      <c r="W55" s="26">
        <v>2</v>
      </c>
      <c r="X55" s="26">
        <v>1</v>
      </c>
      <c r="Y55" s="26" t="s">
        <v>371</v>
      </c>
      <c r="AA55" s="26" t="s">
        <v>319</v>
      </c>
      <c r="AB55" s="26" t="s">
        <v>105</v>
      </c>
      <c r="AC55" s="26" t="s">
        <v>372</v>
      </c>
      <c r="AD55" s="26" t="s">
        <v>373</v>
      </c>
      <c r="AE55" s="26" t="s">
        <v>197</v>
      </c>
      <c r="AF55" s="26">
        <v>4</v>
      </c>
      <c r="AG55" s="26" t="s">
        <v>90</v>
      </c>
      <c r="AH55" s="26" t="s">
        <v>374</v>
      </c>
      <c r="AI55" s="26" t="s">
        <v>150</v>
      </c>
      <c r="AJ55" s="26">
        <v>2</v>
      </c>
      <c r="AK55" s="26" t="s">
        <v>151</v>
      </c>
      <c r="AL55" s="26" t="s">
        <v>97</v>
      </c>
      <c r="AM55" s="26" t="s">
        <v>97</v>
      </c>
      <c r="AN55" s="26" t="s">
        <v>152</v>
      </c>
      <c r="AO55" s="26">
        <v>2</v>
      </c>
      <c r="AP55" s="26" t="s">
        <v>155</v>
      </c>
      <c r="AQ55" s="26" t="s">
        <v>119</v>
      </c>
      <c r="AR55" s="26" t="s">
        <v>114</v>
      </c>
      <c r="AS55" s="26" t="s">
        <v>120</v>
      </c>
      <c r="AT55" s="26" t="s">
        <v>116</v>
      </c>
      <c r="AU55" s="26" t="s">
        <v>375</v>
      </c>
      <c r="AV55" s="26">
        <v>2</v>
      </c>
      <c r="AW55" s="26" t="s">
        <v>184</v>
      </c>
      <c r="AX55" s="26" t="s">
        <v>113</v>
      </c>
      <c r="AY55" s="26" t="s">
        <v>115</v>
      </c>
      <c r="AZ55" s="26" t="s">
        <v>116</v>
      </c>
      <c r="BA55" s="26" t="s">
        <v>376</v>
      </c>
      <c r="BB55" s="26">
        <v>3</v>
      </c>
      <c r="BC55" s="26" t="s">
        <v>184</v>
      </c>
      <c r="BD55" s="26" t="s">
        <v>123</v>
      </c>
      <c r="BE55" s="26" t="s">
        <v>124</v>
      </c>
      <c r="BF55" s="26" t="s">
        <v>116</v>
      </c>
      <c r="BG55" s="26" t="s">
        <v>377</v>
      </c>
      <c r="BH55" s="26">
        <v>2</v>
      </c>
      <c r="BI55" s="26" t="s">
        <v>378</v>
      </c>
      <c r="BJ55" s="26" t="s">
        <v>123</v>
      </c>
      <c r="BK55" s="26" t="s">
        <v>124</v>
      </c>
      <c r="BL55" s="26" t="s">
        <v>116</v>
      </c>
      <c r="BM55" s="26" t="s">
        <v>379</v>
      </c>
      <c r="BN55" s="26">
        <v>3</v>
      </c>
      <c r="BO55" s="31" t="s">
        <v>719</v>
      </c>
      <c r="BP55" s="31" t="s">
        <v>390</v>
      </c>
      <c r="BQ55" s="31"/>
      <c r="BR55" s="31" t="s">
        <v>240</v>
      </c>
      <c r="BS55" s="31">
        <v>-5.3678837E-2</v>
      </c>
      <c r="BT55" s="31">
        <v>6.1038961000000003E-2</v>
      </c>
      <c r="BU55" s="31">
        <v>0.17575675900000001</v>
      </c>
      <c r="BV55" s="31" t="s">
        <v>393</v>
      </c>
      <c r="BW55" s="31">
        <v>7</v>
      </c>
      <c r="BX55" s="31"/>
      <c r="BY55" s="31"/>
      <c r="BZ55" s="31"/>
      <c r="CA55" s="31"/>
      <c r="CB55" s="31"/>
      <c r="CC55" s="31" t="s">
        <v>381</v>
      </c>
      <c r="CD55" s="31"/>
      <c r="CE55" s="31">
        <v>0.114717798</v>
      </c>
    </row>
    <row r="56" spans="1:83" ht="87">
      <c r="A56" s="33">
        <v>14</v>
      </c>
      <c r="B56" s="26" t="s">
        <v>365</v>
      </c>
      <c r="C56" s="26">
        <v>2017</v>
      </c>
      <c r="D56" s="26" t="s">
        <v>366</v>
      </c>
      <c r="E56" s="30">
        <v>44714</v>
      </c>
      <c r="F56" s="31" t="s">
        <v>90</v>
      </c>
      <c r="G56" s="31" t="s">
        <v>360</v>
      </c>
      <c r="H56" s="31"/>
      <c r="I56" s="31" t="s">
        <v>368</v>
      </c>
      <c r="J56" s="26" t="s">
        <v>369</v>
      </c>
      <c r="K56" s="26" t="s">
        <v>97</v>
      </c>
      <c r="L56" s="26" t="s">
        <v>137</v>
      </c>
      <c r="M56" s="26" t="s">
        <v>95</v>
      </c>
      <c r="N56" s="26" t="s">
        <v>370</v>
      </c>
      <c r="O56" s="26" t="s">
        <v>97</v>
      </c>
      <c r="P56" s="26" t="s">
        <v>97</v>
      </c>
      <c r="S56" s="26" t="s">
        <v>90</v>
      </c>
      <c r="T56" s="26" t="s">
        <v>191</v>
      </c>
      <c r="U56" s="26" t="s">
        <v>99</v>
      </c>
      <c r="W56" s="26">
        <v>2</v>
      </c>
      <c r="X56" s="26">
        <v>1</v>
      </c>
      <c r="Y56" s="26" t="s">
        <v>371</v>
      </c>
      <c r="AA56" s="26" t="s">
        <v>319</v>
      </c>
      <c r="AB56" s="26" t="s">
        <v>105</v>
      </c>
      <c r="AC56" s="26" t="s">
        <v>372</v>
      </c>
      <c r="AD56" s="26" t="s">
        <v>373</v>
      </c>
      <c r="AE56" s="26" t="s">
        <v>197</v>
      </c>
      <c r="AF56" s="26">
        <v>4</v>
      </c>
      <c r="AG56" s="26" t="s">
        <v>90</v>
      </c>
      <c r="AH56" s="26" t="s">
        <v>374</v>
      </c>
      <c r="AI56" s="26" t="s">
        <v>150</v>
      </c>
      <c r="AJ56" s="26">
        <v>2</v>
      </c>
      <c r="AK56" s="26" t="s">
        <v>151</v>
      </c>
      <c r="AL56" s="26" t="s">
        <v>97</v>
      </c>
      <c r="AM56" s="26" t="s">
        <v>97</v>
      </c>
      <c r="AN56" s="26" t="s">
        <v>152</v>
      </c>
      <c r="AO56" s="26">
        <v>2</v>
      </c>
      <c r="AP56" s="26" t="s">
        <v>155</v>
      </c>
      <c r="AQ56" s="26" t="s">
        <v>119</v>
      </c>
      <c r="AR56" s="26" t="s">
        <v>114</v>
      </c>
      <c r="AS56" s="26" t="s">
        <v>120</v>
      </c>
      <c r="AT56" s="26" t="s">
        <v>116</v>
      </c>
      <c r="AU56" s="26" t="s">
        <v>375</v>
      </c>
      <c r="AV56" s="26">
        <v>2</v>
      </c>
      <c r="AW56" s="26" t="s">
        <v>184</v>
      </c>
      <c r="AX56" s="26" t="s">
        <v>113</v>
      </c>
      <c r="AY56" s="26" t="s">
        <v>115</v>
      </c>
      <c r="AZ56" s="26" t="s">
        <v>116</v>
      </c>
      <c r="BA56" s="26" t="s">
        <v>376</v>
      </c>
      <c r="BB56" s="26">
        <v>3</v>
      </c>
      <c r="BC56" s="26" t="s">
        <v>184</v>
      </c>
      <c r="BD56" s="26" t="s">
        <v>123</v>
      </c>
      <c r="BE56" s="26" t="s">
        <v>124</v>
      </c>
      <c r="BF56" s="26" t="s">
        <v>116</v>
      </c>
      <c r="BG56" s="26" t="s">
        <v>377</v>
      </c>
      <c r="BH56" s="26">
        <v>2</v>
      </c>
      <c r="BI56" s="26" t="s">
        <v>378</v>
      </c>
      <c r="BJ56" s="26" t="s">
        <v>123</v>
      </c>
      <c r="BK56" s="26" t="s">
        <v>124</v>
      </c>
      <c r="BL56" s="26" t="s">
        <v>116</v>
      </c>
      <c r="BM56" s="26" t="s">
        <v>379</v>
      </c>
      <c r="BN56" s="26">
        <v>3</v>
      </c>
      <c r="BO56" s="31" t="s">
        <v>719</v>
      </c>
      <c r="BP56" s="31" t="s">
        <v>394</v>
      </c>
      <c r="BQ56" s="31"/>
      <c r="BR56" s="31" t="s">
        <v>240</v>
      </c>
      <c r="BS56" s="31">
        <v>-1.2356809999999999E-2</v>
      </c>
      <c r="BT56" s="31">
        <v>1.2121211999999999E-2</v>
      </c>
      <c r="BU56" s="31">
        <v>3.6599234000000001E-2</v>
      </c>
      <c r="BV56" s="31" t="s">
        <v>393</v>
      </c>
      <c r="BW56" s="31">
        <v>7</v>
      </c>
      <c r="BX56" s="31"/>
      <c r="BY56" s="31"/>
      <c r="BZ56" s="31"/>
      <c r="CA56" s="31"/>
      <c r="CB56" s="31"/>
      <c r="CC56" s="31" t="s">
        <v>381</v>
      </c>
      <c r="CD56" s="31"/>
      <c r="CE56" s="31">
        <v>2.4478021999999999E-2</v>
      </c>
    </row>
    <row r="57" spans="1:83" ht="87">
      <c r="A57" s="33">
        <v>14</v>
      </c>
      <c r="B57" s="26" t="s">
        <v>365</v>
      </c>
      <c r="C57" s="26">
        <v>2017</v>
      </c>
      <c r="D57" s="26" t="s">
        <v>366</v>
      </c>
      <c r="E57" s="30">
        <v>44714</v>
      </c>
      <c r="F57" s="31" t="s">
        <v>90</v>
      </c>
      <c r="G57" s="31" t="s">
        <v>360</v>
      </c>
      <c r="H57" s="31"/>
      <c r="I57" s="31" t="s">
        <v>368</v>
      </c>
      <c r="J57" s="26" t="s">
        <v>369</v>
      </c>
      <c r="K57" s="26" t="s">
        <v>97</v>
      </c>
      <c r="L57" s="26" t="s">
        <v>137</v>
      </c>
      <c r="M57" s="26" t="s">
        <v>95</v>
      </c>
      <c r="N57" s="26" t="s">
        <v>370</v>
      </c>
      <c r="O57" s="26" t="s">
        <v>97</v>
      </c>
      <c r="P57" s="26" t="s">
        <v>97</v>
      </c>
      <c r="S57" s="26" t="s">
        <v>90</v>
      </c>
      <c r="T57" s="26" t="s">
        <v>191</v>
      </c>
      <c r="U57" s="26" t="s">
        <v>99</v>
      </c>
      <c r="W57" s="26">
        <v>2</v>
      </c>
      <c r="X57" s="26">
        <v>1</v>
      </c>
      <c r="Y57" s="26" t="s">
        <v>371</v>
      </c>
      <c r="AA57" s="26" t="s">
        <v>319</v>
      </c>
      <c r="AB57" s="26" t="s">
        <v>105</v>
      </c>
      <c r="AC57" s="26" t="s">
        <v>372</v>
      </c>
      <c r="AD57" s="26" t="s">
        <v>373</v>
      </c>
      <c r="AE57" s="26" t="s">
        <v>197</v>
      </c>
      <c r="AF57" s="26">
        <v>4</v>
      </c>
      <c r="AG57" s="26" t="s">
        <v>90</v>
      </c>
      <c r="AH57" s="26" t="s">
        <v>374</v>
      </c>
      <c r="AI57" s="26" t="s">
        <v>150</v>
      </c>
      <c r="AJ57" s="26">
        <v>2</v>
      </c>
      <c r="AK57" s="26" t="s">
        <v>151</v>
      </c>
      <c r="AL57" s="26" t="s">
        <v>97</v>
      </c>
      <c r="AM57" s="26" t="s">
        <v>97</v>
      </c>
      <c r="AN57" s="26" t="s">
        <v>152</v>
      </c>
      <c r="AO57" s="26">
        <v>2</v>
      </c>
      <c r="AP57" s="26" t="s">
        <v>155</v>
      </c>
      <c r="AQ57" s="26" t="s">
        <v>119</v>
      </c>
      <c r="AR57" s="26" t="s">
        <v>114</v>
      </c>
      <c r="AS57" s="26" t="s">
        <v>120</v>
      </c>
      <c r="AT57" s="26" t="s">
        <v>116</v>
      </c>
      <c r="AU57" s="26" t="s">
        <v>375</v>
      </c>
      <c r="AV57" s="26">
        <v>2</v>
      </c>
      <c r="AW57" s="26" t="s">
        <v>184</v>
      </c>
      <c r="AX57" s="26" t="s">
        <v>113</v>
      </c>
      <c r="AY57" s="26" t="s">
        <v>115</v>
      </c>
      <c r="AZ57" s="26" t="s">
        <v>116</v>
      </c>
      <c r="BA57" s="26" t="s">
        <v>376</v>
      </c>
      <c r="BB57" s="26">
        <v>3</v>
      </c>
      <c r="BC57" s="26" t="s">
        <v>184</v>
      </c>
      <c r="BD57" s="26" t="s">
        <v>123</v>
      </c>
      <c r="BE57" s="26" t="s">
        <v>124</v>
      </c>
      <c r="BF57" s="26" t="s">
        <v>116</v>
      </c>
      <c r="BG57" s="26" t="s">
        <v>377</v>
      </c>
      <c r="BH57" s="26">
        <v>2</v>
      </c>
      <c r="BI57" s="26" t="s">
        <v>378</v>
      </c>
      <c r="BJ57" s="26" t="s">
        <v>123</v>
      </c>
      <c r="BK57" s="26" t="s">
        <v>124</v>
      </c>
      <c r="BL57" s="26" t="s">
        <v>116</v>
      </c>
      <c r="BM57" s="26" t="s">
        <v>379</v>
      </c>
      <c r="BN57" s="26">
        <v>3</v>
      </c>
      <c r="BO57" s="31" t="s">
        <v>719</v>
      </c>
      <c r="BP57" s="31" t="s">
        <v>721</v>
      </c>
      <c r="BQ57" s="31"/>
      <c r="BR57" s="31" t="s">
        <v>240</v>
      </c>
      <c r="BS57" s="31"/>
      <c r="BT57" s="31"/>
      <c r="BU57" s="31"/>
      <c r="BV57" s="31"/>
      <c r="BW57" s="31"/>
      <c r="BX57" s="31">
        <v>-4.3178879999999998E-3</v>
      </c>
      <c r="BY57" s="31">
        <v>5.4545449999999999E-3</v>
      </c>
      <c r="BZ57" s="31">
        <v>1.5226979E-2</v>
      </c>
      <c r="CA57" s="31" t="s">
        <v>393</v>
      </c>
      <c r="CB57" s="31">
        <v>5</v>
      </c>
      <c r="CC57" s="31" t="s">
        <v>381</v>
      </c>
      <c r="CD57" s="31"/>
      <c r="CE57" s="31">
        <v>9.772434E-3</v>
      </c>
    </row>
    <row r="58" spans="1:83" ht="87">
      <c r="A58" s="33">
        <v>14</v>
      </c>
      <c r="B58" s="26" t="s">
        <v>365</v>
      </c>
      <c r="C58" s="26">
        <v>2017</v>
      </c>
      <c r="D58" s="26" t="s">
        <v>366</v>
      </c>
      <c r="E58" s="30">
        <v>44714</v>
      </c>
      <c r="F58" s="31" t="s">
        <v>90</v>
      </c>
      <c r="G58" s="31" t="s">
        <v>360</v>
      </c>
      <c r="H58" s="31"/>
      <c r="I58" s="31" t="s">
        <v>368</v>
      </c>
      <c r="J58" s="26" t="s">
        <v>369</v>
      </c>
      <c r="K58" s="26" t="s">
        <v>97</v>
      </c>
      <c r="L58" s="26" t="s">
        <v>137</v>
      </c>
      <c r="M58" s="26" t="s">
        <v>95</v>
      </c>
      <c r="N58" s="26" t="s">
        <v>370</v>
      </c>
      <c r="O58" s="26" t="s">
        <v>97</v>
      </c>
      <c r="P58" s="26" t="s">
        <v>97</v>
      </c>
      <c r="S58" s="26" t="s">
        <v>90</v>
      </c>
      <c r="T58" s="26" t="s">
        <v>191</v>
      </c>
      <c r="U58" s="26" t="s">
        <v>99</v>
      </c>
      <c r="W58" s="26">
        <v>2</v>
      </c>
      <c r="X58" s="26">
        <v>1</v>
      </c>
      <c r="Y58" s="26" t="s">
        <v>371</v>
      </c>
      <c r="AA58" s="26" t="s">
        <v>319</v>
      </c>
      <c r="AB58" s="26" t="s">
        <v>105</v>
      </c>
      <c r="AC58" s="26" t="s">
        <v>372</v>
      </c>
      <c r="AD58" s="26" t="s">
        <v>373</v>
      </c>
      <c r="AE58" s="26" t="s">
        <v>197</v>
      </c>
      <c r="AF58" s="26">
        <v>4</v>
      </c>
      <c r="AG58" s="26" t="s">
        <v>90</v>
      </c>
      <c r="AH58" s="26" t="s">
        <v>374</v>
      </c>
      <c r="AI58" s="26" t="s">
        <v>150</v>
      </c>
      <c r="AJ58" s="26">
        <v>2</v>
      </c>
      <c r="AK58" s="26" t="s">
        <v>151</v>
      </c>
      <c r="AL58" s="26" t="s">
        <v>97</v>
      </c>
      <c r="AM58" s="26" t="s">
        <v>97</v>
      </c>
      <c r="AN58" s="26" t="s">
        <v>152</v>
      </c>
      <c r="AO58" s="26">
        <v>2</v>
      </c>
      <c r="AP58" s="26" t="s">
        <v>155</v>
      </c>
      <c r="AQ58" s="26" t="s">
        <v>119</v>
      </c>
      <c r="AR58" s="26" t="s">
        <v>114</v>
      </c>
      <c r="AS58" s="26" t="s">
        <v>120</v>
      </c>
      <c r="AT58" s="26" t="s">
        <v>116</v>
      </c>
      <c r="AU58" s="26" t="s">
        <v>375</v>
      </c>
      <c r="AV58" s="26">
        <v>2</v>
      </c>
      <c r="AW58" s="26" t="s">
        <v>184</v>
      </c>
      <c r="AX58" s="26" t="s">
        <v>113</v>
      </c>
      <c r="AY58" s="26" t="s">
        <v>115</v>
      </c>
      <c r="AZ58" s="26" t="s">
        <v>116</v>
      </c>
      <c r="BA58" s="26" t="s">
        <v>376</v>
      </c>
      <c r="BB58" s="26">
        <v>3</v>
      </c>
      <c r="BC58" s="26" t="s">
        <v>184</v>
      </c>
      <c r="BD58" s="26" t="s">
        <v>123</v>
      </c>
      <c r="BE58" s="26" t="s">
        <v>124</v>
      </c>
      <c r="BF58" s="26" t="s">
        <v>116</v>
      </c>
      <c r="BG58" s="26" t="s">
        <v>377</v>
      </c>
      <c r="BH58" s="26">
        <v>2</v>
      </c>
      <c r="BI58" s="26" t="s">
        <v>378</v>
      </c>
      <c r="BJ58" s="26" t="s">
        <v>123</v>
      </c>
      <c r="BK58" s="26" t="s">
        <v>124</v>
      </c>
      <c r="BL58" s="26" t="s">
        <v>116</v>
      </c>
      <c r="BM58" s="26" t="s">
        <v>379</v>
      </c>
      <c r="BN58" s="26">
        <v>3</v>
      </c>
      <c r="BO58" s="31" t="s">
        <v>719</v>
      </c>
      <c r="BP58" s="31" t="s">
        <v>391</v>
      </c>
      <c r="BQ58" s="31"/>
      <c r="BR58" s="31" t="s">
        <v>240</v>
      </c>
      <c r="BS58" s="31">
        <v>3.2172580000000002E-3</v>
      </c>
      <c r="BT58" s="31">
        <v>2.4675325000000001E-2</v>
      </c>
      <c r="BU58" s="31">
        <v>4.6133392000000002E-2</v>
      </c>
      <c r="BV58" s="31" t="s">
        <v>393</v>
      </c>
      <c r="BW58" s="31">
        <v>7</v>
      </c>
      <c r="BX58" s="31"/>
      <c r="BY58" s="31"/>
      <c r="BZ58" s="31"/>
      <c r="CA58" s="31"/>
      <c r="CB58" s="31"/>
      <c r="CC58" s="31" t="s">
        <v>381</v>
      </c>
      <c r="CD58" s="31"/>
      <c r="CE58" s="31">
        <v>2.1458067000000001E-2</v>
      </c>
    </row>
    <row r="59" spans="1:83" ht="87">
      <c r="A59" s="33">
        <v>14</v>
      </c>
      <c r="B59" s="26" t="s">
        <v>365</v>
      </c>
      <c r="C59" s="26">
        <v>2017</v>
      </c>
      <c r="D59" s="26" t="s">
        <v>366</v>
      </c>
      <c r="E59" s="30">
        <v>44714</v>
      </c>
      <c r="F59" s="31" t="s">
        <v>90</v>
      </c>
      <c r="G59" s="31" t="s">
        <v>360</v>
      </c>
      <c r="H59" s="31"/>
      <c r="I59" s="31" t="s">
        <v>368</v>
      </c>
      <c r="J59" s="26" t="s">
        <v>369</v>
      </c>
      <c r="K59" s="26" t="s">
        <v>97</v>
      </c>
      <c r="L59" s="26" t="s">
        <v>137</v>
      </c>
      <c r="M59" s="26" t="s">
        <v>95</v>
      </c>
      <c r="N59" s="26" t="s">
        <v>370</v>
      </c>
      <c r="O59" s="26" t="s">
        <v>97</v>
      </c>
      <c r="P59" s="26" t="s">
        <v>97</v>
      </c>
      <c r="S59" s="26" t="s">
        <v>90</v>
      </c>
      <c r="T59" s="26" t="s">
        <v>191</v>
      </c>
      <c r="U59" s="26" t="s">
        <v>99</v>
      </c>
      <c r="W59" s="26">
        <v>2</v>
      </c>
      <c r="X59" s="26">
        <v>1</v>
      </c>
      <c r="Y59" s="26" t="s">
        <v>371</v>
      </c>
      <c r="AA59" s="26" t="s">
        <v>319</v>
      </c>
      <c r="AB59" s="26" t="s">
        <v>105</v>
      </c>
      <c r="AC59" s="26" t="s">
        <v>372</v>
      </c>
      <c r="AD59" s="26" t="s">
        <v>373</v>
      </c>
      <c r="AE59" s="26" t="s">
        <v>197</v>
      </c>
      <c r="AF59" s="26">
        <v>4</v>
      </c>
      <c r="AG59" s="26" t="s">
        <v>90</v>
      </c>
      <c r="AH59" s="26" t="s">
        <v>374</v>
      </c>
      <c r="AI59" s="26" t="s">
        <v>150</v>
      </c>
      <c r="AJ59" s="26">
        <v>2</v>
      </c>
      <c r="AK59" s="26" t="s">
        <v>151</v>
      </c>
      <c r="AL59" s="26" t="s">
        <v>97</v>
      </c>
      <c r="AM59" s="26" t="s">
        <v>97</v>
      </c>
      <c r="AN59" s="26" t="s">
        <v>152</v>
      </c>
      <c r="AO59" s="26">
        <v>2</v>
      </c>
      <c r="AP59" s="26" t="s">
        <v>155</v>
      </c>
      <c r="AQ59" s="26" t="s">
        <v>119</v>
      </c>
      <c r="AR59" s="26" t="s">
        <v>114</v>
      </c>
      <c r="AS59" s="26" t="s">
        <v>120</v>
      </c>
      <c r="AT59" s="26" t="s">
        <v>116</v>
      </c>
      <c r="AU59" s="26" t="s">
        <v>375</v>
      </c>
      <c r="AV59" s="26">
        <v>2</v>
      </c>
      <c r="AW59" s="26" t="s">
        <v>184</v>
      </c>
      <c r="AX59" s="26" t="s">
        <v>113</v>
      </c>
      <c r="AY59" s="26" t="s">
        <v>115</v>
      </c>
      <c r="AZ59" s="26" t="s">
        <v>116</v>
      </c>
      <c r="BA59" s="26" t="s">
        <v>376</v>
      </c>
      <c r="BB59" s="26">
        <v>3</v>
      </c>
      <c r="BC59" s="26" t="s">
        <v>184</v>
      </c>
      <c r="BD59" s="26" t="s">
        <v>123</v>
      </c>
      <c r="BE59" s="26" t="s">
        <v>124</v>
      </c>
      <c r="BF59" s="26" t="s">
        <v>116</v>
      </c>
      <c r="BG59" s="26" t="s">
        <v>377</v>
      </c>
      <c r="BH59" s="26">
        <v>2</v>
      </c>
      <c r="BI59" s="26" t="s">
        <v>378</v>
      </c>
      <c r="BJ59" s="26" t="s">
        <v>123</v>
      </c>
      <c r="BK59" s="26" t="s">
        <v>124</v>
      </c>
      <c r="BL59" s="26" t="s">
        <v>116</v>
      </c>
      <c r="BM59" s="26" t="s">
        <v>379</v>
      </c>
      <c r="BN59" s="26">
        <v>3</v>
      </c>
      <c r="BO59" s="31" t="s">
        <v>719</v>
      </c>
      <c r="BP59" s="31" t="s">
        <v>397</v>
      </c>
      <c r="BQ59" s="31"/>
      <c r="BR59" s="31" t="s">
        <v>240</v>
      </c>
      <c r="BS59" s="31">
        <v>-1.8671324999999999E-2</v>
      </c>
      <c r="BT59" s="31">
        <v>1.4141414E-2</v>
      </c>
      <c r="BU59" s="31">
        <v>4.6954152999999998E-2</v>
      </c>
      <c r="BV59" s="31" t="s">
        <v>393</v>
      </c>
      <c r="BW59" s="31">
        <v>7</v>
      </c>
      <c r="BX59" s="31"/>
      <c r="BY59" s="31"/>
      <c r="BZ59" s="31"/>
      <c r="CA59" s="31"/>
      <c r="CB59" s="31"/>
      <c r="CC59" s="31" t="s">
        <v>381</v>
      </c>
      <c r="CD59" s="31"/>
      <c r="CE59" s="31">
        <v>3.2812739E-2</v>
      </c>
    </row>
    <row r="60" spans="1:83" ht="87">
      <c r="A60" s="33">
        <v>14</v>
      </c>
      <c r="B60" s="26" t="s">
        <v>365</v>
      </c>
      <c r="C60" s="26">
        <v>2017</v>
      </c>
      <c r="D60" s="26" t="s">
        <v>366</v>
      </c>
      <c r="E60" s="30">
        <v>44714</v>
      </c>
      <c r="F60" s="31" t="s">
        <v>90</v>
      </c>
      <c r="G60" s="31" t="s">
        <v>360</v>
      </c>
      <c r="H60" s="31"/>
      <c r="I60" s="31" t="s">
        <v>368</v>
      </c>
      <c r="J60" s="26" t="s">
        <v>369</v>
      </c>
      <c r="K60" s="26" t="s">
        <v>97</v>
      </c>
      <c r="L60" s="26" t="s">
        <v>137</v>
      </c>
      <c r="M60" s="26" t="s">
        <v>95</v>
      </c>
      <c r="N60" s="26" t="s">
        <v>370</v>
      </c>
      <c r="O60" s="26" t="s">
        <v>97</v>
      </c>
      <c r="P60" s="26" t="s">
        <v>97</v>
      </c>
      <c r="S60" s="26" t="s">
        <v>90</v>
      </c>
      <c r="T60" s="26" t="s">
        <v>191</v>
      </c>
      <c r="U60" s="26" t="s">
        <v>99</v>
      </c>
      <c r="W60" s="26">
        <v>2</v>
      </c>
      <c r="X60" s="26">
        <v>1</v>
      </c>
      <c r="Y60" s="26" t="s">
        <v>371</v>
      </c>
      <c r="AA60" s="26" t="s">
        <v>319</v>
      </c>
      <c r="AB60" s="26" t="s">
        <v>105</v>
      </c>
      <c r="AC60" s="26" t="s">
        <v>372</v>
      </c>
      <c r="AD60" s="26" t="s">
        <v>373</v>
      </c>
      <c r="AE60" s="26" t="s">
        <v>197</v>
      </c>
      <c r="AF60" s="26">
        <v>4</v>
      </c>
      <c r="AG60" s="26" t="s">
        <v>90</v>
      </c>
      <c r="AH60" s="26" t="s">
        <v>374</v>
      </c>
      <c r="AI60" s="26" t="s">
        <v>150</v>
      </c>
      <c r="AJ60" s="26">
        <v>2</v>
      </c>
      <c r="AK60" s="26" t="s">
        <v>151</v>
      </c>
      <c r="AL60" s="26" t="s">
        <v>97</v>
      </c>
      <c r="AM60" s="26" t="s">
        <v>97</v>
      </c>
      <c r="AN60" s="26" t="s">
        <v>152</v>
      </c>
      <c r="AO60" s="26">
        <v>2</v>
      </c>
      <c r="AP60" s="26" t="s">
        <v>155</v>
      </c>
      <c r="AQ60" s="26" t="s">
        <v>119</v>
      </c>
      <c r="AR60" s="26" t="s">
        <v>114</v>
      </c>
      <c r="AS60" s="26" t="s">
        <v>120</v>
      </c>
      <c r="AT60" s="26" t="s">
        <v>116</v>
      </c>
      <c r="AU60" s="26" t="s">
        <v>375</v>
      </c>
      <c r="AV60" s="26">
        <v>2</v>
      </c>
      <c r="AW60" s="26" t="s">
        <v>184</v>
      </c>
      <c r="AX60" s="26" t="s">
        <v>113</v>
      </c>
      <c r="AY60" s="26" t="s">
        <v>115</v>
      </c>
      <c r="AZ60" s="26" t="s">
        <v>116</v>
      </c>
      <c r="BA60" s="26" t="s">
        <v>376</v>
      </c>
      <c r="BB60" s="26">
        <v>3</v>
      </c>
      <c r="BC60" s="26" t="s">
        <v>184</v>
      </c>
      <c r="BD60" s="26" t="s">
        <v>123</v>
      </c>
      <c r="BE60" s="26" t="s">
        <v>124</v>
      </c>
      <c r="BF60" s="26" t="s">
        <v>116</v>
      </c>
      <c r="BG60" s="26" t="s">
        <v>377</v>
      </c>
      <c r="BH60" s="26">
        <v>2</v>
      </c>
      <c r="BI60" s="26" t="s">
        <v>378</v>
      </c>
      <c r="BJ60" s="26" t="s">
        <v>123</v>
      </c>
      <c r="BK60" s="26" t="s">
        <v>124</v>
      </c>
      <c r="BL60" s="26" t="s">
        <v>116</v>
      </c>
      <c r="BM60" s="26" t="s">
        <v>379</v>
      </c>
      <c r="BN60" s="26">
        <v>3</v>
      </c>
      <c r="BO60" s="31" t="s">
        <v>719</v>
      </c>
      <c r="BP60" s="31" t="s">
        <v>395</v>
      </c>
      <c r="BQ60" s="31"/>
      <c r="BR60" s="31" t="s">
        <v>240</v>
      </c>
      <c r="BS60" s="31">
        <v>2.5095789E-2</v>
      </c>
      <c r="BT60" s="31">
        <v>0.113636364</v>
      </c>
      <c r="BU60" s="31">
        <v>0.202176938</v>
      </c>
      <c r="BV60" s="31" t="s">
        <v>393</v>
      </c>
      <c r="BW60" s="31">
        <v>7</v>
      </c>
      <c r="BX60" s="31"/>
      <c r="BY60" s="31"/>
      <c r="BZ60" s="31"/>
      <c r="CA60" s="31"/>
      <c r="CB60" s="31"/>
      <c r="CC60" s="31" t="s">
        <v>381</v>
      </c>
      <c r="CD60" s="31"/>
      <c r="CE60" s="31">
        <v>8.8540573999999997E-2</v>
      </c>
    </row>
    <row r="61" spans="1:83" ht="87">
      <c r="A61" s="33">
        <v>14</v>
      </c>
      <c r="B61" s="26" t="s">
        <v>365</v>
      </c>
      <c r="C61" s="26">
        <v>2017</v>
      </c>
      <c r="D61" s="26" t="s">
        <v>366</v>
      </c>
      <c r="E61" s="30">
        <v>44714</v>
      </c>
      <c r="F61" s="31" t="s">
        <v>90</v>
      </c>
      <c r="G61" s="31" t="s">
        <v>360</v>
      </c>
      <c r="H61" s="31"/>
      <c r="I61" s="31" t="s">
        <v>368</v>
      </c>
      <c r="J61" s="26" t="s">
        <v>369</v>
      </c>
      <c r="K61" s="26" t="s">
        <v>97</v>
      </c>
      <c r="L61" s="26" t="s">
        <v>137</v>
      </c>
      <c r="M61" s="26" t="s">
        <v>95</v>
      </c>
      <c r="N61" s="26" t="s">
        <v>370</v>
      </c>
      <c r="O61" s="26" t="s">
        <v>97</v>
      </c>
      <c r="P61" s="26" t="s">
        <v>97</v>
      </c>
      <c r="S61" s="26" t="s">
        <v>90</v>
      </c>
      <c r="T61" s="26" t="s">
        <v>191</v>
      </c>
      <c r="U61" s="26" t="s">
        <v>99</v>
      </c>
      <c r="W61" s="26">
        <v>2</v>
      </c>
      <c r="X61" s="26">
        <v>1</v>
      </c>
      <c r="Y61" s="26" t="s">
        <v>371</v>
      </c>
      <c r="AA61" s="26" t="s">
        <v>319</v>
      </c>
      <c r="AB61" s="26" t="s">
        <v>105</v>
      </c>
      <c r="AC61" s="26" t="s">
        <v>372</v>
      </c>
      <c r="AD61" s="26" t="s">
        <v>373</v>
      </c>
      <c r="AE61" s="26" t="s">
        <v>197</v>
      </c>
      <c r="AF61" s="26">
        <v>4</v>
      </c>
      <c r="AG61" s="26" t="s">
        <v>90</v>
      </c>
      <c r="AH61" s="26" t="s">
        <v>374</v>
      </c>
      <c r="AI61" s="26" t="s">
        <v>150</v>
      </c>
      <c r="AJ61" s="26">
        <v>2</v>
      </c>
      <c r="AK61" s="26" t="s">
        <v>151</v>
      </c>
      <c r="AL61" s="26" t="s">
        <v>97</v>
      </c>
      <c r="AM61" s="26" t="s">
        <v>97</v>
      </c>
      <c r="AN61" s="26" t="s">
        <v>152</v>
      </c>
      <c r="AO61" s="26">
        <v>2</v>
      </c>
      <c r="AP61" s="26" t="s">
        <v>155</v>
      </c>
      <c r="AQ61" s="26" t="s">
        <v>119</v>
      </c>
      <c r="AR61" s="26" t="s">
        <v>114</v>
      </c>
      <c r="AS61" s="26" t="s">
        <v>120</v>
      </c>
      <c r="AT61" s="26" t="s">
        <v>116</v>
      </c>
      <c r="AU61" s="26" t="s">
        <v>375</v>
      </c>
      <c r="AV61" s="26">
        <v>2</v>
      </c>
      <c r="AW61" s="26" t="s">
        <v>184</v>
      </c>
      <c r="AX61" s="26" t="s">
        <v>113</v>
      </c>
      <c r="AY61" s="26" t="s">
        <v>115</v>
      </c>
      <c r="AZ61" s="26" t="s">
        <v>116</v>
      </c>
      <c r="BA61" s="26" t="s">
        <v>376</v>
      </c>
      <c r="BB61" s="26">
        <v>3</v>
      </c>
      <c r="BC61" s="26" t="s">
        <v>184</v>
      </c>
      <c r="BD61" s="26" t="s">
        <v>123</v>
      </c>
      <c r="BE61" s="26" t="s">
        <v>124</v>
      </c>
      <c r="BF61" s="26" t="s">
        <v>116</v>
      </c>
      <c r="BG61" s="26" t="s">
        <v>377</v>
      </c>
      <c r="BH61" s="26">
        <v>2</v>
      </c>
      <c r="BI61" s="26" t="s">
        <v>378</v>
      </c>
      <c r="BJ61" s="26" t="s">
        <v>123</v>
      </c>
      <c r="BK61" s="26" t="s">
        <v>124</v>
      </c>
      <c r="BL61" s="26" t="s">
        <v>116</v>
      </c>
      <c r="BM61" s="26" t="s">
        <v>379</v>
      </c>
      <c r="BN61" s="26">
        <v>3</v>
      </c>
      <c r="BO61" s="31" t="s">
        <v>719</v>
      </c>
      <c r="BP61" s="31" t="s">
        <v>398</v>
      </c>
      <c r="BQ61" s="31"/>
      <c r="BR61" s="31" t="s">
        <v>240</v>
      </c>
      <c r="BS61" s="31">
        <v>-8.9007689999999993E-3</v>
      </c>
      <c r="BT61" s="31">
        <v>1.5151515000000001E-2</v>
      </c>
      <c r="BU61" s="31">
        <v>3.9203799999999997E-2</v>
      </c>
      <c r="BV61" s="31" t="s">
        <v>393</v>
      </c>
      <c r="BW61" s="31">
        <v>7</v>
      </c>
      <c r="BX61" s="31"/>
      <c r="BY61" s="31"/>
      <c r="BZ61" s="31"/>
      <c r="CA61" s="31"/>
      <c r="CB61" s="31"/>
      <c r="CC61" s="31" t="s">
        <v>381</v>
      </c>
      <c r="CD61" s="31"/>
      <c r="CE61" s="31">
        <v>2.4052285E-2</v>
      </c>
    </row>
    <row r="62" spans="1:83" ht="87">
      <c r="A62" s="33">
        <v>14</v>
      </c>
      <c r="B62" s="26" t="s">
        <v>365</v>
      </c>
      <c r="C62" s="26">
        <v>2017</v>
      </c>
      <c r="D62" s="26" t="s">
        <v>366</v>
      </c>
      <c r="E62" s="30">
        <v>44714</v>
      </c>
      <c r="F62" s="31" t="s">
        <v>90</v>
      </c>
      <c r="G62" s="31" t="s">
        <v>360</v>
      </c>
      <c r="H62" s="31"/>
      <c r="I62" s="31" t="s">
        <v>368</v>
      </c>
      <c r="J62" s="26" t="s">
        <v>369</v>
      </c>
      <c r="K62" s="26" t="s">
        <v>97</v>
      </c>
      <c r="L62" s="26" t="s">
        <v>137</v>
      </c>
      <c r="M62" s="26" t="s">
        <v>95</v>
      </c>
      <c r="N62" s="26" t="s">
        <v>370</v>
      </c>
      <c r="O62" s="26" t="s">
        <v>97</v>
      </c>
      <c r="P62" s="26" t="s">
        <v>97</v>
      </c>
      <c r="S62" s="26" t="s">
        <v>90</v>
      </c>
      <c r="T62" s="26" t="s">
        <v>191</v>
      </c>
      <c r="U62" s="26" t="s">
        <v>99</v>
      </c>
      <c r="W62" s="26">
        <v>2</v>
      </c>
      <c r="X62" s="26">
        <v>1</v>
      </c>
      <c r="Y62" s="26" t="s">
        <v>371</v>
      </c>
      <c r="AA62" s="26" t="s">
        <v>319</v>
      </c>
      <c r="AB62" s="26" t="s">
        <v>105</v>
      </c>
      <c r="AC62" s="26" t="s">
        <v>372</v>
      </c>
      <c r="AD62" s="26" t="s">
        <v>373</v>
      </c>
      <c r="AE62" s="26" t="s">
        <v>197</v>
      </c>
      <c r="AF62" s="26">
        <v>4</v>
      </c>
      <c r="AG62" s="26" t="s">
        <v>90</v>
      </c>
      <c r="AH62" s="26" t="s">
        <v>374</v>
      </c>
      <c r="AI62" s="26" t="s">
        <v>150</v>
      </c>
      <c r="AJ62" s="26">
        <v>2</v>
      </c>
      <c r="AK62" s="26" t="s">
        <v>151</v>
      </c>
      <c r="AL62" s="26" t="s">
        <v>97</v>
      </c>
      <c r="AM62" s="26" t="s">
        <v>97</v>
      </c>
      <c r="AN62" s="26" t="s">
        <v>152</v>
      </c>
      <c r="AO62" s="26">
        <v>2</v>
      </c>
      <c r="AP62" s="26" t="s">
        <v>155</v>
      </c>
      <c r="AQ62" s="26" t="s">
        <v>119</v>
      </c>
      <c r="AR62" s="26" t="s">
        <v>114</v>
      </c>
      <c r="AS62" s="26" t="s">
        <v>120</v>
      </c>
      <c r="AT62" s="26" t="s">
        <v>116</v>
      </c>
      <c r="AU62" s="26" t="s">
        <v>375</v>
      </c>
      <c r="AV62" s="26">
        <v>2</v>
      </c>
      <c r="AW62" s="26" t="s">
        <v>184</v>
      </c>
      <c r="AX62" s="26" t="s">
        <v>113</v>
      </c>
      <c r="AY62" s="26" t="s">
        <v>115</v>
      </c>
      <c r="AZ62" s="26" t="s">
        <v>116</v>
      </c>
      <c r="BA62" s="26" t="s">
        <v>376</v>
      </c>
      <c r="BB62" s="26">
        <v>3</v>
      </c>
      <c r="BC62" s="26" t="s">
        <v>184</v>
      </c>
      <c r="BD62" s="26" t="s">
        <v>123</v>
      </c>
      <c r="BE62" s="26" t="s">
        <v>124</v>
      </c>
      <c r="BF62" s="26" t="s">
        <v>116</v>
      </c>
      <c r="BG62" s="26" t="s">
        <v>377</v>
      </c>
      <c r="BH62" s="26">
        <v>2</v>
      </c>
      <c r="BI62" s="26" t="s">
        <v>378</v>
      </c>
      <c r="BJ62" s="26" t="s">
        <v>123</v>
      </c>
      <c r="BK62" s="26" t="s">
        <v>124</v>
      </c>
      <c r="BL62" s="26" t="s">
        <v>116</v>
      </c>
      <c r="BM62" s="26" t="s">
        <v>379</v>
      </c>
      <c r="BN62" s="26">
        <v>3</v>
      </c>
      <c r="BO62" s="31" t="s">
        <v>719</v>
      </c>
      <c r="BP62" s="31" t="s">
        <v>392</v>
      </c>
      <c r="BQ62" s="31"/>
      <c r="BR62" s="31" t="s">
        <v>240</v>
      </c>
      <c r="BS62" s="31">
        <v>-1.4626233000000001E-2</v>
      </c>
      <c r="BT62" s="31">
        <v>4.4155844E-2</v>
      </c>
      <c r="BU62" s="31">
        <v>0.102937921</v>
      </c>
      <c r="BV62" s="31" t="s">
        <v>393</v>
      </c>
      <c r="BW62" s="31">
        <v>7</v>
      </c>
      <c r="BX62" s="31"/>
      <c r="BY62" s="31"/>
      <c r="BZ62" s="31"/>
      <c r="CA62" s="31"/>
      <c r="CB62" s="31"/>
      <c r="CC62" s="31" t="s">
        <v>381</v>
      </c>
      <c r="CD62" s="31"/>
      <c r="CE62" s="31">
        <v>5.8782077000000002E-2</v>
      </c>
    </row>
    <row r="63" spans="1:83" ht="87">
      <c r="A63" s="33">
        <v>14</v>
      </c>
      <c r="B63" s="26" t="s">
        <v>365</v>
      </c>
      <c r="C63" s="26">
        <v>2017</v>
      </c>
      <c r="D63" s="26" t="s">
        <v>366</v>
      </c>
      <c r="E63" s="30">
        <v>44714</v>
      </c>
      <c r="F63" s="31" t="s">
        <v>90</v>
      </c>
      <c r="G63" s="31" t="s">
        <v>360</v>
      </c>
      <c r="H63" s="31"/>
      <c r="I63" s="31" t="s">
        <v>368</v>
      </c>
      <c r="J63" s="26" t="s">
        <v>369</v>
      </c>
      <c r="K63" s="26" t="s">
        <v>97</v>
      </c>
      <c r="L63" s="26" t="s">
        <v>137</v>
      </c>
      <c r="M63" s="26" t="s">
        <v>95</v>
      </c>
      <c r="N63" s="26" t="s">
        <v>370</v>
      </c>
      <c r="O63" s="26" t="s">
        <v>97</v>
      </c>
      <c r="P63" s="26" t="s">
        <v>97</v>
      </c>
      <c r="S63" s="26" t="s">
        <v>90</v>
      </c>
      <c r="T63" s="26" t="s">
        <v>191</v>
      </c>
      <c r="U63" s="26" t="s">
        <v>99</v>
      </c>
      <c r="W63" s="26">
        <v>2</v>
      </c>
      <c r="X63" s="26">
        <v>1</v>
      </c>
      <c r="Y63" s="26" t="s">
        <v>371</v>
      </c>
      <c r="AA63" s="26" t="s">
        <v>319</v>
      </c>
      <c r="AB63" s="26" t="s">
        <v>105</v>
      </c>
      <c r="AC63" s="26" t="s">
        <v>372</v>
      </c>
      <c r="AD63" s="26" t="s">
        <v>373</v>
      </c>
      <c r="AE63" s="26" t="s">
        <v>197</v>
      </c>
      <c r="AF63" s="26">
        <v>4</v>
      </c>
      <c r="AG63" s="26" t="s">
        <v>90</v>
      </c>
      <c r="AH63" s="26" t="s">
        <v>374</v>
      </c>
      <c r="AI63" s="26" t="s">
        <v>150</v>
      </c>
      <c r="AJ63" s="26">
        <v>2</v>
      </c>
      <c r="AK63" s="26" t="s">
        <v>151</v>
      </c>
      <c r="AL63" s="26" t="s">
        <v>97</v>
      </c>
      <c r="AM63" s="26" t="s">
        <v>97</v>
      </c>
      <c r="AN63" s="26" t="s">
        <v>152</v>
      </c>
      <c r="AO63" s="26">
        <v>2</v>
      </c>
      <c r="AP63" s="26" t="s">
        <v>155</v>
      </c>
      <c r="AQ63" s="26" t="s">
        <v>119</v>
      </c>
      <c r="AR63" s="26" t="s">
        <v>114</v>
      </c>
      <c r="AS63" s="26" t="s">
        <v>120</v>
      </c>
      <c r="AT63" s="26" t="s">
        <v>116</v>
      </c>
      <c r="AU63" s="26" t="s">
        <v>375</v>
      </c>
      <c r="AV63" s="26">
        <v>2</v>
      </c>
      <c r="AW63" s="26" t="s">
        <v>184</v>
      </c>
      <c r="AX63" s="26" t="s">
        <v>113</v>
      </c>
      <c r="AY63" s="26" t="s">
        <v>115</v>
      </c>
      <c r="AZ63" s="26" t="s">
        <v>116</v>
      </c>
      <c r="BA63" s="26" t="s">
        <v>376</v>
      </c>
      <c r="BB63" s="26">
        <v>3</v>
      </c>
      <c r="BC63" s="26" t="s">
        <v>184</v>
      </c>
      <c r="BD63" s="26" t="s">
        <v>123</v>
      </c>
      <c r="BE63" s="26" t="s">
        <v>124</v>
      </c>
      <c r="BF63" s="26" t="s">
        <v>116</v>
      </c>
      <c r="BG63" s="26" t="s">
        <v>377</v>
      </c>
      <c r="BH63" s="26">
        <v>2</v>
      </c>
      <c r="BI63" s="26" t="s">
        <v>378</v>
      </c>
      <c r="BJ63" s="26" t="s">
        <v>123</v>
      </c>
      <c r="BK63" s="26" t="s">
        <v>124</v>
      </c>
      <c r="BL63" s="26" t="s">
        <v>116</v>
      </c>
      <c r="BM63" s="26" t="s">
        <v>379</v>
      </c>
      <c r="BN63" s="26">
        <v>3</v>
      </c>
      <c r="BO63" s="31" t="s">
        <v>719</v>
      </c>
      <c r="BP63" s="31" t="s">
        <v>399</v>
      </c>
      <c r="BQ63" s="31"/>
      <c r="BR63" s="31" t="s">
        <v>240</v>
      </c>
      <c r="BS63" s="31">
        <v>-2.3327790000000001E-2</v>
      </c>
      <c r="BT63" s="31">
        <v>2.6363635999999999E-2</v>
      </c>
      <c r="BU63" s="31">
        <v>7.6055063000000006E-2</v>
      </c>
      <c r="BV63" s="31" t="s">
        <v>393</v>
      </c>
      <c r="BW63" s="31">
        <v>7</v>
      </c>
      <c r="BX63" s="31"/>
      <c r="BY63" s="31"/>
      <c r="BZ63" s="31"/>
      <c r="CA63" s="31"/>
      <c r="CB63" s="31"/>
      <c r="CC63" s="31" t="s">
        <v>381</v>
      </c>
      <c r="CD63" s="31"/>
      <c r="CE63" s="31">
        <v>4.9691425999999997E-2</v>
      </c>
    </row>
    <row r="64" spans="1:83" ht="87">
      <c r="A64" s="33">
        <v>14</v>
      </c>
      <c r="B64" s="26" t="s">
        <v>365</v>
      </c>
      <c r="C64" s="26">
        <v>2017</v>
      </c>
      <c r="D64" s="26" t="s">
        <v>366</v>
      </c>
      <c r="E64" s="30">
        <v>44714</v>
      </c>
      <c r="F64" s="31" t="s">
        <v>90</v>
      </c>
      <c r="G64" s="31" t="s">
        <v>360</v>
      </c>
      <c r="H64" s="31"/>
      <c r="I64" s="31" t="s">
        <v>368</v>
      </c>
      <c r="J64" s="26" t="s">
        <v>369</v>
      </c>
      <c r="K64" s="26" t="s">
        <v>97</v>
      </c>
      <c r="L64" s="26" t="s">
        <v>137</v>
      </c>
      <c r="M64" s="26" t="s">
        <v>95</v>
      </c>
      <c r="N64" s="26" t="s">
        <v>370</v>
      </c>
      <c r="O64" s="26" t="s">
        <v>97</v>
      </c>
      <c r="P64" s="26" t="s">
        <v>97</v>
      </c>
      <c r="S64" s="26" t="s">
        <v>90</v>
      </c>
      <c r="T64" s="26" t="s">
        <v>191</v>
      </c>
      <c r="U64" s="26" t="s">
        <v>99</v>
      </c>
      <c r="W64" s="26">
        <v>2</v>
      </c>
      <c r="X64" s="26">
        <v>1</v>
      </c>
      <c r="Y64" s="26" t="s">
        <v>371</v>
      </c>
      <c r="AA64" s="26" t="s">
        <v>319</v>
      </c>
      <c r="AB64" s="26" t="s">
        <v>105</v>
      </c>
      <c r="AC64" s="26" t="s">
        <v>372</v>
      </c>
      <c r="AD64" s="26" t="s">
        <v>373</v>
      </c>
      <c r="AE64" s="26" t="s">
        <v>197</v>
      </c>
      <c r="AF64" s="26">
        <v>4</v>
      </c>
      <c r="AG64" s="26" t="s">
        <v>90</v>
      </c>
      <c r="AH64" s="26" t="s">
        <v>374</v>
      </c>
      <c r="AI64" s="26" t="s">
        <v>150</v>
      </c>
      <c r="AJ64" s="26">
        <v>2</v>
      </c>
      <c r="AK64" s="26" t="s">
        <v>151</v>
      </c>
      <c r="AL64" s="26" t="s">
        <v>97</v>
      </c>
      <c r="AM64" s="26" t="s">
        <v>97</v>
      </c>
      <c r="AN64" s="26" t="s">
        <v>152</v>
      </c>
      <c r="AO64" s="26">
        <v>2</v>
      </c>
      <c r="AP64" s="26" t="s">
        <v>155</v>
      </c>
      <c r="AQ64" s="26" t="s">
        <v>119</v>
      </c>
      <c r="AR64" s="26" t="s">
        <v>114</v>
      </c>
      <c r="AS64" s="26" t="s">
        <v>120</v>
      </c>
      <c r="AT64" s="26" t="s">
        <v>116</v>
      </c>
      <c r="AU64" s="26" t="s">
        <v>375</v>
      </c>
      <c r="AV64" s="26">
        <v>2</v>
      </c>
      <c r="AW64" s="26" t="s">
        <v>184</v>
      </c>
      <c r="AX64" s="26" t="s">
        <v>113</v>
      </c>
      <c r="AY64" s="26" t="s">
        <v>115</v>
      </c>
      <c r="AZ64" s="26" t="s">
        <v>116</v>
      </c>
      <c r="BA64" s="26" t="s">
        <v>376</v>
      </c>
      <c r="BB64" s="26">
        <v>3</v>
      </c>
      <c r="BC64" s="26" t="s">
        <v>184</v>
      </c>
      <c r="BD64" s="26" t="s">
        <v>123</v>
      </c>
      <c r="BE64" s="26" t="s">
        <v>124</v>
      </c>
      <c r="BF64" s="26" t="s">
        <v>116</v>
      </c>
      <c r="BG64" s="26" t="s">
        <v>377</v>
      </c>
      <c r="BH64" s="26">
        <v>2</v>
      </c>
      <c r="BI64" s="26" t="s">
        <v>378</v>
      </c>
      <c r="BJ64" s="26" t="s">
        <v>123</v>
      </c>
      <c r="BK64" s="26" t="s">
        <v>124</v>
      </c>
      <c r="BL64" s="26" t="s">
        <v>116</v>
      </c>
      <c r="BM64" s="26" t="s">
        <v>379</v>
      </c>
      <c r="BN64" s="26">
        <v>3</v>
      </c>
      <c r="BO64" s="31" t="s">
        <v>719</v>
      </c>
      <c r="BP64" s="31" t="s">
        <v>396</v>
      </c>
      <c r="BQ64" s="31"/>
      <c r="BR64" s="31" t="s">
        <v>240</v>
      </c>
      <c r="BS64" s="31">
        <v>1.717358E-3</v>
      </c>
      <c r="BT64" s="31">
        <v>2.9090909000000002E-2</v>
      </c>
      <c r="BU64" s="31">
        <v>5.6464460000000001E-2</v>
      </c>
      <c r="BV64" s="31" t="s">
        <v>393</v>
      </c>
      <c r="BW64" s="31">
        <v>7</v>
      </c>
      <c r="BX64" s="31"/>
      <c r="BY64" s="31"/>
      <c r="BZ64" s="31"/>
      <c r="CA64" s="31"/>
      <c r="CB64" s="31"/>
      <c r="CC64" s="31" t="s">
        <v>381</v>
      </c>
      <c r="CD64" s="31"/>
      <c r="CE64" s="31">
        <v>2.7373550999999999E-2</v>
      </c>
    </row>
    <row r="65" spans="1:83" ht="87">
      <c r="A65" s="33">
        <v>14</v>
      </c>
      <c r="B65" s="26" t="s">
        <v>365</v>
      </c>
      <c r="C65" s="26">
        <v>2017</v>
      </c>
      <c r="D65" s="26" t="s">
        <v>366</v>
      </c>
      <c r="E65" s="30">
        <v>44714</v>
      </c>
      <c r="F65" s="31" t="s">
        <v>90</v>
      </c>
      <c r="G65" s="31" t="s">
        <v>360</v>
      </c>
      <c r="H65" s="31"/>
      <c r="I65" s="31" t="s">
        <v>368</v>
      </c>
      <c r="J65" s="26" t="s">
        <v>369</v>
      </c>
      <c r="K65" s="26" t="s">
        <v>97</v>
      </c>
      <c r="L65" s="26" t="s">
        <v>137</v>
      </c>
      <c r="M65" s="26" t="s">
        <v>95</v>
      </c>
      <c r="N65" s="26" t="s">
        <v>370</v>
      </c>
      <c r="O65" s="26" t="s">
        <v>97</v>
      </c>
      <c r="P65" s="26" t="s">
        <v>97</v>
      </c>
      <c r="S65" s="26" t="s">
        <v>90</v>
      </c>
      <c r="T65" s="26" t="s">
        <v>191</v>
      </c>
      <c r="U65" s="26" t="s">
        <v>99</v>
      </c>
      <c r="W65" s="26">
        <v>2</v>
      </c>
      <c r="X65" s="26">
        <v>1</v>
      </c>
      <c r="Y65" s="26" t="s">
        <v>371</v>
      </c>
      <c r="AA65" s="26" t="s">
        <v>319</v>
      </c>
      <c r="AB65" s="26" t="s">
        <v>105</v>
      </c>
      <c r="AC65" s="26" t="s">
        <v>372</v>
      </c>
      <c r="AD65" s="26" t="s">
        <v>373</v>
      </c>
      <c r="AE65" s="26" t="s">
        <v>197</v>
      </c>
      <c r="AF65" s="26">
        <v>4</v>
      </c>
      <c r="AG65" s="26" t="s">
        <v>90</v>
      </c>
      <c r="AH65" s="26" t="s">
        <v>374</v>
      </c>
      <c r="AI65" s="26" t="s">
        <v>150</v>
      </c>
      <c r="AJ65" s="26">
        <v>2</v>
      </c>
      <c r="AK65" s="26" t="s">
        <v>151</v>
      </c>
      <c r="AL65" s="26" t="s">
        <v>97</v>
      </c>
      <c r="AM65" s="26" t="s">
        <v>97</v>
      </c>
      <c r="AN65" s="26" t="s">
        <v>152</v>
      </c>
      <c r="AO65" s="26">
        <v>2</v>
      </c>
      <c r="AP65" s="26" t="s">
        <v>155</v>
      </c>
      <c r="AQ65" s="26" t="s">
        <v>119</v>
      </c>
      <c r="AR65" s="26" t="s">
        <v>114</v>
      </c>
      <c r="AS65" s="26" t="s">
        <v>120</v>
      </c>
      <c r="AT65" s="26" t="s">
        <v>116</v>
      </c>
      <c r="AU65" s="26" t="s">
        <v>375</v>
      </c>
      <c r="AV65" s="26">
        <v>2</v>
      </c>
      <c r="AW65" s="26" t="s">
        <v>184</v>
      </c>
      <c r="AX65" s="26" t="s">
        <v>113</v>
      </c>
      <c r="AY65" s="26" t="s">
        <v>115</v>
      </c>
      <c r="AZ65" s="26" t="s">
        <v>116</v>
      </c>
      <c r="BA65" s="26" t="s">
        <v>376</v>
      </c>
      <c r="BB65" s="26">
        <v>3</v>
      </c>
      <c r="BC65" s="26" t="s">
        <v>184</v>
      </c>
      <c r="BD65" s="26" t="s">
        <v>123</v>
      </c>
      <c r="BE65" s="26" t="s">
        <v>124</v>
      </c>
      <c r="BF65" s="26" t="s">
        <v>116</v>
      </c>
      <c r="BG65" s="26" t="s">
        <v>377</v>
      </c>
      <c r="BH65" s="26">
        <v>2</v>
      </c>
      <c r="BI65" s="26" t="s">
        <v>378</v>
      </c>
      <c r="BJ65" s="26" t="s">
        <v>123</v>
      </c>
      <c r="BK65" s="26" t="s">
        <v>124</v>
      </c>
      <c r="BL65" s="26" t="s">
        <v>116</v>
      </c>
      <c r="BM65" s="26" t="s">
        <v>379</v>
      </c>
      <c r="BN65" s="26">
        <v>3</v>
      </c>
      <c r="BO65" s="31" t="s">
        <v>719</v>
      </c>
      <c r="BP65" s="31" t="s">
        <v>400</v>
      </c>
      <c r="BQ65" s="31"/>
      <c r="BR65" s="31" t="s">
        <v>240</v>
      </c>
      <c r="BS65" s="31">
        <v>-1.7356415E-2</v>
      </c>
      <c r="BT65" s="31">
        <v>6.5584416000000006E-2</v>
      </c>
      <c r="BU65" s="31">
        <v>0.148525246</v>
      </c>
      <c r="BV65" s="31" t="s">
        <v>393</v>
      </c>
      <c r="BW65" s="31">
        <v>7</v>
      </c>
      <c r="BX65" s="31"/>
      <c r="BY65" s="31"/>
      <c r="BZ65" s="31"/>
      <c r="CA65" s="31"/>
      <c r="CB65" s="31"/>
      <c r="CC65" s="31" t="s">
        <v>381</v>
      </c>
      <c r="CD65" s="31"/>
      <c r="CE65" s="31">
        <v>8.2940831000000007E-2</v>
      </c>
    </row>
    <row r="66" spans="1:83" ht="87">
      <c r="A66" s="33">
        <v>14</v>
      </c>
      <c r="B66" s="26" t="s">
        <v>365</v>
      </c>
      <c r="C66" s="26">
        <v>2017</v>
      </c>
      <c r="D66" s="26" t="s">
        <v>366</v>
      </c>
      <c r="E66" s="30">
        <v>44714</v>
      </c>
      <c r="F66" s="31" t="s">
        <v>90</v>
      </c>
      <c r="G66" s="31" t="s">
        <v>360</v>
      </c>
      <c r="H66" s="31"/>
      <c r="I66" s="31" t="s">
        <v>368</v>
      </c>
      <c r="J66" s="26" t="s">
        <v>369</v>
      </c>
      <c r="K66" s="26" t="s">
        <v>97</v>
      </c>
      <c r="L66" s="26" t="s">
        <v>137</v>
      </c>
      <c r="M66" s="26" t="s">
        <v>95</v>
      </c>
      <c r="N66" s="26" t="s">
        <v>370</v>
      </c>
      <c r="O66" s="26" t="s">
        <v>97</v>
      </c>
      <c r="P66" s="26" t="s">
        <v>97</v>
      </c>
      <c r="S66" s="26" t="s">
        <v>90</v>
      </c>
      <c r="T66" s="26" t="s">
        <v>191</v>
      </c>
      <c r="U66" s="26" t="s">
        <v>99</v>
      </c>
      <c r="W66" s="26">
        <v>2</v>
      </c>
      <c r="X66" s="26">
        <v>1</v>
      </c>
      <c r="Y66" s="26" t="s">
        <v>371</v>
      </c>
      <c r="AA66" s="26" t="s">
        <v>319</v>
      </c>
      <c r="AB66" s="26" t="s">
        <v>105</v>
      </c>
      <c r="AC66" s="26" t="s">
        <v>372</v>
      </c>
      <c r="AD66" s="26" t="s">
        <v>373</v>
      </c>
      <c r="AE66" s="26" t="s">
        <v>197</v>
      </c>
      <c r="AF66" s="26">
        <v>4</v>
      </c>
      <c r="AG66" s="26" t="s">
        <v>90</v>
      </c>
      <c r="AH66" s="26" t="s">
        <v>374</v>
      </c>
      <c r="AI66" s="26" t="s">
        <v>150</v>
      </c>
      <c r="AJ66" s="26">
        <v>2</v>
      </c>
      <c r="AK66" s="26" t="s">
        <v>151</v>
      </c>
      <c r="AL66" s="26" t="s">
        <v>97</v>
      </c>
      <c r="AM66" s="26" t="s">
        <v>97</v>
      </c>
      <c r="AN66" s="26" t="s">
        <v>152</v>
      </c>
      <c r="AO66" s="26">
        <v>2</v>
      </c>
      <c r="AP66" s="26" t="s">
        <v>155</v>
      </c>
      <c r="AQ66" s="26" t="s">
        <v>119</v>
      </c>
      <c r="AR66" s="26" t="s">
        <v>114</v>
      </c>
      <c r="AS66" s="26" t="s">
        <v>120</v>
      </c>
      <c r="AT66" s="26" t="s">
        <v>116</v>
      </c>
      <c r="AU66" s="26" t="s">
        <v>375</v>
      </c>
      <c r="AV66" s="26">
        <v>2</v>
      </c>
      <c r="AW66" s="26" t="s">
        <v>184</v>
      </c>
      <c r="AX66" s="26" t="s">
        <v>113</v>
      </c>
      <c r="AY66" s="26" t="s">
        <v>115</v>
      </c>
      <c r="AZ66" s="26" t="s">
        <v>116</v>
      </c>
      <c r="BA66" s="26" t="s">
        <v>376</v>
      </c>
      <c r="BB66" s="26">
        <v>3</v>
      </c>
      <c r="BC66" s="26" t="s">
        <v>184</v>
      </c>
      <c r="BD66" s="26" t="s">
        <v>123</v>
      </c>
      <c r="BE66" s="26" t="s">
        <v>124</v>
      </c>
      <c r="BF66" s="26" t="s">
        <v>116</v>
      </c>
      <c r="BG66" s="26" t="s">
        <v>377</v>
      </c>
      <c r="BH66" s="26">
        <v>2</v>
      </c>
      <c r="BI66" s="26" t="s">
        <v>378</v>
      </c>
      <c r="BJ66" s="26" t="s">
        <v>123</v>
      </c>
      <c r="BK66" s="26" t="s">
        <v>124</v>
      </c>
      <c r="BL66" s="26" t="s">
        <v>116</v>
      </c>
      <c r="BM66" s="26" t="s">
        <v>379</v>
      </c>
      <c r="BN66" s="26">
        <v>3</v>
      </c>
      <c r="BO66" s="31" t="s">
        <v>719</v>
      </c>
      <c r="BP66" s="31" t="s">
        <v>403</v>
      </c>
      <c r="BQ66" s="31"/>
      <c r="BR66" s="31" t="s">
        <v>240</v>
      </c>
      <c r="BS66" s="31">
        <v>5.6045560000000001E-3</v>
      </c>
      <c r="BT66" s="31">
        <v>5.1363635999999997E-2</v>
      </c>
      <c r="BU66" s="31">
        <v>9.7122716999999997E-2</v>
      </c>
      <c r="BV66" s="31" t="s">
        <v>393</v>
      </c>
      <c r="BW66" s="31">
        <v>7</v>
      </c>
      <c r="BX66" s="31"/>
      <c r="BY66" s="31"/>
      <c r="BZ66" s="31"/>
      <c r="CA66" s="31"/>
      <c r="CB66" s="31"/>
      <c r="CC66" s="31" t="s">
        <v>381</v>
      </c>
      <c r="CD66" s="31"/>
      <c r="CE66" s="31">
        <v>4.5759081E-2</v>
      </c>
    </row>
    <row r="67" spans="1:83" ht="87">
      <c r="A67" s="33">
        <v>14</v>
      </c>
      <c r="B67" s="26" t="s">
        <v>365</v>
      </c>
      <c r="C67" s="26">
        <v>2017</v>
      </c>
      <c r="D67" s="26" t="s">
        <v>366</v>
      </c>
      <c r="E67" s="30">
        <v>44714</v>
      </c>
      <c r="F67" s="31" t="s">
        <v>90</v>
      </c>
      <c r="G67" s="31" t="s">
        <v>360</v>
      </c>
      <c r="H67" s="31"/>
      <c r="I67" s="31" t="s">
        <v>368</v>
      </c>
      <c r="J67" s="26" t="s">
        <v>369</v>
      </c>
      <c r="K67" s="26" t="s">
        <v>97</v>
      </c>
      <c r="L67" s="26" t="s">
        <v>137</v>
      </c>
      <c r="M67" s="26" t="s">
        <v>95</v>
      </c>
      <c r="N67" s="26" t="s">
        <v>370</v>
      </c>
      <c r="O67" s="26" t="s">
        <v>97</v>
      </c>
      <c r="P67" s="26" t="s">
        <v>97</v>
      </c>
      <c r="S67" s="26" t="s">
        <v>90</v>
      </c>
      <c r="T67" s="26" t="s">
        <v>191</v>
      </c>
      <c r="U67" s="26" t="s">
        <v>99</v>
      </c>
      <c r="W67" s="26">
        <v>2</v>
      </c>
      <c r="X67" s="26">
        <v>1</v>
      </c>
      <c r="Y67" s="26" t="s">
        <v>371</v>
      </c>
      <c r="AA67" s="26" t="s">
        <v>319</v>
      </c>
      <c r="AB67" s="26" t="s">
        <v>105</v>
      </c>
      <c r="AC67" s="26" t="s">
        <v>372</v>
      </c>
      <c r="AD67" s="26" t="s">
        <v>373</v>
      </c>
      <c r="AE67" s="26" t="s">
        <v>197</v>
      </c>
      <c r="AF67" s="26">
        <v>4</v>
      </c>
      <c r="AG67" s="26" t="s">
        <v>90</v>
      </c>
      <c r="AH67" s="26" t="s">
        <v>374</v>
      </c>
      <c r="AI67" s="26" t="s">
        <v>150</v>
      </c>
      <c r="AJ67" s="26">
        <v>2</v>
      </c>
      <c r="AK67" s="26" t="s">
        <v>151</v>
      </c>
      <c r="AL67" s="26" t="s">
        <v>97</v>
      </c>
      <c r="AM67" s="26" t="s">
        <v>97</v>
      </c>
      <c r="AN67" s="26" t="s">
        <v>152</v>
      </c>
      <c r="AO67" s="26">
        <v>2</v>
      </c>
      <c r="AP67" s="26" t="s">
        <v>155</v>
      </c>
      <c r="AQ67" s="26" t="s">
        <v>119</v>
      </c>
      <c r="AR67" s="26" t="s">
        <v>114</v>
      </c>
      <c r="AS67" s="26" t="s">
        <v>120</v>
      </c>
      <c r="AT67" s="26" t="s">
        <v>116</v>
      </c>
      <c r="AU67" s="26" t="s">
        <v>375</v>
      </c>
      <c r="AV67" s="26">
        <v>2</v>
      </c>
      <c r="AW67" s="26" t="s">
        <v>184</v>
      </c>
      <c r="AX67" s="26" t="s">
        <v>113</v>
      </c>
      <c r="AY67" s="26" t="s">
        <v>115</v>
      </c>
      <c r="AZ67" s="26" t="s">
        <v>116</v>
      </c>
      <c r="BA67" s="26" t="s">
        <v>376</v>
      </c>
      <c r="BB67" s="26">
        <v>3</v>
      </c>
      <c r="BC67" s="26" t="s">
        <v>184</v>
      </c>
      <c r="BD67" s="26" t="s">
        <v>123</v>
      </c>
      <c r="BE67" s="26" t="s">
        <v>124</v>
      </c>
      <c r="BF67" s="26" t="s">
        <v>116</v>
      </c>
      <c r="BG67" s="26" t="s">
        <v>377</v>
      </c>
      <c r="BH67" s="26">
        <v>2</v>
      </c>
      <c r="BI67" s="26" t="s">
        <v>378</v>
      </c>
      <c r="BJ67" s="26" t="s">
        <v>123</v>
      </c>
      <c r="BK67" s="26" t="s">
        <v>124</v>
      </c>
      <c r="BL67" s="26" t="s">
        <v>116</v>
      </c>
      <c r="BM67" s="26" t="s">
        <v>379</v>
      </c>
      <c r="BN67" s="26">
        <v>3</v>
      </c>
      <c r="BO67" s="31" t="s">
        <v>719</v>
      </c>
      <c r="BP67" s="31" t="s">
        <v>722</v>
      </c>
      <c r="BQ67" s="31"/>
      <c r="BR67" s="31" t="s">
        <v>240</v>
      </c>
      <c r="BS67" s="31"/>
      <c r="BT67" s="31"/>
      <c r="BU67" s="31"/>
      <c r="BV67" s="31"/>
      <c r="BW67" s="31"/>
      <c r="BX67" s="31">
        <v>-1.16709E-3</v>
      </c>
      <c r="BY67" s="31">
        <v>8.6776860000000004E-3</v>
      </c>
      <c r="BZ67" s="31">
        <v>1.8522462E-2</v>
      </c>
      <c r="CA67" s="31" t="s">
        <v>393</v>
      </c>
      <c r="CB67" s="31">
        <v>5</v>
      </c>
      <c r="CC67" s="31" t="s">
        <v>381</v>
      </c>
      <c r="CD67" s="31"/>
      <c r="CE67" s="31">
        <v>9.8447759999999995E-3</v>
      </c>
    </row>
    <row r="68" spans="1:83" ht="87">
      <c r="A68" s="33">
        <v>14</v>
      </c>
      <c r="B68" s="26" t="s">
        <v>365</v>
      </c>
      <c r="C68" s="26">
        <v>2017</v>
      </c>
      <c r="D68" s="26" t="s">
        <v>366</v>
      </c>
      <c r="E68" s="30">
        <v>44714</v>
      </c>
      <c r="F68" s="31" t="s">
        <v>90</v>
      </c>
      <c r="G68" s="31" t="s">
        <v>360</v>
      </c>
      <c r="H68" s="31"/>
      <c r="I68" s="31" t="s">
        <v>368</v>
      </c>
      <c r="J68" s="26" t="s">
        <v>369</v>
      </c>
      <c r="K68" s="26" t="s">
        <v>97</v>
      </c>
      <c r="L68" s="26" t="s">
        <v>137</v>
      </c>
      <c r="M68" s="26" t="s">
        <v>95</v>
      </c>
      <c r="N68" s="26" t="s">
        <v>370</v>
      </c>
      <c r="O68" s="26" t="s">
        <v>97</v>
      </c>
      <c r="P68" s="26" t="s">
        <v>97</v>
      </c>
      <c r="S68" s="26" t="s">
        <v>90</v>
      </c>
      <c r="T68" s="26" t="s">
        <v>191</v>
      </c>
      <c r="U68" s="26" t="s">
        <v>99</v>
      </c>
      <c r="W68" s="26">
        <v>2</v>
      </c>
      <c r="X68" s="26">
        <v>1</v>
      </c>
      <c r="Y68" s="26" t="s">
        <v>371</v>
      </c>
      <c r="AA68" s="26" t="s">
        <v>319</v>
      </c>
      <c r="AB68" s="26" t="s">
        <v>105</v>
      </c>
      <c r="AC68" s="26" t="s">
        <v>372</v>
      </c>
      <c r="AD68" s="26" t="s">
        <v>373</v>
      </c>
      <c r="AE68" s="26" t="s">
        <v>197</v>
      </c>
      <c r="AF68" s="26">
        <v>4</v>
      </c>
      <c r="AG68" s="26" t="s">
        <v>90</v>
      </c>
      <c r="AH68" s="26" t="s">
        <v>374</v>
      </c>
      <c r="AI68" s="26" t="s">
        <v>150</v>
      </c>
      <c r="AJ68" s="26">
        <v>2</v>
      </c>
      <c r="AK68" s="26" t="s">
        <v>151</v>
      </c>
      <c r="AL68" s="26" t="s">
        <v>97</v>
      </c>
      <c r="AM68" s="26" t="s">
        <v>97</v>
      </c>
      <c r="AN68" s="26" t="s">
        <v>152</v>
      </c>
      <c r="AO68" s="26">
        <v>2</v>
      </c>
      <c r="AP68" s="26" t="s">
        <v>155</v>
      </c>
      <c r="AQ68" s="26" t="s">
        <v>119</v>
      </c>
      <c r="AR68" s="26" t="s">
        <v>114</v>
      </c>
      <c r="AS68" s="26" t="s">
        <v>120</v>
      </c>
      <c r="AT68" s="26" t="s">
        <v>116</v>
      </c>
      <c r="AU68" s="26" t="s">
        <v>375</v>
      </c>
      <c r="AV68" s="26">
        <v>2</v>
      </c>
      <c r="AW68" s="26" t="s">
        <v>184</v>
      </c>
      <c r="AX68" s="26" t="s">
        <v>113</v>
      </c>
      <c r="AY68" s="26" t="s">
        <v>115</v>
      </c>
      <c r="AZ68" s="26" t="s">
        <v>116</v>
      </c>
      <c r="BA68" s="26" t="s">
        <v>376</v>
      </c>
      <c r="BB68" s="26">
        <v>3</v>
      </c>
      <c r="BC68" s="26" t="s">
        <v>184</v>
      </c>
      <c r="BD68" s="26" t="s">
        <v>123</v>
      </c>
      <c r="BE68" s="26" t="s">
        <v>124</v>
      </c>
      <c r="BF68" s="26" t="s">
        <v>116</v>
      </c>
      <c r="BG68" s="26" t="s">
        <v>377</v>
      </c>
      <c r="BH68" s="26">
        <v>2</v>
      </c>
      <c r="BI68" s="26" t="s">
        <v>378</v>
      </c>
      <c r="BJ68" s="26" t="s">
        <v>123</v>
      </c>
      <c r="BK68" s="26" t="s">
        <v>124</v>
      </c>
      <c r="BL68" s="26" t="s">
        <v>116</v>
      </c>
      <c r="BM68" s="26" t="s">
        <v>379</v>
      </c>
      <c r="BN68" s="26">
        <v>3</v>
      </c>
      <c r="BO68" s="31" t="s">
        <v>719</v>
      </c>
      <c r="BP68" s="31" t="s">
        <v>401</v>
      </c>
      <c r="BQ68" s="31"/>
      <c r="BR68" s="31" t="s">
        <v>240</v>
      </c>
      <c r="BS68" s="31">
        <v>-3.9664483E-2</v>
      </c>
      <c r="BT68" s="31">
        <v>3.8311688000000003E-2</v>
      </c>
      <c r="BU68" s="31">
        <v>0.11628786000000001</v>
      </c>
      <c r="BV68" s="31" t="s">
        <v>393</v>
      </c>
      <c r="BW68" s="31">
        <v>7</v>
      </c>
      <c r="BX68" s="31"/>
      <c r="BY68" s="31"/>
      <c r="BZ68" s="31"/>
      <c r="CA68" s="31"/>
      <c r="CB68" s="31"/>
      <c r="CC68" s="31" t="s">
        <v>381</v>
      </c>
      <c r="CD68" s="31"/>
      <c r="CE68" s="31">
        <v>7.7976171999999996E-2</v>
      </c>
    </row>
    <row r="69" spans="1:83" ht="87">
      <c r="A69" s="33">
        <v>14</v>
      </c>
      <c r="B69" s="26" t="s">
        <v>365</v>
      </c>
      <c r="C69" s="26">
        <v>2017</v>
      </c>
      <c r="D69" s="26" t="s">
        <v>366</v>
      </c>
      <c r="E69" s="30">
        <v>44714</v>
      </c>
      <c r="F69" s="31" t="s">
        <v>90</v>
      </c>
      <c r="G69" s="31" t="s">
        <v>360</v>
      </c>
      <c r="H69" s="31"/>
      <c r="I69" s="31" t="s">
        <v>368</v>
      </c>
      <c r="J69" s="26" t="s">
        <v>369</v>
      </c>
      <c r="K69" s="26" t="s">
        <v>97</v>
      </c>
      <c r="L69" s="26" t="s">
        <v>137</v>
      </c>
      <c r="M69" s="26" t="s">
        <v>95</v>
      </c>
      <c r="N69" s="26" t="s">
        <v>370</v>
      </c>
      <c r="O69" s="26" t="s">
        <v>97</v>
      </c>
      <c r="P69" s="26" t="s">
        <v>97</v>
      </c>
      <c r="S69" s="26" t="s">
        <v>90</v>
      </c>
      <c r="T69" s="26" t="s">
        <v>191</v>
      </c>
      <c r="U69" s="26" t="s">
        <v>99</v>
      </c>
      <c r="W69" s="26">
        <v>2</v>
      </c>
      <c r="X69" s="26">
        <v>1</v>
      </c>
      <c r="Y69" s="26" t="s">
        <v>371</v>
      </c>
      <c r="AA69" s="26" t="s">
        <v>319</v>
      </c>
      <c r="AB69" s="26" t="s">
        <v>105</v>
      </c>
      <c r="AC69" s="26" t="s">
        <v>372</v>
      </c>
      <c r="AD69" s="26" t="s">
        <v>373</v>
      </c>
      <c r="AE69" s="26" t="s">
        <v>197</v>
      </c>
      <c r="AF69" s="26">
        <v>4</v>
      </c>
      <c r="AG69" s="26" t="s">
        <v>90</v>
      </c>
      <c r="AH69" s="26" t="s">
        <v>374</v>
      </c>
      <c r="AI69" s="26" t="s">
        <v>150</v>
      </c>
      <c r="AJ69" s="26">
        <v>2</v>
      </c>
      <c r="AK69" s="26" t="s">
        <v>151</v>
      </c>
      <c r="AL69" s="26" t="s">
        <v>97</v>
      </c>
      <c r="AM69" s="26" t="s">
        <v>97</v>
      </c>
      <c r="AN69" s="26" t="s">
        <v>152</v>
      </c>
      <c r="AO69" s="26">
        <v>2</v>
      </c>
      <c r="AP69" s="26" t="s">
        <v>155</v>
      </c>
      <c r="AQ69" s="26" t="s">
        <v>119</v>
      </c>
      <c r="AR69" s="26" t="s">
        <v>114</v>
      </c>
      <c r="AS69" s="26" t="s">
        <v>120</v>
      </c>
      <c r="AT69" s="26" t="s">
        <v>116</v>
      </c>
      <c r="AU69" s="26" t="s">
        <v>375</v>
      </c>
      <c r="AV69" s="26">
        <v>2</v>
      </c>
      <c r="AW69" s="26" t="s">
        <v>184</v>
      </c>
      <c r="AX69" s="26" t="s">
        <v>113</v>
      </c>
      <c r="AY69" s="26" t="s">
        <v>115</v>
      </c>
      <c r="AZ69" s="26" t="s">
        <v>116</v>
      </c>
      <c r="BA69" s="26" t="s">
        <v>376</v>
      </c>
      <c r="BB69" s="26">
        <v>3</v>
      </c>
      <c r="BC69" s="26" t="s">
        <v>184</v>
      </c>
      <c r="BD69" s="26" t="s">
        <v>123</v>
      </c>
      <c r="BE69" s="26" t="s">
        <v>124</v>
      </c>
      <c r="BF69" s="26" t="s">
        <v>116</v>
      </c>
      <c r="BG69" s="26" t="s">
        <v>377</v>
      </c>
      <c r="BH69" s="26">
        <v>2</v>
      </c>
      <c r="BI69" s="26" t="s">
        <v>378</v>
      </c>
      <c r="BJ69" s="26" t="s">
        <v>123</v>
      </c>
      <c r="BK69" s="26" t="s">
        <v>124</v>
      </c>
      <c r="BL69" s="26" t="s">
        <v>116</v>
      </c>
      <c r="BM69" s="26" t="s">
        <v>379</v>
      </c>
      <c r="BN69" s="26">
        <v>3</v>
      </c>
      <c r="BO69" s="31" t="s">
        <v>719</v>
      </c>
      <c r="BP69" s="31" t="s">
        <v>406</v>
      </c>
      <c r="BQ69" s="31"/>
      <c r="BR69" s="31" t="s">
        <v>240</v>
      </c>
      <c r="BS69" s="31">
        <v>-5.9928710000000003E-3</v>
      </c>
      <c r="BT69" s="31">
        <v>1.8181817999999999E-2</v>
      </c>
      <c r="BU69" s="31">
        <v>4.2356507000000002E-2</v>
      </c>
      <c r="BV69" s="31" t="s">
        <v>393</v>
      </c>
      <c r="BW69" s="31">
        <v>7</v>
      </c>
      <c r="BX69" s="31"/>
      <c r="BY69" s="31"/>
      <c r="BZ69" s="31"/>
      <c r="CA69" s="31"/>
      <c r="CB69" s="31"/>
      <c r="CC69" s="31" t="s">
        <v>381</v>
      </c>
      <c r="CD69" s="31"/>
      <c r="CE69" s="31">
        <v>2.4174688999999999E-2</v>
      </c>
    </row>
    <row r="70" spans="1:83" ht="87">
      <c r="A70" s="33">
        <v>14</v>
      </c>
      <c r="B70" s="26" t="s">
        <v>365</v>
      </c>
      <c r="C70" s="26">
        <v>2017</v>
      </c>
      <c r="D70" s="26" t="s">
        <v>366</v>
      </c>
      <c r="E70" s="30">
        <v>44714</v>
      </c>
      <c r="F70" s="31" t="s">
        <v>90</v>
      </c>
      <c r="G70" s="31" t="s">
        <v>360</v>
      </c>
      <c r="H70" s="31"/>
      <c r="I70" s="31" t="s">
        <v>368</v>
      </c>
      <c r="J70" s="26" t="s">
        <v>369</v>
      </c>
      <c r="K70" s="26" t="s">
        <v>97</v>
      </c>
      <c r="L70" s="26" t="s">
        <v>137</v>
      </c>
      <c r="M70" s="26" t="s">
        <v>95</v>
      </c>
      <c r="N70" s="26" t="s">
        <v>370</v>
      </c>
      <c r="O70" s="26" t="s">
        <v>97</v>
      </c>
      <c r="P70" s="26" t="s">
        <v>97</v>
      </c>
      <c r="S70" s="26" t="s">
        <v>90</v>
      </c>
      <c r="T70" s="26" t="s">
        <v>191</v>
      </c>
      <c r="U70" s="26" t="s">
        <v>99</v>
      </c>
      <c r="W70" s="26">
        <v>2</v>
      </c>
      <c r="X70" s="26">
        <v>1</v>
      </c>
      <c r="Y70" s="26" t="s">
        <v>371</v>
      </c>
      <c r="AA70" s="26" t="s">
        <v>319</v>
      </c>
      <c r="AB70" s="26" t="s">
        <v>105</v>
      </c>
      <c r="AC70" s="26" t="s">
        <v>372</v>
      </c>
      <c r="AD70" s="26" t="s">
        <v>373</v>
      </c>
      <c r="AE70" s="26" t="s">
        <v>197</v>
      </c>
      <c r="AF70" s="26">
        <v>4</v>
      </c>
      <c r="AG70" s="26" t="s">
        <v>90</v>
      </c>
      <c r="AH70" s="26" t="s">
        <v>374</v>
      </c>
      <c r="AI70" s="26" t="s">
        <v>150</v>
      </c>
      <c r="AJ70" s="26">
        <v>2</v>
      </c>
      <c r="AK70" s="26" t="s">
        <v>151</v>
      </c>
      <c r="AL70" s="26" t="s">
        <v>97</v>
      </c>
      <c r="AM70" s="26" t="s">
        <v>97</v>
      </c>
      <c r="AN70" s="26" t="s">
        <v>152</v>
      </c>
      <c r="AO70" s="26">
        <v>2</v>
      </c>
      <c r="AP70" s="26" t="s">
        <v>155</v>
      </c>
      <c r="AQ70" s="26" t="s">
        <v>119</v>
      </c>
      <c r="AR70" s="26" t="s">
        <v>114</v>
      </c>
      <c r="AS70" s="26" t="s">
        <v>120</v>
      </c>
      <c r="AT70" s="26" t="s">
        <v>116</v>
      </c>
      <c r="AU70" s="26" t="s">
        <v>375</v>
      </c>
      <c r="AV70" s="26">
        <v>2</v>
      </c>
      <c r="AW70" s="26" t="s">
        <v>184</v>
      </c>
      <c r="AX70" s="26" t="s">
        <v>113</v>
      </c>
      <c r="AY70" s="26" t="s">
        <v>115</v>
      </c>
      <c r="AZ70" s="26" t="s">
        <v>116</v>
      </c>
      <c r="BA70" s="26" t="s">
        <v>376</v>
      </c>
      <c r="BB70" s="26">
        <v>3</v>
      </c>
      <c r="BC70" s="26" t="s">
        <v>184</v>
      </c>
      <c r="BD70" s="26" t="s">
        <v>123</v>
      </c>
      <c r="BE70" s="26" t="s">
        <v>124</v>
      </c>
      <c r="BF70" s="26" t="s">
        <v>116</v>
      </c>
      <c r="BG70" s="26" t="s">
        <v>377</v>
      </c>
      <c r="BH70" s="26">
        <v>2</v>
      </c>
      <c r="BI70" s="26" t="s">
        <v>378</v>
      </c>
      <c r="BJ70" s="26" t="s">
        <v>123</v>
      </c>
      <c r="BK70" s="26" t="s">
        <v>124</v>
      </c>
      <c r="BL70" s="26" t="s">
        <v>116</v>
      </c>
      <c r="BM70" s="26" t="s">
        <v>379</v>
      </c>
      <c r="BN70" s="26">
        <v>3</v>
      </c>
      <c r="BO70" s="31" t="s">
        <v>719</v>
      </c>
      <c r="BP70" s="31" t="s">
        <v>404</v>
      </c>
      <c r="BQ70" s="31"/>
      <c r="BR70" s="31" t="s">
        <v>240</v>
      </c>
      <c r="BS70" s="31">
        <v>2.0412660999999999E-2</v>
      </c>
      <c r="BT70" s="31">
        <v>0.129292929</v>
      </c>
      <c r="BU70" s="31">
        <v>0.238173197</v>
      </c>
      <c r="BV70" s="31" t="s">
        <v>393</v>
      </c>
      <c r="BW70" s="31">
        <v>7</v>
      </c>
      <c r="BX70" s="31"/>
      <c r="BY70" s="31"/>
      <c r="BZ70" s="31"/>
      <c r="CA70" s="31"/>
      <c r="CB70" s="31"/>
      <c r="CC70" s="31" t="s">
        <v>381</v>
      </c>
      <c r="CD70" s="31"/>
      <c r="CE70" s="31">
        <v>0.108880268</v>
      </c>
    </row>
    <row r="71" spans="1:83" ht="87">
      <c r="A71" s="33">
        <v>14</v>
      </c>
      <c r="B71" s="26" t="s">
        <v>365</v>
      </c>
      <c r="C71" s="26">
        <v>2017</v>
      </c>
      <c r="D71" s="26" t="s">
        <v>366</v>
      </c>
      <c r="E71" s="30">
        <v>44714</v>
      </c>
      <c r="F71" s="31" t="s">
        <v>90</v>
      </c>
      <c r="G71" s="31" t="s">
        <v>360</v>
      </c>
      <c r="H71" s="31"/>
      <c r="I71" s="31" t="s">
        <v>368</v>
      </c>
      <c r="J71" s="26" t="s">
        <v>369</v>
      </c>
      <c r="K71" s="26" t="s">
        <v>97</v>
      </c>
      <c r="L71" s="26" t="s">
        <v>137</v>
      </c>
      <c r="M71" s="26" t="s">
        <v>95</v>
      </c>
      <c r="N71" s="26" t="s">
        <v>370</v>
      </c>
      <c r="O71" s="26" t="s">
        <v>97</v>
      </c>
      <c r="P71" s="26" t="s">
        <v>97</v>
      </c>
      <c r="S71" s="26" t="s">
        <v>90</v>
      </c>
      <c r="T71" s="26" t="s">
        <v>191</v>
      </c>
      <c r="U71" s="26" t="s">
        <v>99</v>
      </c>
      <c r="W71" s="26">
        <v>2</v>
      </c>
      <c r="X71" s="26">
        <v>1</v>
      </c>
      <c r="Y71" s="26" t="s">
        <v>371</v>
      </c>
      <c r="AA71" s="26" t="s">
        <v>319</v>
      </c>
      <c r="AB71" s="26" t="s">
        <v>105</v>
      </c>
      <c r="AC71" s="26" t="s">
        <v>372</v>
      </c>
      <c r="AD71" s="26" t="s">
        <v>373</v>
      </c>
      <c r="AE71" s="26" t="s">
        <v>197</v>
      </c>
      <c r="AF71" s="26">
        <v>4</v>
      </c>
      <c r="AG71" s="26" t="s">
        <v>90</v>
      </c>
      <c r="AH71" s="26" t="s">
        <v>374</v>
      </c>
      <c r="AI71" s="26" t="s">
        <v>150</v>
      </c>
      <c r="AJ71" s="26">
        <v>2</v>
      </c>
      <c r="AK71" s="26" t="s">
        <v>151</v>
      </c>
      <c r="AL71" s="26" t="s">
        <v>97</v>
      </c>
      <c r="AM71" s="26" t="s">
        <v>97</v>
      </c>
      <c r="AN71" s="26" t="s">
        <v>152</v>
      </c>
      <c r="AO71" s="26">
        <v>2</v>
      </c>
      <c r="AP71" s="26" t="s">
        <v>155</v>
      </c>
      <c r="AQ71" s="26" t="s">
        <v>119</v>
      </c>
      <c r="AR71" s="26" t="s">
        <v>114</v>
      </c>
      <c r="AS71" s="26" t="s">
        <v>120</v>
      </c>
      <c r="AT71" s="26" t="s">
        <v>116</v>
      </c>
      <c r="AU71" s="26" t="s">
        <v>375</v>
      </c>
      <c r="AV71" s="26">
        <v>2</v>
      </c>
      <c r="AW71" s="26" t="s">
        <v>184</v>
      </c>
      <c r="AX71" s="26" t="s">
        <v>113</v>
      </c>
      <c r="AY71" s="26" t="s">
        <v>115</v>
      </c>
      <c r="AZ71" s="26" t="s">
        <v>116</v>
      </c>
      <c r="BA71" s="26" t="s">
        <v>376</v>
      </c>
      <c r="BB71" s="26">
        <v>3</v>
      </c>
      <c r="BC71" s="26" t="s">
        <v>184</v>
      </c>
      <c r="BD71" s="26" t="s">
        <v>123</v>
      </c>
      <c r="BE71" s="26" t="s">
        <v>124</v>
      </c>
      <c r="BF71" s="26" t="s">
        <v>116</v>
      </c>
      <c r="BG71" s="26" t="s">
        <v>377</v>
      </c>
      <c r="BH71" s="26">
        <v>2</v>
      </c>
      <c r="BI71" s="26" t="s">
        <v>378</v>
      </c>
      <c r="BJ71" s="26" t="s">
        <v>123</v>
      </c>
      <c r="BK71" s="26" t="s">
        <v>124</v>
      </c>
      <c r="BL71" s="26" t="s">
        <v>116</v>
      </c>
      <c r="BM71" s="26" t="s">
        <v>379</v>
      </c>
      <c r="BN71" s="26">
        <v>3</v>
      </c>
      <c r="BO71" s="31" t="s">
        <v>719</v>
      </c>
      <c r="BP71" s="31" t="s">
        <v>407</v>
      </c>
      <c r="BQ71" s="31"/>
      <c r="BR71" s="31" t="s">
        <v>240</v>
      </c>
      <c r="BS71" s="31">
        <v>3.221523E-3</v>
      </c>
      <c r="BT71" s="31">
        <v>3.8181817999999999E-2</v>
      </c>
      <c r="BU71" s="31">
        <v>7.3142112999999995E-2</v>
      </c>
      <c r="BV71" s="31" t="s">
        <v>393</v>
      </c>
      <c r="BW71" s="31">
        <v>7</v>
      </c>
      <c r="BX71" s="31"/>
      <c r="BY71" s="31"/>
      <c r="BZ71" s="31"/>
      <c r="CA71" s="31"/>
      <c r="CB71" s="31"/>
      <c r="CC71" s="31" t="s">
        <v>381</v>
      </c>
      <c r="CD71" s="31"/>
      <c r="CE71" s="31">
        <v>3.4960295000000002E-2</v>
      </c>
    </row>
    <row r="72" spans="1:83" ht="87">
      <c r="A72" s="33">
        <v>14</v>
      </c>
      <c r="B72" s="26" t="s">
        <v>365</v>
      </c>
      <c r="C72" s="26">
        <v>2017</v>
      </c>
      <c r="D72" s="26" t="s">
        <v>366</v>
      </c>
      <c r="E72" s="30">
        <v>44714</v>
      </c>
      <c r="F72" s="31" t="s">
        <v>90</v>
      </c>
      <c r="G72" s="31" t="s">
        <v>360</v>
      </c>
      <c r="H72" s="31"/>
      <c r="I72" s="31" t="s">
        <v>368</v>
      </c>
      <c r="J72" s="26" t="s">
        <v>369</v>
      </c>
      <c r="K72" s="26" t="s">
        <v>97</v>
      </c>
      <c r="L72" s="26" t="s">
        <v>137</v>
      </c>
      <c r="M72" s="26" t="s">
        <v>95</v>
      </c>
      <c r="N72" s="26" t="s">
        <v>370</v>
      </c>
      <c r="O72" s="26" t="s">
        <v>97</v>
      </c>
      <c r="P72" s="26" t="s">
        <v>97</v>
      </c>
      <c r="S72" s="26" t="s">
        <v>90</v>
      </c>
      <c r="T72" s="26" t="s">
        <v>191</v>
      </c>
      <c r="U72" s="26" t="s">
        <v>99</v>
      </c>
      <c r="W72" s="26">
        <v>2</v>
      </c>
      <c r="X72" s="26">
        <v>1</v>
      </c>
      <c r="Y72" s="26" t="s">
        <v>371</v>
      </c>
      <c r="AA72" s="26" t="s">
        <v>319</v>
      </c>
      <c r="AB72" s="26" t="s">
        <v>105</v>
      </c>
      <c r="AC72" s="26" t="s">
        <v>372</v>
      </c>
      <c r="AD72" s="26" t="s">
        <v>373</v>
      </c>
      <c r="AE72" s="26" t="s">
        <v>197</v>
      </c>
      <c r="AF72" s="26">
        <v>4</v>
      </c>
      <c r="AG72" s="26" t="s">
        <v>90</v>
      </c>
      <c r="AH72" s="26" t="s">
        <v>374</v>
      </c>
      <c r="AI72" s="26" t="s">
        <v>150</v>
      </c>
      <c r="AJ72" s="26">
        <v>2</v>
      </c>
      <c r="AK72" s="26" t="s">
        <v>151</v>
      </c>
      <c r="AL72" s="26" t="s">
        <v>97</v>
      </c>
      <c r="AM72" s="26" t="s">
        <v>97</v>
      </c>
      <c r="AN72" s="26" t="s">
        <v>152</v>
      </c>
      <c r="AO72" s="26">
        <v>2</v>
      </c>
      <c r="AP72" s="26" t="s">
        <v>155</v>
      </c>
      <c r="AQ72" s="26" t="s">
        <v>119</v>
      </c>
      <c r="AR72" s="26" t="s">
        <v>114</v>
      </c>
      <c r="AS72" s="26" t="s">
        <v>120</v>
      </c>
      <c r="AT72" s="26" t="s">
        <v>116</v>
      </c>
      <c r="AU72" s="26" t="s">
        <v>375</v>
      </c>
      <c r="AV72" s="26">
        <v>2</v>
      </c>
      <c r="AW72" s="26" t="s">
        <v>184</v>
      </c>
      <c r="AX72" s="26" t="s">
        <v>113</v>
      </c>
      <c r="AY72" s="26" t="s">
        <v>115</v>
      </c>
      <c r="AZ72" s="26" t="s">
        <v>116</v>
      </c>
      <c r="BA72" s="26" t="s">
        <v>376</v>
      </c>
      <c r="BB72" s="26">
        <v>3</v>
      </c>
      <c r="BC72" s="26" t="s">
        <v>184</v>
      </c>
      <c r="BD72" s="26" t="s">
        <v>123</v>
      </c>
      <c r="BE72" s="26" t="s">
        <v>124</v>
      </c>
      <c r="BF72" s="26" t="s">
        <v>116</v>
      </c>
      <c r="BG72" s="26" t="s">
        <v>377</v>
      </c>
      <c r="BH72" s="26">
        <v>2</v>
      </c>
      <c r="BI72" s="26" t="s">
        <v>378</v>
      </c>
      <c r="BJ72" s="26" t="s">
        <v>123</v>
      </c>
      <c r="BK72" s="26" t="s">
        <v>124</v>
      </c>
      <c r="BL72" s="26" t="s">
        <v>116</v>
      </c>
      <c r="BM72" s="26" t="s">
        <v>379</v>
      </c>
      <c r="BN72" s="26">
        <v>3</v>
      </c>
      <c r="BO72" s="31" t="s">
        <v>719</v>
      </c>
      <c r="BP72" s="31" t="s">
        <v>402</v>
      </c>
      <c r="BQ72" s="31"/>
      <c r="BR72" s="31" t="s">
        <v>240</v>
      </c>
      <c r="BS72" s="31">
        <v>-6.8930475000000005E-2</v>
      </c>
      <c r="BT72" s="31">
        <v>5.7792207999999998E-2</v>
      </c>
      <c r="BU72" s="31">
        <v>0.18451489099999999</v>
      </c>
      <c r="BV72" s="31" t="s">
        <v>393</v>
      </c>
      <c r="BW72" s="31">
        <v>7</v>
      </c>
      <c r="BX72" s="31"/>
      <c r="BY72" s="31"/>
      <c r="BZ72" s="31"/>
      <c r="CA72" s="31"/>
      <c r="CB72" s="31"/>
      <c r="CC72" s="31" t="s">
        <v>381</v>
      </c>
      <c r="CD72" s="31"/>
      <c r="CE72" s="31">
        <v>0.126722683</v>
      </c>
    </row>
    <row r="73" spans="1:83" ht="87">
      <c r="A73" s="33">
        <v>14</v>
      </c>
      <c r="B73" s="26" t="s">
        <v>365</v>
      </c>
      <c r="C73" s="26">
        <v>2017</v>
      </c>
      <c r="D73" s="26" t="s">
        <v>366</v>
      </c>
      <c r="E73" s="30">
        <v>44714</v>
      </c>
      <c r="F73" s="31" t="s">
        <v>90</v>
      </c>
      <c r="G73" s="31" t="s">
        <v>360</v>
      </c>
      <c r="H73" s="31"/>
      <c r="I73" s="31" t="s">
        <v>368</v>
      </c>
      <c r="J73" s="26" t="s">
        <v>369</v>
      </c>
      <c r="K73" s="26" t="s">
        <v>97</v>
      </c>
      <c r="L73" s="26" t="s">
        <v>137</v>
      </c>
      <c r="M73" s="26" t="s">
        <v>95</v>
      </c>
      <c r="N73" s="26" t="s">
        <v>370</v>
      </c>
      <c r="O73" s="26" t="s">
        <v>97</v>
      </c>
      <c r="P73" s="26" t="s">
        <v>97</v>
      </c>
      <c r="S73" s="26" t="s">
        <v>90</v>
      </c>
      <c r="T73" s="26" t="s">
        <v>191</v>
      </c>
      <c r="U73" s="26" t="s">
        <v>99</v>
      </c>
      <c r="W73" s="26">
        <v>2</v>
      </c>
      <c r="X73" s="26">
        <v>1</v>
      </c>
      <c r="Y73" s="26" t="s">
        <v>371</v>
      </c>
      <c r="AA73" s="26" t="s">
        <v>319</v>
      </c>
      <c r="AB73" s="26" t="s">
        <v>105</v>
      </c>
      <c r="AC73" s="26" t="s">
        <v>372</v>
      </c>
      <c r="AD73" s="26" t="s">
        <v>373</v>
      </c>
      <c r="AE73" s="26" t="s">
        <v>197</v>
      </c>
      <c r="AF73" s="26">
        <v>4</v>
      </c>
      <c r="AG73" s="26" t="s">
        <v>90</v>
      </c>
      <c r="AH73" s="26" t="s">
        <v>374</v>
      </c>
      <c r="AI73" s="26" t="s">
        <v>150</v>
      </c>
      <c r="AJ73" s="26">
        <v>2</v>
      </c>
      <c r="AK73" s="26" t="s">
        <v>151</v>
      </c>
      <c r="AL73" s="26" t="s">
        <v>97</v>
      </c>
      <c r="AM73" s="26" t="s">
        <v>97</v>
      </c>
      <c r="AN73" s="26" t="s">
        <v>152</v>
      </c>
      <c r="AO73" s="26">
        <v>2</v>
      </c>
      <c r="AP73" s="26" t="s">
        <v>155</v>
      </c>
      <c r="AQ73" s="26" t="s">
        <v>119</v>
      </c>
      <c r="AR73" s="26" t="s">
        <v>114</v>
      </c>
      <c r="AS73" s="26" t="s">
        <v>120</v>
      </c>
      <c r="AT73" s="26" t="s">
        <v>116</v>
      </c>
      <c r="AU73" s="26" t="s">
        <v>375</v>
      </c>
      <c r="AV73" s="26">
        <v>2</v>
      </c>
      <c r="AW73" s="26" t="s">
        <v>184</v>
      </c>
      <c r="AX73" s="26" t="s">
        <v>113</v>
      </c>
      <c r="AY73" s="26" t="s">
        <v>115</v>
      </c>
      <c r="AZ73" s="26" t="s">
        <v>116</v>
      </c>
      <c r="BA73" s="26" t="s">
        <v>376</v>
      </c>
      <c r="BB73" s="26">
        <v>3</v>
      </c>
      <c r="BC73" s="26" t="s">
        <v>184</v>
      </c>
      <c r="BD73" s="26" t="s">
        <v>123</v>
      </c>
      <c r="BE73" s="26" t="s">
        <v>124</v>
      </c>
      <c r="BF73" s="26" t="s">
        <v>116</v>
      </c>
      <c r="BG73" s="26" t="s">
        <v>377</v>
      </c>
      <c r="BH73" s="26">
        <v>2</v>
      </c>
      <c r="BI73" s="26" t="s">
        <v>378</v>
      </c>
      <c r="BJ73" s="26" t="s">
        <v>123</v>
      </c>
      <c r="BK73" s="26" t="s">
        <v>124</v>
      </c>
      <c r="BL73" s="26" t="s">
        <v>116</v>
      </c>
      <c r="BM73" s="26" t="s">
        <v>379</v>
      </c>
      <c r="BN73" s="26">
        <v>3</v>
      </c>
      <c r="BO73" s="31" t="s">
        <v>719</v>
      </c>
      <c r="BP73" s="31" t="s">
        <v>408</v>
      </c>
      <c r="BQ73" s="31"/>
      <c r="BR73" s="31" t="s">
        <v>240</v>
      </c>
      <c r="BS73" s="31">
        <v>-2.9566465E-2</v>
      </c>
      <c r="BT73" s="31">
        <v>3.5454544999999997E-2</v>
      </c>
      <c r="BU73" s="31">
        <v>0.10047555599999999</v>
      </c>
      <c r="BV73" s="31" t="s">
        <v>393</v>
      </c>
      <c r="BW73" s="31">
        <v>7</v>
      </c>
      <c r="BX73" s="31"/>
      <c r="BY73" s="31"/>
      <c r="BZ73" s="31"/>
      <c r="CA73" s="31"/>
      <c r="CB73" s="31"/>
      <c r="CC73" s="31" t="s">
        <v>381</v>
      </c>
      <c r="CD73" s="31"/>
      <c r="CE73" s="31">
        <v>6.5021011000000004E-2</v>
      </c>
    </row>
    <row r="74" spans="1:83" ht="87">
      <c r="A74" s="33">
        <v>14</v>
      </c>
      <c r="B74" s="26" t="s">
        <v>365</v>
      </c>
      <c r="C74" s="26">
        <v>2017</v>
      </c>
      <c r="D74" s="26" t="s">
        <v>366</v>
      </c>
      <c r="E74" s="30">
        <v>44714</v>
      </c>
      <c r="F74" s="31" t="s">
        <v>90</v>
      </c>
      <c r="G74" s="31" t="s">
        <v>360</v>
      </c>
      <c r="H74" s="31"/>
      <c r="I74" s="31" t="s">
        <v>368</v>
      </c>
      <c r="J74" s="26" t="s">
        <v>369</v>
      </c>
      <c r="K74" s="26" t="s">
        <v>97</v>
      </c>
      <c r="L74" s="26" t="s">
        <v>137</v>
      </c>
      <c r="M74" s="26" t="s">
        <v>95</v>
      </c>
      <c r="N74" s="26" t="s">
        <v>370</v>
      </c>
      <c r="O74" s="26" t="s">
        <v>97</v>
      </c>
      <c r="P74" s="26" t="s">
        <v>97</v>
      </c>
      <c r="S74" s="26" t="s">
        <v>90</v>
      </c>
      <c r="T74" s="26" t="s">
        <v>191</v>
      </c>
      <c r="U74" s="26" t="s">
        <v>99</v>
      </c>
      <c r="W74" s="26">
        <v>2</v>
      </c>
      <c r="X74" s="26">
        <v>1</v>
      </c>
      <c r="Y74" s="26" t="s">
        <v>371</v>
      </c>
      <c r="AA74" s="26" t="s">
        <v>319</v>
      </c>
      <c r="AB74" s="26" t="s">
        <v>105</v>
      </c>
      <c r="AC74" s="26" t="s">
        <v>372</v>
      </c>
      <c r="AD74" s="26" t="s">
        <v>373</v>
      </c>
      <c r="AE74" s="26" t="s">
        <v>197</v>
      </c>
      <c r="AF74" s="26">
        <v>4</v>
      </c>
      <c r="AG74" s="26" t="s">
        <v>90</v>
      </c>
      <c r="AH74" s="26" t="s">
        <v>374</v>
      </c>
      <c r="AI74" s="26" t="s">
        <v>150</v>
      </c>
      <c r="AJ74" s="26">
        <v>2</v>
      </c>
      <c r="AK74" s="26" t="s">
        <v>151</v>
      </c>
      <c r="AL74" s="26" t="s">
        <v>97</v>
      </c>
      <c r="AM74" s="26" t="s">
        <v>97</v>
      </c>
      <c r="AN74" s="26" t="s">
        <v>152</v>
      </c>
      <c r="AO74" s="26">
        <v>2</v>
      </c>
      <c r="AP74" s="26" t="s">
        <v>155</v>
      </c>
      <c r="AQ74" s="26" t="s">
        <v>119</v>
      </c>
      <c r="AR74" s="26" t="s">
        <v>114</v>
      </c>
      <c r="AS74" s="26" t="s">
        <v>120</v>
      </c>
      <c r="AT74" s="26" t="s">
        <v>116</v>
      </c>
      <c r="AU74" s="26" t="s">
        <v>375</v>
      </c>
      <c r="AV74" s="26">
        <v>2</v>
      </c>
      <c r="AW74" s="26" t="s">
        <v>184</v>
      </c>
      <c r="AX74" s="26" t="s">
        <v>113</v>
      </c>
      <c r="AY74" s="26" t="s">
        <v>115</v>
      </c>
      <c r="AZ74" s="26" t="s">
        <v>116</v>
      </c>
      <c r="BA74" s="26" t="s">
        <v>376</v>
      </c>
      <c r="BB74" s="26">
        <v>3</v>
      </c>
      <c r="BC74" s="26" t="s">
        <v>184</v>
      </c>
      <c r="BD74" s="26" t="s">
        <v>123</v>
      </c>
      <c r="BE74" s="26" t="s">
        <v>124</v>
      </c>
      <c r="BF74" s="26" t="s">
        <v>116</v>
      </c>
      <c r="BG74" s="26" t="s">
        <v>377</v>
      </c>
      <c r="BH74" s="26">
        <v>2</v>
      </c>
      <c r="BI74" s="26" t="s">
        <v>378</v>
      </c>
      <c r="BJ74" s="26" t="s">
        <v>123</v>
      </c>
      <c r="BK74" s="26" t="s">
        <v>124</v>
      </c>
      <c r="BL74" s="26" t="s">
        <v>116</v>
      </c>
      <c r="BM74" s="26" t="s">
        <v>379</v>
      </c>
      <c r="BN74" s="26">
        <v>3</v>
      </c>
      <c r="BO74" s="31" t="s">
        <v>719</v>
      </c>
      <c r="BP74" s="31" t="s">
        <v>405</v>
      </c>
      <c r="BQ74" s="31"/>
      <c r="BR74" s="31" t="s">
        <v>240</v>
      </c>
      <c r="BS74" s="31">
        <v>-2.6829316999999998E-2</v>
      </c>
      <c r="BT74" s="31">
        <v>4.6363636E-2</v>
      </c>
      <c r="BU74" s="31">
        <v>0.11955659</v>
      </c>
      <c r="BV74" s="31" t="s">
        <v>393</v>
      </c>
      <c r="BW74" s="31">
        <v>7</v>
      </c>
      <c r="BX74" s="31"/>
      <c r="BY74" s="31"/>
      <c r="BZ74" s="31"/>
      <c r="CA74" s="31"/>
      <c r="CB74" s="31"/>
      <c r="CC74" s="31" t="s">
        <v>381</v>
      </c>
      <c r="CD74" s="31"/>
      <c r="CE74" s="31">
        <v>7.3192954000000005E-2</v>
      </c>
    </row>
    <row r="75" spans="1:83" ht="87">
      <c r="A75" s="33">
        <v>14</v>
      </c>
      <c r="B75" s="26" t="s">
        <v>365</v>
      </c>
      <c r="C75" s="26">
        <v>2017</v>
      </c>
      <c r="D75" s="26" t="s">
        <v>366</v>
      </c>
      <c r="E75" s="30">
        <v>44714</v>
      </c>
      <c r="F75" s="31" t="s">
        <v>90</v>
      </c>
      <c r="G75" s="31" t="s">
        <v>360</v>
      </c>
      <c r="H75" s="31"/>
      <c r="I75" s="31" t="s">
        <v>368</v>
      </c>
      <c r="J75" s="26" t="s">
        <v>369</v>
      </c>
      <c r="K75" s="26" t="s">
        <v>97</v>
      </c>
      <c r="L75" s="26" t="s">
        <v>137</v>
      </c>
      <c r="M75" s="26" t="s">
        <v>95</v>
      </c>
      <c r="N75" s="26" t="s">
        <v>370</v>
      </c>
      <c r="O75" s="26" t="s">
        <v>97</v>
      </c>
      <c r="P75" s="26" t="s">
        <v>97</v>
      </c>
      <c r="S75" s="26" t="s">
        <v>90</v>
      </c>
      <c r="T75" s="26" t="s">
        <v>191</v>
      </c>
      <c r="U75" s="26" t="s">
        <v>99</v>
      </c>
      <c r="W75" s="26">
        <v>2</v>
      </c>
      <c r="X75" s="26">
        <v>1</v>
      </c>
      <c r="Y75" s="26" t="s">
        <v>371</v>
      </c>
      <c r="AA75" s="26" t="s">
        <v>319</v>
      </c>
      <c r="AB75" s="26" t="s">
        <v>105</v>
      </c>
      <c r="AC75" s="26" t="s">
        <v>372</v>
      </c>
      <c r="AD75" s="26" t="s">
        <v>373</v>
      </c>
      <c r="AE75" s="26" t="s">
        <v>197</v>
      </c>
      <c r="AF75" s="26">
        <v>4</v>
      </c>
      <c r="AG75" s="26" t="s">
        <v>90</v>
      </c>
      <c r="AH75" s="26" t="s">
        <v>374</v>
      </c>
      <c r="AI75" s="26" t="s">
        <v>150</v>
      </c>
      <c r="AJ75" s="26">
        <v>2</v>
      </c>
      <c r="AK75" s="26" t="s">
        <v>151</v>
      </c>
      <c r="AL75" s="26" t="s">
        <v>97</v>
      </c>
      <c r="AM75" s="26" t="s">
        <v>97</v>
      </c>
      <c r="AN75" s="26" t="s">
        <v>152</v>
      </c>
      <c r="AO75" s="26">
        <v>2</v>
      </c>
      <c r="AP75" s="26" t="s">
        <v>155</v>
      </c>
      <c r="AQ75" s="26" t="s">
        <v>119</v>
      </c>
      <c r="AR75" s="26" t="s">
        <v>114</v>
      </c>
      <c r="AS75" s="26" t="s">
        <v>120</v>
      </c>
      <c r="AT75" s="26" t="s">
        <v>116</v>
      </c>
      <c r="AU75" s="26" t="s">
        <v>375</v>
      </c>
      <c r="AV75" s="26">
        <v>2</v>
      </c>
      <c r="AW75" s="26" t="s">
        <v>184</v>
      </c>
      <c r="AX75" s="26" t="s">
        <v>113</v>
      </c>
      <c r="AY75" s="26" t="s">
        <v>115</v>
      </c>
      <c r="AZ75" s="26" t="s">
        <v>116</v>
      </c>
      <c r="BA75" s="26" t="s">
        <v>376</v>
      </c>
      <c r="BB75" s="26">
        <v>3</v>
      </c>
      <c r="BC75" s="26" t="s">
        <v>184</v>
      </c>
      <c r="BD75" s="26" t="s">
        <v>123</v>
      </c>
      <c r="BE75" s="26" t="s">
        <v>124</v>
      </c>
      <c r="BF75" s="26" t="s">
        <v>116</v>
      </c>
      <c r="BG75" s="26" t="s">
        <v>377</v>
      </c>
      <c r="BH75" s="26">
        <v>2</v>
      </c>
      <c r="BI75" s="26" t="s">
        <v>378</v>
      </c>
      <c r="BJ75" s="26" t="s">
        <v>123</v>
      </c>
      <c r="BK75" s="26" t="s">
        <v>124</v>
      </c>
      <c r="BL75" s="26" t="s">
        <v>116</v>
      </c>
      <c r="BM75" s="26" t="s">
        <v>379</v>
      </c>
      <c r="BN75" s="26">
        <v>3</v>
      </c>
      <c r="BO75" s="31" t="s">
        <v>719</v>
      </c>
      <c r="BP75" s="31" t="s">
        <v>409</v>
      </c>
      <c r="BQ75" s="31"/>
      <c r="BR75" s="31" t="s">
        <v>240</v>
      </c>
      <c r="BS75" s="31">
        <v>-5.1174910000000001E-3</v>
      </c>
      <c r="BT75" s="31">
        <v>6.1224490000000003E-3</v>
      </c>
      <c r="BU75" s="31">
        <v>1.7362388999999999E-2</v>
      </c>
      <c r="BV75" s="31" t="s">
        <v>393</v>
      </c>
      <c r="BW75" s="31">
        <v>7</v>
      </c>
      <c r="BX75" s="31"/>
      <c r="BY75" s="31"/>
      <c r="BZ75" s="31"/>
      <c r="CA75" s="31"/>
      <c r="CB75" s="31"/>
      <c r="CC75" s="31" t="s">
        <v>381</v>
      </c>
      <c r="CD75" s="31"/>
      <c r="CE75" s="31">
        <v>1.123994E-2</v>
      </c>
    </row>
    <row r="76" spans="1:83" ht="87">
      <c r="A76" s="33">
        <v>14</v>
      </c>
      <c r="B76" s="26" t="s">
        <v>365</v>
      </c>
      <c r="C76" s="26">
        <v>2017</v>
      </c>
      <c r="D76" s="26" t="s">
        <v>366</v>
      </c>
      <c r="E76" s="30">
        <v>44714</v>
      </c>
      <c r="F76" s="31" t="s">
        <v>90</v>
      </c>
      <c r="G76" s="31" t="s">
        <v>360</v>
      </c>
      <c r="H76" s="31"/>
      <c r="I76" s="31" t="s">
        <v>368</v>
      </c>
      <c r="J76" s="26" t="s">
        <v>369</v>
      </c>
      <c r="K76" s="26" t="s">
        <v>97</v>
      </c>
      <c r="L76" s="26" t="s">
        <v>137</v>
      </c>
      <c r="M76" s="26" t="s">
        <v>95</v>
      </c>
      <c r="N76" s="26" t="s">
        <v>370</v>
      </c>
      <c r="O76" s="26" t="s">
        <v>97</v>
      </c>
      <c r="P76" s="26" t="s">
        <v>97</v>
      </c>
      <c r="S76" s="26" t="s">
        <v>90</v>
      </c>
      <c r="T76" s="26" t="s">
        <v>191</v>
      </c>
      <c r="U76" s="26" t="s">
        <v>99</v>
      </c>
      <c r="W76" s="26">
        <v>2</v>
      </c>
      <c r="X76" s="26">
        <v>1</v>
      </c>
      <c r="Y76" s="26" t="s">
        <v>371</v>
      </c>
      <c r="AA76" s="26" t="s">
        <v>319</v>
      </c>
      <c r="AB76" s="26" t="s">
        <v>105</v>
      </c>
      <c r="AC76" s="26" t="s">
        <v>372</v>
      </c>
      <c r="AD76" s="26" t="s">
        <v>373</v>
      </c>
      <c r="AE76" s="26" t="s">
        <v>197</v>
      </c>
      <c r="AF76" s="26">
        <v>4</v>
      </c>
      <c r="AG76" s="26" t="s">
        <v>90</v>
      </c>
      <c r="AH76" s="26" t="s">
        <v>374</v>
      </c>
      <c r="AI76" s="26" t="s">
        <v>150</v>
      </c>
      <c r="AJ76" s="26">
        <v>2</v>
      </c>
      <c r="AK76" s="26" t="s">
        <v>151</v>
      </c>
      <c r="AL76" s="26" t="s">
        <v>97</v>
      </c>
      <c r="AM76" s="26" t="s">
        <v>97</v>
      </c>
      <c r="AN76" s="26" t="s">
        <v>152</v>
      </c>
      <c r="AO76" s="26">
        <v>2</v>
      </c>
      <c r="AP76" s="26" t="s">
        <v>155</v>
      </c>
      <c r="AQ76" s="26" t="s">
        <v>119</v>
      </c>
      <c r="AR76" s="26" t="s">
        <v>114</v>
      </c>
      <c r="AS76" s="26" t="s">
        <v>120</v>
      </c>
      <c r="AT76" s="26" t="s">
        <v>116</v>
      </c>
      <c r="AU76" s="26" t="s">
        <v>375</v>
      </c>
      <c r="AV76" s="26">
        <v>2</v>
      </c>
      <c r="AW76" s="26" t="s">
        <v>184</v>
      </c>
      <c r="AX76" s="26" t="s">
        <v>113</v>
      </c>
      <c r="AY76" s="26" t="s">
        <v>115</v>
      </c>
      <c r="AZ76" s="26" t="s">
        <v>116</v>
      </c>
      <c r="BA76" s="26" t="s">
        <v>376</v>
      </c>
      <c r="BB76" s="26">
        <v>3</v>
      </c>
      <c r="BC76" s="26" t="s">
        <v>184</v>
      </c>
      <c r="BD76" s="26" t="s">
        <v>123</v>
      </c>
      <c r="BE76" s="26" t="s">
        <v>124</v>
      </c>
      <c r="BF76" s="26" t="s">
        <v>116</v>
      </c>
      <c r="BG76" s="26" t="s">
        <v>377</v>
      </c>
      <c r="BH76" s="26">
        <v>2</v>
      </c>
      <c r="BI76" s="26" t="s">
        <v>378</v>
      </c>
      <c r="BJ76" s="26" t="s">
        <v>123</v>
      </c>
      <c r="BK76" s="26" t="s">
        <v>124</v>
      </c>
      <c r="BL76" s="26" t="s">
        <v>116</v>
      </c>
      <c r="BM76" s="26" t="s">
        <v>379</v>
      </c>
      <c r="BN76" s="26">
        <v>3</v>
      </c>
      <c r="BO76" s="31" t="s">
        <v>719</v>
      </c>
      <c r="BP76" s="31" t="s">
        <v>412</v>
      </c>
      <c r="BQ76" s="31"/>
      <c r="BR76" s="31" t="s">
        <v>240</v>
      </c>
      <c r="BS76" s="31">
        <v>-9.3246160000000008E-3</v>
      </c>
      <c r="BT76" s="31">
        <v>1.5873016E-2</v>
      </c>
      <c r="BU76" s="31">
        <v>4.1070647000000002E-2</v>
      </c>
      <c r="BV76" s="31" t="s">
        <v>393</v>
      </c>
      <c r="BW76" s="31">
        <v>7</v>
      </c>
      <c r="BX76" s="31"/>
      <c r="BY76" s="31"/>
      <c r="BZ76" s="31"/>
      <c r="CA76" s="31"/>
      <c r="CB76" s="31"/>
      <c r="CC76" s="31" t="s">
        <v>381</v>
      </c>
      <c r="CD76" s="31"/>
      <c r="CE76" s="31">
        <v>2.5197632000000001E-2</v>
      </c>
    </row>
    <row r="77" spans="1:83" ht="87">
      <c r="A77" s="33">
        <v>14</v>
      </c>
      <c r="B77" s="26" t="s">
        <v>365</v>
      </c>
      <c r="C77" s="26">
        <v>2017</v>
      </c>
      <c r="D77" s="26" t="s">
        <v>366</v>
      </c>
      <c r="E77" s="30">
        <v>44714</v>
      </c>
      <c r="F77" s="31" t="s">
        <v>90</v>
      </c>
      <c r="G77" s="31" t="s">
        <v>360</v>
      </c>
      <c r="H77" s="31"/>
      <c r="I77" s="31" t="s">
        <v>368</v>
      </c>
      <c r="J77" s="26" t="s">
        <v>369</v>
      </c>
      <c r="K77" s="26" t="s">
        <v>97</v>
      </c>
      <c r="L77" s="26" t="s">
        <v>137</v>
      </c>
      <c r="M77" s="26" t="s">
        <v>95</v>
      </c>
      <c r="N77" s="26" t="s">
        <v>370</v>
      </c>
      <c r="O77" s="26" t="s">
        <v>97</v>
      </c>
      <c r="P77" s="26" t="s">
        <v>97</v>
      </c>
      <c r="S77" s="26" t="s">
        <v>90</v>
      </c>
      <c r="T77" s="26" t="s">
        <v>191</v>
      </c>
      <c r="U77" s="26" t="s">
        <v>99</v>
      </c>
      <c r="W77" s="26">
        <v>2</v>
      </c>
      <c r="X77" s="26">
        <v>1</v>
      </c>
      <c r="Y77" s="26" t="s">
        <v>371</v>
      </c>
      <c r="AA77" s="26" t="s">
        <v>319</v>
      </c>
      <c r="AB77" s="26" t="s">
        <v>105</v>
      </c>
      <c r="AC77" s="26" t="s">
        <v>372</v>
      </c>
      <c r="AD77" s="26" t="s">
        <v>373</v>
      </c>
      <c r="AE77" s="26" t="s">
        <v>197</v>
      </c>
      <c r="AF77" s="26">
        <v>4</v>
      </c>
      <c r="AG77" s="26" t="s">
        <v>90</v>
      </c>
      <c r="AH77" s="26" t="s">
        <v>374</v>
      </c>
      <c r="AI77" s="26" t="s">
        <v>150</v>
      </c>
      <c r="AJ77" s="26">
        <v>2</v>
      </c>
      <c r="AK77" s="26" t="s">
        <v>151</v>
      </c>
      <c r="AL77" s="26" t="s">
        <v>97</v>
      </c>
      <c r="AM77" s="26" t="s">
        <v>97</v>
      </c>
      <c r="AN77" s="26" t="s">
        <v>152</v>
      </c>
      <c r="AO77" s="26">
        <v>2</v>
      </c>
      <c r="AP77" s="26" t="s">
        <v>155</v>
      </c>
      <c r="AQ77" s="26" t="s">
        <v>119</v>
      </c>
      <c r="AR77" s="26" t="s">
        <v>114</v>
      </c>
      <c r="AS77" s="26" t="s">
        <v>120</v>
      </c>
      <c r="AT77" s="26" t="s">
        <v>116</v>
      </c>
      <c r="AU77" s="26" t="s">
        <v>375</v>
      </c>
      <c r="AV77" s="26">
        <v>2</v>
      </c>
      <c r="AW77" s="26" t="s">
        <v>184</v>
      </c>
      <c r="AX77" s="26" t="s">
        <v>113</v>
      </c>
      <c r="AY77" s="26" t="s">
        <v>115</v>
      </c>
      <c r="AZ77" s="26" t="s">
        <v>116</v>
      </c>
      <c r="BA77" s="26" t="s">
        <v>376</v>
      </c>
      <c r="BB77" s="26">
        <v>3</v>
      </c>
      <c r="BC77" s="26" t="s">
        <v>184</v>
      </c>
      <c r="BD77" s="26" t="s">
        <v>123</v>
      </c>
      <c r="BE77" s="26" t="s">
        <v>124</v>
      </c>
      <c r="BF77" s="26" t="s">
        <v>116</v>
      </c>
      <c r="BG77" s="26" t="s">
        <v>377</v>
      </c>
      <c r="BH77" s="26">
        <v>2</v>
      </c>
      <c r="BI77" s="26" t="s">
        <v>378</v>
      </c>
      <c r="BJ77" s="26" t="s">
        <v>123</v>
      </c>
      <c r="BK77" s="26" t="s">
        <v>124</v>
      </c>
      <c r="BL77" s="26" t="s">
        <v>116</v>
      </c>
      <c r="BM77" s="26" t="s">
        <v>379</v>
      </c>
      <c r="BN77" s="26">
        <v>3</v>
      </c>
      <c r="BO77" s="31" t="s">
        <v>719</v>
      </c>
      <c r="BP77" s="31" t="s">
        <v>723</v>
      </c>
      <c r="BQ77" s="31"/>
      <c r="BR77" s="31" t="s">
        <v>240</v>
      </c>
      <c r="BS77" s="31"/>
      <c r="BT77" s="31"/>
      <c r="BU77" s="31"/>
      <c r="BV77" s="31"/>
      <c r="BW77" s="31"/>
      <c r="BX77" s="31">
        <v>3.4864199999999997E-4</v>
      </c>
      <c r="BY77" s="31">
        <v>1.2857143E-2</v>
      </c>
      <c r="BZ77" s="31">
        <v>2.5365643E-2</v>
      </c>
      <c r="CA77" s="31" t="s">
        <v>393</v>
      </c>
      <c r="CB77" s="31">
        <v>5</v>
      </c>
      <c r="CC77" s="31" t="s">
        <v>381</v>
      </c>
      <c r="CD77" s="31"/>
      <c r="CE77" s="31">
        <v>1.2508501E-2</v>
      </c>
    </row>
    <row r="78" spans="1:83" ht="87">
      <c r="A78" s="33">
        <v>14</v>
      </c>
      <c r="B78" s="26" t="s">
        <v>365</v>
      </c>
      <c r="C78" s="26">
        <v>2017</v>
      </c>
      <c r="D78" s="26" t="s">
        <v>366</v>
      </c>
      <c r="E78" s="30">
        <v>44714</v>
      </c>
      <c r="F78" s="31" t="s">
        <v>90</v>
      </c>
      <c r="G78" s="31" t="s">
        <v>360</v>
      </c>
      <c r="H78" s="31"/>
      <c r="I78" s="31" t="s">
        <v>368</v>
      </c>
      <c r="J78" s="26" t="s">
        <v>369</v>
      </c>
      <c r="K78" s="26" t="s">
        <v>97</v>
      </c>
      <c r="L78" s="26" t="s">
        <v>137</v>
      </c>
      <c r="M78" s="26" t="s">
        <v>95</v>
      </c>
      <c r="N78" s="26" t="s">
        <v>370</v>
      </c>
      <c r="O78" s="26" t="s">
        <v>97</v>
      </c>
      <c r="P78" s="26" t="s">
        <v>97</v>
      </c>
      <c r="S78" s="26" t="s">
        <v>90</v>
      </c>
      <c r="T78" s="26" t="s">
        <v>191</v>
      </c>
      <c r="U78" s="26" t="s">
        <v>99</v>
      </c>
      <c r="W78" s="26">
        <v>2</v>
      </c>
      <c r="X78" s="26">
        <v>1</v>
      </c>
      <c r="Y78" s="26" t="s">
        <v>371</v>
      </c>
      <c r="AA78" s="26" t="s">
        <v>319</v>
      </c>
      <c r="AB78" s="26" t="s">
        <v>105</v>
      </c>
      <c r="AC78" s="26" t="s">
        <v>372</v>
      </c>
      <c r="AD78" s="26" t="s">
        <v>373</v>
      </c>
      <c r="AE78" s="26" t="s">
        <v>197</v>
      </c>
      <c r="AF78" s="26">
        <v>4</v>
      </c>
      <c r="AG78" s="26" t="s">
        <v>90</v>
      </c>
      <c r="AH78" s="26" t="s">
        <v>374</v>
      </c>
      <c r="AI78" s="26" t="s">
        <v>150</v>
      </c>
      <c r="AJ78" s="26">
        <v>2</v>
      </c>
      <c r="AK78" s="26" t="s">
        <v>151</v>
      </c>
      <c r="AL78" s="26" t="s">
        <v>97</v>
      </c>
      <c r="AM78" s="26" t="s">
        <v>97</v>
      </c>
      <c r="AN78" s="26" t="s">
        <v>152</v>
      </c>
      <c r="AO78" s="26">
        <v>2</v>
      </c>
      <c r="AP78" s="26" t="s">
        <v>155</v>
      </c>
      <c r="AQ78" s="26" t="s">
        <v>119</v>
      </c>
      <c r="AR78" s="26" t="s">
        <v>114</v>
      </c>
      <c r="AS78" s="26" t="s">
        <v>120</v>
      </c>
      <c r="AT78" s="26" t="s">
        <v>116</v>
      </c>
      <c r="AU78" s="26" t="s">
        <v>375</v>
      </c>
      <c r="AV78" s="26">
        <v>2</v>
      </c>
      <c r="AW78" s="26" t="s">
        <v>184</v>
      </c>
      <c r="AX78" s="26" t="s">
        <v>113</v>
      </c>
      <c r="AY78" s="26" t="s">
        <v>115</v>
      </c>
      <c r="AZ78" s="26" t="s">
        <v>116</v>
      </c>
      <c r="BA78" s="26" t="s">
        <v>376</v>
      </c>
      <c r="BB78" s="26">
        <v>3</v>
      </c>
      <c r="BC78" s="26" t="s">
        <v>184</v>
      </c>
      <c r="BD78" s="26" t="s">
        <v>123</v>
      </c>
      <c r="BE78" s="26" t="s">
        <v>124</v>
      </c>
      <c r="BF78" s="26" t="s">
        <v>116</v>
      </c>
      <c r="BG78" s="26" t="s">
        <v>377</v>
      </c>
      <c r="BH78" s="26">
        <v>2</v>
      </c>
      <c r="BI78" s="26" t="s">
        <v>378</v>
      </c>
      <c r="BJ78" s="26" t="s">
        <v>123</v>
      </c>
      <c r="BK78" s="26" t="s">
        <v>124</v>
      </c>
      <c r="BL78" s="26" t="s">
        <v>116</v>
      </c>
      <c r="BM78" s="26" t="s">
        <v>379</v>
      </c>
      <c r="BN78" s="26">
        <v>3</v>
      </c>
      <c r="BO78" s="31" t="s">
        <v>719</v>
      </c>
      <c r="BP78" s="31" t="s">
        <v>410</v>
      </c>
      <c r="BQ78" s="31"/>
      <c r="BR78" s="31" t="s">
        <v>240</v>
      </c>
      <c r="BS78" s="31">
        <v>-2.1958394999999999E-2</v>
      </c>
      <c r="BT78" s="31">
        <v>2.4489796000000001E-2</v>
      </c>
      <c r="BU78" s="31">
        <v>7.0937985999999995E-2</v>
      </c>
      <c r="BV78" s="31" t="s">
        <v>393</v>
      </c>
      <c r="BW78" s="31">
        <v>7</v>
      </c>
      <c r="BX78" s="31"/>
      <c r="BY78" s="31"/>
      <c r="BZ78" s="31"/>
      <c r="CA78" s="31"/>
      <c r="CB78" s="31"/>
      <c r="CC78" s="31" t="s">
        <v>381</v>
      </c>
      <c r="CD78" s="31"/>
      <c r="CE78" s="31">
        <v>4.6448191E-2</v>
      </c>
    </row>
    <row r="79" spans="1:83" ht="87">
      <c r="A79" s="33">
        <v>14</v>
      </c>
      <c r="B79" s="26" t="s">
        <v>365</v>
      </c>
      <c r="C79" s="26">
        <v>2017</v>
      </c>
      <c r="D79" s="26" t="s">
        <v>366</v>
      </c>
      <c r="E79" s="30">
        <v>44714</v>
      </c>
      <c r="F79" s="31" t="s">
        <v>90</v>
      </c>
      <c r="G79" s="31" t="s">
        <v>360</v>
      </c>
      <c r="H79" s="31"/>
      <c r="I79" s="31" t="s">
        <v>368</v>
      </c>
      <c r="J79" s="26" t="s">
        <v>369</v>
      </c>
      <c r="K79" s="26" t="s">
        <v>97</v>
      </c>
      <c r="L79" s="26" t="s">
        <v>137</v>
      </c>
      <c r="M79" s="26" t="s">
        <v>95</v>
      </c>
      <c r="N79" s="26" t="s">
        <v>370</v>
      </c>
      <c r="O79" s="26" t="s">
        <v>97</v>
      </c>
      <c r="P79" s="26" t="s">
        <v>97</v>
      </c>
      <c r="S79" s="26" t="s">
        <v>90</v>
      </c>
      <c r="T79" s="26" t="s">
        <v>191</v>
      </c>
      <c r="U79" s="26" t="s">
        <v>99</v>
      </c>
      <c r="W79" s="26">
        <v>2</v>
      </c>
      <c r="X79" s="26">
        <v>1</v>
      </c>
      <c r="Y79" s="26" t="s">
        <v>371</v>
      </c>
      <c r="AA79" s="26" t="s">
        <v>319</v>
      </c>
      <c r="AB79" s="26" t="s">
        <v>105</v>
      </c>
      <c r="AC79" s="26" t="s">
        <v>372</v>
      </c>
      <c r="AD79" s="26" t="s">
        <v>373</v>
      </c>
      <c r="AE79" s="26" t="s">
        <v>197</v>
      </c>
      <c r="AF79" s="26">
        <v>4</v>
      </c>
      <c r="AG79" s="26" t="s">
        <v>90</v>
      </c>
      <c r="AH79" s="26" t="s">
        <v>374</v>
      </c>
      <c r="AI79" s="26" t="s">
        <v>150</v>
      </c>
      <c r="AJ79" s="26">
        <v>2</v>
      </c>
      <c r="AK79" s="26" t="s">
        <v>151</v>
      </c>
      <c r="AL79" s="26" t="s">
        <v>97</v>
      </c>
      <c r="AM79" s="26" t="s">
        <v>97</v>
      </c>
      <c r="AN79" s="26" t="s">
        <v>152</v>
      </c>
      <c r="AO79" s="26">
        <v>2</v>
      </c>
      <c r="AP79" s="26" t="s">
        <v>155</v>
      </c>
      <c r="AQ79" s="26" t="s">
        <v>119</v>
      </c>
      <c r="AR79" s="26" t="s">
        <v>114</v>
      </c>
      <c r="AS79" s="26" t="s">
        <v>120</v>
      </c>
      <c r="AT79" s="26" t="s">
        <v>116</v>
      </c>
      <c r="AU79" s="26" t="s">
        <v>375</v>
      </c>
      <c r="AV79" s="26">
        <v>2</v>
      </c>
      <c r="AW79" s="26" t="s">
        <v>184</v>
      </c>
      <c r="AX79" s="26" t="s">
        <v>113</v>
      </c>
      <c r="AY79" s="26" t="s">
        <v>115</v>
      </c>
      <c r="AZ79" s="26" t="s">
        <v>116</v>
      </c>
      <c r="BA79" s="26" t="s">
        <v>376</v>
      </c>
      <c r="BB79" s="26">
        <v>3</v>
      </c>
      <c r="BC79" s="26" t="s">
        <v>184</v>
      </c>
      <c r="BD79" s="26" t="s">
        <v>123</v>
      </c>
      <c r="BE79" s="26" t="s">
        <v>124</v>
      </c>
      <c r="BF79" s="26" t="s">
        <v>116</v>
      </c>
      <c r="BG79" s="26" t="s">
        <v>377</v>
      </c>
      <c r="BH79" s="26">
        <v>2</v>
      </c>
      <c r="BI79" s="26" t="s">
        <v>378</v>
      </c>
      <c r="BJ79" s="26" t="s">
        <v>123</v>
      </c>
      <c r="BK79" s="26" t="s">
        <v>124</v>
      </c>
      <c r="BL79" s="26" t="s">
        <v>116</v>
      </c>
      <c r="BM79" s="26" t="s">
        <v>379</v>
      </c>
      <c r="BN79" s="26">
        <v>3</v>
      </c>
      <c r="BO79" s="31" t="s">
        <v>719</v>
      </c>
      <c r="BP79" s="31" t="s">
        <v>415</v>
      </c>
      <c r="BQ79" s="31"/>
      <c r="BR79" s="31" t="s">
        <v>240</v>
      </c>
      <c r="BS79" s="31">
        <v>-5.9173369999999999E-3</v>
      </c>
      <c r="BT79" s="31">
        <v>1.4285714E-2</v>
      </c>
      <c r="BU79" s="31">
        <v>3.4488764999999998E-2</v>
      </c>
      <c r="BV79" s="31" t="s">
        <v>393</v>
      </c>
      <c r="BW79" s="31">
        <v>7</v>
      </c>
      <c r="BX79" s="31"/>
      <c r="BY79" s="31"/>
      <c r="BZ79" s="31"/>
      <c r="CA79" s="31"/>
      <c r="CB79" s="31"/>
      <c r="CC79" s="31" t="s">
        <v>381</v>
      </c>
      <c r="CD79" s="31"/>
      <c r="CE79" s="31">
        <v>2.0203051E-2</v>
      </c>
    </row>
    <row r="80" spans="1:83" ht="87">
      <c r="A80" s="33">
        <v>14</v>
      </c>
      <c r="B80" s="26" t="s">
        <v>365</v>
      </c>
      <c r="C80" s="26">
        <v>2017</v>
      </c>
      <c r="D80" s="26" t="s">
        <v>366</v>
      </c>
      <c r="E80" s="30">
        <v>44714</v>
      </c>
      <c r="F80" s="31" t="s">
        <v>90</v>
      </c>
      <c r="G80" s="31" t="s">
        <v>360</v>
      </c>
      <c r="H80" s="31"/>
      <c r="I80" s="31" t="s">
        <v>368</v>
      </c>
      <c r="J80" s="26" t="s">
        <v>369</v>
      </c>
      <c r="K80" s="26" t="s">
        <v>97</v>
      </c>
      <c r="L80" s="26" t="s">
        <v>137</v>
      </c>
      <c r="M80" s="26" t="s">
        <v>95</v>
      </c>
      <c r="N80" s="26" t="s">
        <v>370</v>
      </c>
      <c r="O80" s="26" t="s">
        <v>97</v>
      </c>
      <c r="P80" s="26" t="s">
        <v>97</v>
      </c>
      <c r="S80" s="26" t="s">
        <v>90</v>
      </c>
      <c r="T80" s="26" t="s">
        <v>191</v>
      </c>
      <c r="U80" s="26" t="s">
        <v>99</v>
      </c>
      <c r="W80" s="26">
        <v>2</v>
      </c>
      <c r="X80" s="26">
        <v>1</v>
      </c>
      <c r="Y80" s="26" t="s">
        <v>371</v>
      </c>
      <c r="AA80" s="26" t="s">
        <v>319</v>
      </c>
      <c r="AB80" s="26" t="s">
        <v>105</v>
      </c>
      <c r="AC80" s="26" t="s">
        <v>372</v>
      </c>
      <c r="AD80" s="26" t="s">
        <v>373</v>
      </c>
      <c r="AE80" s="26" t="s">
        <v>197</v>
      </c>
      <c r="AF80" s="26">
        <v>4</v>
      </c>
      <c r="AG80" s="26" t="s">
        <v>90</v>
      </c>
      <c r="AH80" s="26" t="s">
        <v>374</v>
      </c>
      <c r="AI80" s="26" t="s">
        <v>150</v>
      </c>
      <c r="AJ80" s="26">
        <v>2</v>
      </c>
      <c r="AK80" s="26" t="s">
        <v>151</v>
      </c>
      <c r="AL80" s="26" t="s">
        <v>97</v>
      </c>
      <c r="AM80" s="26" t="s">
        <v>97</v>
      </c>
      <c r="AN80" s="26" t="s">
        <v>152</v>
      </c>
      <c r="AO80" s="26">
        <v>2</v>
      </c>
      <c r="AP80" s="26" t="s">
        <v>155</v>
      </c>
      <c r="AQ80" s="26" t="s">
        <v>119</v>
      </c>
      <c r="AR80" s="26" t="s">
        <v>114</v>
      </c>
      <c r="AS80" s="26" t="s">
        <v>120</v>
      </c>
      <c r="AT80" s="26" t="s">
        <v>116</v>
      </c>
      <c r="AU80" s="26" t="s">
        <v>375</v>
      </c>
      <c r="AV80" s="26">
        <v>2</v>
      </c>
      <c r="AW80" s="26" t="s">
        <v>184</v>
      </c>
      <c r="AX80" s="26" t="s">
        <v>113</v>
      </c>
      <c r="AY80" s="26" t="s">
        <v>115</v>
      </c>
      <c r="AZ80" s="26" t="s">
        <v>116</v>
      </c>
      <c r="BA80" s="26" t="s">
        <v>376</v>
      </c>
      <c r="BB80" s="26">
        <v>3</v>
      </c>
      <c r="BC80" s="26" t="s">
        <v>184</v>
      </c>
      <c r="BD80" s="26" t="s">
        <v>123</v>
      </c>
      <c r="BE80" s="26" t="s">
        <v>124</v>
      </c>
      <c r="BF80" s="26" t="s">
        <v>116</v>
      </c>
      <c r="BG80" s="26" t="s">
        <v>377</v>
      </c>
      <c r="BH80" s="26">
        <v>2</v>
      </c>
      <c r="BI80" s="26" t="s">
        <v>378</v>
      </c>
      <c r="BJ80" s="26" t="s">
        <v>123</v>
      </c>
      <c r="BK80" s="26" t="s">
        <v>124</v>
      </c>
      <c r="BL80" s="26" t="s">
        <v>116</v>
      </c>
      <c r="BM80" s="26" t="s">
        <v>379</v>
      </c>
      <c r="BN80" s="26">
        <v>3</v>
      </c>
      <c r="BO80" s="31" t="s">
        <v>719</v>
      </c>
      <c r="BP80" s="31" t="s">
        <v>413</v>
      </c>
      <c r="BQ80" s="31"/>
      <c r="BR80" s="31" t="s">
        <v>240</v>
      </c>
      <c r="BS80" s="31">
        <v>-1.7924270000000001E-3</v>
      </c>
      <c r="BT80" s="31">
        <v>3.2142856999999997E-2</v>
      </c>
      <c r="BU80" s="31">
        <v>6.6078141000000007E-2</v>
      </c>
      <c r="BV80" s="31" t="s">
        <v>393</v>
      </c>
      <c r="BW80" s="31">
        <v>7</v>
      </c>
      <c r="BX80" s="31"/>
      <c r="BY80" s="31"/>
      <c r="BZ80" s="31"/>
      <c r="CA80" s="31"/>
      <c r="CB80" s="31"/>
      <c r="CC80" s="31" t="s">
        <v>381</v>
      </c>
      <c r="CD80" s="31"/>
      <c r="CE80" s="31">
        <v>3.3935284000000003E-2</v>
      </c>
    </row>
    <row r="81" spans="1:83" ht="87">
      <c r="A81" s="33">
        <v>14</v>
      </c>
      <c r="B81" s="26" t="s">
        <v>365</v>
      </c>
      <c r="C81" s="26">
        <v>2017</v>
      </c>
      <c r="D81" s="26" t="s">
        <v>366</v>
      </c>
      <c r="E81" s="30">
        <v>44714</v>
      </c>
      <c r="F81" s="31" t="s">
        <v>90</v>
      </c>
      <c r="G81" s="31" t="s">
        <v>360</v>
      </c>
      <c r="H81" s="31"/>
      <c r="I81" s="31" t="s">
        <v>368</v>
      </c>
      <c r="J81" s="26" t="s">
        <v>369</v>
      </c>
      <c r="K81" s="26" t="s">
        <v>97</v>
      </c>
      <c r="L81" s="26" t="s">
        <v>137</v>
      </c>
      <c r="M81" s="26" t="s">
        <v>95</v>
      </c>
      <c r="N81" s="26" t="s">
        <v>370</v>
      </c>
      <c r="O81" s="26" t="s">
        <v>97</v>
      </c>
      <c r="P81" s="26" t="s">
        <v>97</v>
      </c>
      <c r="S81" s="26" t="s">
        <v>90</v>
      </c>
      <c r="T81" s="26" t="s">
        <v>191</v>
      </c>
      <c r="U81" s="26" t="s">
        <v>99</v>
      </c>
      <c r="W81" s="26">
        <v>2</v>
      </c>
      <c r="X81" s="26">
        <v>1</v>
      </c>
      <c r="Y81" s="26" t="s">
        <v>371</v>
      </c>
      <c r="AA81" s="26" t="s">
        <v>319</v>
      </c>
      <c r="AB81" s="26" t="s">
        <v>105</v>
      </c>
      <c r="AC81" s="26" t="s">
        <v>372</v>
      </c>
      <c r="AD81" s="26" t="s">
        <v>373</v>
      </c>
      <c r="AE81" s="26" t="s">
        <v>197</v>
      </c>
      <c r="AF81" s="26">
        <v>4</v>
      </c>
      <c r="AG81" s="26" t="s">
        <v>90</v>
      </c>
      <c r="AH81" s="26" t="s">
        <v>374</v>
      </c>
      <c r="AI81" s="26" t="s">
        <v>150</v>
      </c>
      <c r="AJ81" s="26">
        <v>2</v>
      </c>
      <c r="AK81" s="26" t="s">
        <v>151</v>
      </c>
      <c r="AL81" s="26" t="s">
        <v>97</v>
      </c>
      <c r="AM81" s="26" t="s">
        <v>97</v>
      </c>
      <c r="AN81" s="26" t="s">
        <v>152</v>
      </c>
      <c r="AO81" s="26">
        <v>2</v>
      </c>
      <c r="AP81" s="26" t="s">
        <v>155</v>
      </c>
      <c r="AQ81" s="26" t="s">
        <v>119</v>
      </c>
      <c r="AR81" s="26" t="s">
        <v>114</v>
      </c>
      <c r="AS81" s="26" t="s">
        <v>120</v>
      </c>
      <c r="AT81" s="26" t="s">
        <v>116</v>
      </c>
      <c r="AU81" s="26" t="s">
        <v>375</v>
      </c>
      <c r="AV81" s="26">
        <v>2</v>
      </c>
      <c r="AW81" s="26" t="s">
        <v>184</v>
      </c>
      <c r="AX81" s="26" t="s">
        <v>113</v>
      </c>
      <c r="AY81" s="26" t="s">
        <v>115</v>
      </c>
      <c r="AZ81" s="26" t="s">
        <v>116</v>
      </c>
      <c r="BA81" s="26" t="s">
        <v>376</v>
      </c>
      <c r="BB81" s="26">
        <v>3</v>
      </c>
      <c r="BC81" s="26" t="s">
        <v>184</v>
      </c>
      <c r="BD81" s="26" t="s">
        <v>123</v>
      </c>
      <c r="BE81" s="26" t="s">
        <v>124</v>
      </c>
      <c r="BF81" s="26" t="s">
        <v>116</v>
      </c>
      <c r="BG81" s="26" t="s">
        <v>377</v>
      </c>
      <c r="BH81" s="26">
        <v>2</v>
      </c>
      <c r="BI81" s="26" t="s">
        <v>378</v>
      </c>
      <c r="BJ81" s="26" t="s">
        <v>123</v>
      </c>
      <c r="BK81" s="26" t="s">
        <v>124</v>
      </c>
      <c r="BL81" s="26" t="s">
        <v>116</v>
      </c>
      <c r="BM81" s="26" t="s">
        <v>379</v>
      </c>
      <c r="BN81" s="26">
        <v>3</v>
      </c>
      <c r="BO81" s="31" t="s">
        <v>719</v>
      </c>
      <c r="BP81" s="31" t="s">
        <v>416</v>
      </c>
      <c r="BQ81" s="31"/>
      <c r="BR81" s="31" t="s">
        <v>240</v>
      </c>
      <c r="BS81" s="31">
        <v>0</v>
      </c>
      <c r="BT81" s="31">
        <v>0</v>
      </c>
      <c r="BU81" s="31">
        <v>0</v>
      </c>
      <c r="BV81" s="31" t="s">
        <v>393</v>
      </c>
      <c r="BW81" s="31">
        <v>7</v>
      </c>
      <c r="BX81" s="31"/>
      <c r="BY81" s="31"/>
      <c r="BZ81" s="31"/>
      <c r="CA81" s="31"/>
      <c r="CB81" s="31"/>
      <c r="CC81" s="31" t="s">
        <v>381</v>
      </c>
      <c r="CD81" s="31"/>
      <c r="CE81" s="31">
        <v>0</v>
      </c>
    </row>
    <row r="82" spans="1:83" ht="87">
      <c r="A82" s="33">
        <v>14</v>
      </c>
      <c r="B82" s="26" t="s">
        <v>365</v>
      </c>
      <c r="C82" s="26">
        <v>2017</v>
      </c>
      <c r="D82" s="26" t="s">
        <v>366</v>
      </c>
      <c r="E82" s="30">
        <v>44714</v>
      </c>
      <c r="F82" s="31" t="s">
        <v>90</v>
      </c>
      <c r="G82" s="31" t="s">
        <v>360</v>
      </c>
      <c r="H82" s="31"/>
      <c r="I82" s="31" t="s">
        <v>368</v>
      </c>
      <c r="J82" s="26" t="s">
        <v>369</v>
      </c>
      <c r="K82" s="26" t="s">
        <v>97</v>
      </c>
      <c r="L82" s="26" t="s">
        <v>137</v>
      </c>
      <c r="M82" s="26" t="s">
        <v>95</v>
      </c>
      <c r="N82" s="26" t="s">
        <v>370</v>
      </c>
      <c r="O82" s="26" t="s">
        <v>97</v>
      </c>
      <c r="P82" s="26" t="s">
        <v>97</v>
      </c>
      <c r="S82" s="26" t="s">
        <v>90</v>
      </c>
      <c r="T82" s="26" t="s">
        <v>191</v>
      </c>
      <c r="U82" s="26" t="s">
        <v>99</v>
      </c>
      <c r="W82" s="26">
        <v>2</v>
      </c>
      <c r="X82" s="26">
        <v>1</v>
      </c>
      <c r="Y82" s="26" t="s">
        <v>371</v>
      </c>
      <c r="AA82" s="26" t="s">
        <v>319</v>
      </c>
      <c r="AB82" s="26" t="s">
        <v>105</v>
      </c>
      <c r="AC82" s="26" t="s">
        <v>372</v>
      </c>
      <c r="AD82" s="26" t="s">
        <v>373</v>
      </c>
      <c r="AE82" s="26" t="s">
        <v>197</v>
      </c>
      <c r="AF82" s="26">
        <v>4</v>
      </c>
      <c r="AG82" s="26" t="s">
        <v>90</v>
      </c>
      <c r="AH82" s="26" t="s">
        <v>374</v>
      </c>
      <c r="AI82" s="26" t="s">
        <v>150</v>
      </c>
      <c r="AJ82" s="26">
        <v>2</v>
      </c>
      <c r="AK82" s="26" t="s">
        <v>151</v>
      </c>
      <c r="AL82" s="26" t="s">
        <v>97</v>
      </c>
      <c r="AM82" s="26" t="s">
        <v>97</v>
      </c>
      <c r="AN82" s="26" t="s">
        <v>152</v>
      </c>
      <c r="AO82" s="26">
        <v>2</v>
      </c>
      <c r="AP82" s="26" t="s">
        <v>155</v>
      </c>
      <c r="AQ82" s="26" t="s">
        <v>119</v>
      </c>
      <c r="AR82" s="26" t="s">
        <v>114</v>
      </c>
      <c r="AS82" s="26" t="s">
        <v>120</v>
      </c>
      <c r="AT82" s="26" t="s">
        <v>116</v>
      </c>
      <c r="AU82" s="26" t="s">
        <v>375</v>
      </c>
      <c r="AV82" s="26">
        <v>2</v>
      </c>
      <c r="AW82" s="26" t="s">
        <v>184</v>
      </c>
      <c r="AX82" s="26" t="s">
        <v>113</v>
      </c>
      <c r="AY82" s="26" t="s">
        <v>115</v>
      </c>
      <c r="AZ82" s="26" t="s">
        <v>116</v>
      </c>
      <c r="BA82" s="26" t="s">
        <v>376</v>
      </c>
      <c r="BB82" s="26">
        <v>3</v>
      </c>
      <c r="BC82" s="26" t="s">
        <v>184</v>
      </c>
      <c r="BD82" s="26" t="s">
        <v>123</v>
      </c>
      <c r="BE82" s="26" t="s">
        <v>124</v>
      </c>
      <c r="BF82" s="26" t="s">
        <v>116</v>
      </c>
      <c r="BG82" s="26" t="s">
        <v>377</v>
      </c>
      <c r="BH82" s="26">
        <v>2</v>
      </c>
      <c r="BI82" s="26" t="s">
        <v>378</v>
      </c>
      <c r="BJ82" s="26" t="s">
        <v>123</v>
      </c>
      <c r="BK82" s="26" t="s">
        <v>124</v>
      </c>
      <c r="BL82" s="26" t="s">
        <v>116</v>
      </c>
      <c r="BM82" s="26" t="s">
        <v>379</v>
      </c>
      <c r="BN82" s="26">
        <v>3</v>
      </c>
      <c r="BO82" s="31" t="s">
        <v>719</v>
      </c>
      <c r="BP82" s="31" t="s">
        <v>411</v>
      </c>
      <c r="BQ82" s="31"/>
      <c r="BR82" s="31" t="s">
        <v>240</v>
      </c>
      <c r="BS82" s="31">
        <v>-1.3069346000000001E-2</v>
      </c>
      <c r="BT82" s="31">
        <v>1.4285714E-2</v>
      </c>
      <c r="BU82" s="31">
        <v>4.1640774999999998E-2</v>
      </c>
      <c r="BV82" s="31" t="s">
        <v>393</v>
      </c>
      <c r="BW82" s="31">
        <v>7</v>
      </c>
      <c r="BX82" s="31"/>
      <c r="BY82" s="31"/>
      <c r="BZ82" s="31"/>
      <c r="CA82" s="31"/>
      <c r="CB82" s="31"/>
      <c r="CC82" s="31" t="s">
        <v>381</v>
      </c>
      <c r="CD82" s="31"/>
      <c r="CE82" s="31">
        <v>2.735506E-2</v>
      </c>
    </row>
    <row r="83" spans="1:83" ht="87">
      <c r="A83" s="33">
        <v>14</v>
      </c>
      <c r="B83" s="26" t="s">
        <v>365</v>
      </c>
      <c r="C83" s="26">
        <v>2017</v>
      </c>
      <c r="D83" s="26" t="s">
        <v>366</v>
      </c>
      <c r="E83" s="30">
        <v>44714</v>
      </c>
      <c r="F83" s="31" t="s">
        <v>90</v>
      </c>
      <c r="G83" s="31" t="s">
        <v>360</v>
      </c>
      <c r="H83" s="31"/>
      <c r="I83" s="31" t="s">
        <v>368</v>
      </c>
      <c r="J83" s="26" t="s">
        <v>369</v>
      </c>
      <c r="K83" s="26" t="s">
        <v>97</v>
      </c>
      <c r="L83" s="26" t="s">
        <v>137</v>
      </c>
      <c r="M83" s="26" t="s">
        <v>95</v>
      </c>
      <c r="N83" s="26" t="s">
        <v>370</v>
      </c>
      <c r="O83" s="26" t="s">
        <v>97</v>
      </c>
      <c r="P83" s="26" t="s">
        <v>97</v>
      </c>
      <c r="S83" s="26" t="s">
        <v>90</v>
      </c>
      <c r="T83" s="26" t="s">
        <v>191</v>
      </c>
      <c r="U83" s="26" t="s">
        <v>99</v>
      </c>
      <c r="W83" s="26">
        <v>2</v>
      </c>
      <c r="X83" s="26">
        <v>1</v>
      </c>
      <c r="Y83" s="26" t="s">
        <v>371</v>
      </c>
      <c r="AA83" s="26" t="s">
        <v>319</v>
      </c>
      <c r="AB83" s="26" t="s">
        <v>105</v>
      </c>
      <c r="AC83" s="26" t="s">
        <v>372</v>
      </c>
      <c r="AD83" s="26" t="s">
        <v>373</v>
      </c>
      <c r="AE83" s="26" t="s">
        <v>197</v>
      </c>
      <c r="AF83" s="26">
        <v>4</v>
      </c>
      <c r="AG83" s="26" t="s">
        <v>90</v>
      </c>
      <c r="AH83" s="26" t="s">
        <v>374</v>
      </c>
      <c r="AI83" s="26" t="s">
        <v>150</v>
      </c>
      <c r="AJ83" s="26">
        <v>2</v>
      </c>
      <c r="AK83" s="26" t="s">
        <v>151</v>
      </c>
      <c r="AL83" s="26" t="s">
        <v>97</v>
      </c>
      <c r="AM83" s="26" t="s">
        <v>97</v>
      </c>
      <c r="AN83" s="26" t="s">
        <v>152</v>
      </c>
      <c r="AO83" s="26">
        <v>2</v>
      </c>
      <c r="AP83" s="26" t="s">
        <v>155</v>
      </c>
      <c r="AQ83" s="26" t="s">
        <v>119</v>
      </c>
      <c r="AR83" s="26" t="s">
        <v>114</v>
      </c>
      <c r="AS83" s="26" t="s">
        <v>120</v>
      </c>
      <c r="AT83" s="26" t="s">
        <v>116</v>
      </c>
      <c r="AU83" s="26" t="s">
        <v>375</v>
      </c>
      <c r="AV83" s="26">
        <v>2</v>
      </c>
      <c r="AW83" s="26" t="s">
        <v>184</v>
      </c>
      <c r="AX83" s="26" t="s">
        <v>113</v>
      </c>
      <c r="AY83" s="26" t="s">
        <v>115</v>
      </c>
      <c r="AZ83" s="26" t="s">
        <v>116</v>
      </c>
      <c r="BA83" s="26" t="s">
        <v>376</v>
      </c>
      <c r="BB83" s="26">
        <v>3</v>
      </c>
      <c r="BC83" s="26" t="s">
        <v>184</v>
      </c>
      <c r="BD83" s="26" t="s">
        <v>123</v>
      </c>
      <c r="BE83" s="26" t="s">
        <v>124</v>
      </c>
      <c r="BF83" s="26" t="s">
        <v>116</v>
      </c>
      <c r="BG83" s="26" t="s">
        <v>377</v>
      </c>
      <c r="BH83" s="26">
        <v>2</v>
      </c>
      <c r="BI83" s="26" t="s">
        <v>378</v>
      </c>
      <c r="BJ83" s="26" t="s">
        <v>123</v>
      </c>
      <c r="BK83" s="26" t="s">
        <v>124</v>
      </c>
      <c r="BL83" s="26" t="s">
        <v>116</v>
      </c>
      <c r="BM83" s="26" t="s">
        <v>379</v>
      </c>
      <c r="BN83" s="26">
        <v>3</v>
      </c>
      <c r="BO83" s="31" t="s">
        <v>719</v>
      </c>
      <c r="BP83" s="31" t="s">
        <v>417</v>
      </c>
      <c r="BQ83" s="31"/>
      <c r="BR83" s="31" t="s">
        <v>240</v>
      </c>
      <c r="BS83" s="31">
        <v>-3.0889680000000001E-3</v>
      </c>
      <c r="BT83" s="31">
        <v>1.428571E-3</v>
      </c>
      <c r="BU83" s="31">
        <v>5.9461109999999996E-3</v>
      </c>
      <c r="BV83" s="31" t="s">
        <v>393</v>
      </c>
      <c r="BW83" s="31">
        <v>7</v>
      </c>
      <c r="BX83" s="31"/>
      <c r="BY83" s="31"/>
      <c r="BZ83" s="31"/>
      <c r="CA83" s="31"/>
      <c r="CB83" s="31"/>
      <c r="CC83" s="31" t="s">
        <v>381</v>
      </c>
      <c r="CD83" s="31"/>
      <c r="CE83" s="31">
        <v>4.5175399999999996E-3</v>
      </c>
    </row>
    <row r="84" spans="1:83" ht="87">
      <c r="A84" s="33">
        <v>14</v>
      </c>
      <c r="B84" s="26" t="s">
        <v>365</v>
      </c>
      <c r="C84" s="26">
        <v>2017</v>
      </c>
      <c r="D84" s="26" t="s">
        <v>366</v>
      </c>
      <c r="E84" s="30">
        <v>44714</v>
      </c>
      <c r="F84" s="31" t="s">
        <v>90</v>
      </c>
      <c r="G84" s="31" t="s">
        <v>360</v>
      </c>
      <c r="H84" s="31"/>
      <c r="I84" s="31" t="s">
        <v>368</v>
      </c>
      <c r="J84" s="26" t="s">
        <v>369</v>
      </c>
      <c r="K84" s="26" t="s">
        <v>97</v>
      </c>
      <c r="L84" s="26" t="s">
        <v>137</v>
      </c>
      <c r="M84" s="26" t="s">
        <v>95</v>
      </c>
      <c r="N84" s="26" t="s">
        <v>370</v>
      </c>
      <c r="O84" s="26" t="s">
        <v>97</v>
      </c>
      <c r="P84" s="26" t="s">
        <v>97</v>
      </c>
      <c r="S84" s="26" t="s">
        <v>90</v>
      </c>
      <c r="T84" s="26" t="s">
        <v>191</v>
      </c>
      <c r="U84" s="26" t="s">
        <v>99</v>
      </c>
      <c r="W84" s="26">
        <v>2</v>
      </c>
      <c r="X84" s="26">
        <v>1</v>
      </c>
      <c r="Y84" s="26" t="s">
        <v>371</v>
      </c>
      <c r="AA84" s="26" t="s">
        <v>319</v>
      </c>
      <c r="AB84" s="26" t="s">
        <v>105</v>
      </c>
      <c r="AC84" s="26" t="s">
        <v>372</v>
      </c>
      <c r="AD84" s="26" t="s">
        <v>373</v>
      </c>
      <c r="AE84" s="26" t="s">
        <v>197</v>
      </c>
      <c r="AF84" s="26">
        <v>4</v>
      </c>
      <c r="AG84" s="26" t="s">
        <v>90</v>
      </c>
      <c r="AH84" s="26" t="s">
        <v>374</v>
      </c>
      <c r="AI84" s="26" t="s">
        <v>150</v>
      </c>
      <c r="AJ84" s="26">
        <v>2</v>
      </c>
      <c r="AK84" s="26" t="s">
        <v>151</v>
      </c>
      <c r="AL84" s="26" t="s">
        <v>97</v>
      </c>
      <c r="AM84" s="26" t="s">
        <v>97</v>
      </c>
      <c r="AN84" s="26" t="s">
        <v>152</v>
      </c>
      <c r="AO84" s="26">
        <v>2</v>
      </c>
      <c r="AP84" s="26" t="s">
        <v>155</v>
      </c>
      <c r="AQ84" s="26" t="s">
        <v>119</v>
      </c>
      <c r="AR84" s="26" t="s">
        <v>114</v>
      </c>
      <c r="AS84" s="26" t="s">
        <v>120</v>
      </c>
      <c r="AT84" s="26" t="s">
        <v>116</v>
      </c>
      <c r="AU84" s="26" t="s">
        <v>375</v>
      </c>
      <c r="AV84" s="26">
        <v>2</v>
      </c>
      <c r="AW84" s="26" t="s">
        <v>184</v>
      </c>
      <c r="AX84" s="26" t="s">
        <v>113</v>
      </c>
      <c r="AY84" s="26" t="s">
        <v>115</v>
      </c>
      <c r="AZ84" s="26" t="s">
        <v>116</v>
      </c>
      <c r="BA84" s="26" t="s">
        <v>376</v>
      </c>
      <c r="BB84" s="26">
        <v>3</v>
      </c>
      <c r="BC84" s="26" t="s">
        <v>184</v>
      </c>
      <c r="BD84" s="26" t="s">
        <v>123</v>
      </c>
      <c r="BE84" s="26" t="s">
        <v>124</v>
      </c>
      <c r="BF84" s="26" t="s">
        <v>116</v>
      </c>
      <c r="BG84" s="26" t="s">
        <v>377</v>
      </c>
      <c r="BH84" s="26">
        <v>2</v>
      </c>
      <c r="BI84" s="26" t="s">
        <v>378</v>
      </c>
      <c r="BJ84" s="26" t="s">
        <v>123</v>
      </c>
      <c r="BK84" s="26" t="s">
        <v>124</v>
      </c>
      <c r="BL84" s="26" t="s">
        <v>116</v>
      </c>
      <c r="BM84" s="26" t="s">
        <v>379</v>
      </c>
      <c r="BN84" s="26">
        <v>3</v>
      </c>
      <c r="BO84" s="31" t="s">
        <v>719</v>
      </c>
      <c r="BP84" s="31" t="s">
        <v>414</v>
      </c>
      <c r="BQ84" s="31"/>
      <c r="BR84" s="31" t="s">
        <v>240</v>
      </c>
      <c r="BS84" s="31">
        <v>-6.7403619999999997E-3</v>
      </c>
      <c r="BT84" s="31">
        <v>7.1428569999999999E-3</v>
      </c>
      <c r="BU84" s="31">
        <v>2.1026076000000001E-2</v>
      </c>
      <c r="BV84" s="31" t="s">
        <v>393</v>
      </c>
      <c r="BW84" s="31">
        <v>7</v>
      </c>
      <c r="BX84" s="31"/>
      <c r="BY84" s="31"/>
      <c r="BZ84" s="31"/>
      <c r="CA84" s="31"/>
      <c r="CB84" s="31"/>
      <c r="CC84" s="31" t="s">
        <v>381</v>
      </c>
      <c r="CD84" s="31"/>
      <c r="CE84" s="31">
        <v>1.3883219E-2</v>
      </c>
    </row>
    <row r="85" spans="1:83" ht="87">
      <c r="A85" s="33">
        <v>14</v>
      </c>
      <c r="B85" s="26" t="s">
        <v>365</v>
      </c>
      <c r="C85" s="26">
        <v>2017</v>
      </c>
      <c r="D85" s="26" t="s">
        <v>366</v>
      </c>
      <c r="E85" s="30">
        <v>44714</v>
      </c>
      <c r="F85" s="31" t="s">
        <v>90</v>
      </c>
      <c r="G85" s="31" t="s">
        <v>360</v>
      </c>
      <c r="H85" s="31"/>
      <c r="I85" s="31" t="s">
        <v>368</v>
      </c>
      <c r="J85" s="26" t="s">
        <v>369</v>
      </c>
      <c r="K85" s="26" t="s">
        <v>97</v>
      </c>
      <c r="L85" s="26" t="s">
        <v>137</v>
      </c>
      <c r="M85" s="26" t="s">
        <v>95</v>
      </c>
      <c r="N85" s="26" t="s">
        <v>370</v>
      </c>
      <c r="O85" s="26" t="s">
        <v>97</v>
      </c>
      <c r="P85" s="26" t="s">
        <v>97</v>
      </c>
      <c r="S85" s="26" t="s">
        <v>90</v>
      </c>
      <c r="T85" s="26" t="s">
        <v>191</v>
      </c>
      <c r="U85" s="26" t="s">
        <v>99</v>
      </c>
      <c r="W85" s="26">
        <v>2</v>
      </c>
      <c r="X85" s="26">
        <v>1</v>
      </c>
      <c r="Y85" s="26" t="s">
        <v>371</v>
      </c>
      <c r="AA85" s="26" t="s">
        <v>319</v>
      </c>
      <c r="AB85" s="26" t="s">
        <v>105</v>
      </c>
      <c r="AC85" s="26" t="s">
        <v>372</v>
      </c>
      <c r="AD85" s="26" t="s">
        <v>373</v>
      </c>
      <c r="AE85" s="26" t="s">
        <v>197</v>
      </c>
      <c r="AF85" s="26">
        <v>4</v>
      </c>
      <c r="AG85" s="26" t="s">
        <v>90</v>
      </c>
      <c r="AH85" s="26" t="s">
        <v>374</v>
      </c>
      <c r="AI85" s="26" t="s">
        <v>150</v>
      </c>
      <c r="AJ85" s="26">
        <v>2</v>
      </c>
      <c r="AK85" s="26" t="s">
        <v>151</v>
      </c>
      <c r="AL85" s="26" t="s">
        <v>97</v>
      </c>
      <c r="AM85" s="26" t="s">
        <v>97</v>
      </c>
      <c r="AN85" s="26" t="s">
        <v>152</v>
      </c>
      <c r="AO85" s="26">
        <v>2</v>
      </c>
      <c r="AP85" s="26" t="s">
        <v>155</v>
      </c>
      <c r="AQ85" s="26" t="s">
        <v>119</v>
      </c>
      <c r="AR85" s="26" t="s">
        <v>114</v>
      </c>
      <c r="AS85" s="26" t="s">
        <v>120</v>
      </c>
      <c r="AT85" s="26" t="s">
        <v>116</v>
      </c>
      <c r="AU85" s="26" t="s">
        <v>375</v>
      </c>
      <c r="AV85" s="26">
        <v>2</v>
      </c>
      <c r="AW85" s="26" t="s">
        <v>184</v>
      </c>
      <c r="AX85" s="26" t="s">
        <v>113</v>
      </c>
      <c r="AY85" s="26" t="s">
        <v>115</v>
      </c>
      <c r="AZ85" s="26" t="s">
        <v>116</v>
      </c>
      <c r="BA85" s="26" t="s">
        <v>376</v>
      </c>
      <c r="BB85" s="26">
        <v>3</v>
      </c>
      <c r="BC85" s="26" t="s">
        <v>184</v>
      </c>
      <c r="BD85" s="26" t="s">
        <v>123</v>
      </c>
      <c r="BE85" s="26" t="s">
        <v>124</v>
      </c>
      <c r="BF85" s="26" t="s">
        <v>116</v>
      </c>
      <c r="BG85" s="26" t="s">
        <v>377</v>
      </c>
      <c r="BH85" s="26">
        <v>2</v>
      </c>
      <c r="BI85" s="26" t="s">
        <v>378</v>
      </c>
      <c r="BJ85" s="26" t="s">
        <v>123</v>
      </c>
      <c r="BK85" s="26" t="s">
        <v>124</v>
      </c>
      <c r="BL85" s="26" t="s">
        <v>116</v>
      </c>
      <c r="BM85" s="26" t="s">
        <v>379</v>
      </c>
      <c r="BN85" s="26">
        <v>3</v>
      </c>
      <c r="BO85" s="31" t="s">
        <v>719</v>
      </c>
      <c r="BP85" s="31" t="s">
        <v>418</v>
      </c>
      <c r="BQ85" s="31"/>
      <c r="BR85" s="31" t="s">
        <v>240</v>
      </c>
      <c r="BS85" s="31">
        <v>-1.2941902999999999E-2</v>
      </c>
      <c r="BT85" s="31">
        <v>4.9350649000000003E-2</v>
      </c>
      <c r="BU85" s="31">
        <v>0.111643202</v>
      </c>
      <c r="BV85" s="31" t="s">
        <v>393</v>
      </c>
      <c r="BW85" s="31">
        <v>7</v>
      </c>
      <c r="BX85" s="31"/>
      <c r="BY85" s="31"/>
      <c r="BZ85" s="31"/>
      <c r="CA85" s="31"/>
      <c r="CB85" s="31"/>
      <c r="CC85" s="31" t="s">
        <v>381</v>
      </c>
      <c r="CD85" s="31"/>
      <c r="CE85" s="31">
        <v>6.2292552000000001E-2</v>
      </c>
    </row>
    <row r="86" spans="1:83" ht="87">
      <c r="A86" s="33">
        <v>14</v>
      </c>
      <c r="B86" s="26" t="s">
        <v>365</v>
      </c>
      <c r="C86" s="26">
        <v>2017</v>
      </c>
      <c r="D86" s="26" t="s">
        <v>366</v>
      </c>
      <c r="E86" s="30">
        <v>44714</v>
      </c>
      <c r="F86" s="31" t="s">
        <v>90</v>
      </c>
      <c r="G86" s="31" t="s">
        <v>360</v>
      </c>
      <c r="H86" s="31"/>
      <c r="I86" s="31" t="s">
        <v>368</v>
      </c>
      <c r="J86" s="26" t="s">
        <v>369</v>
      </c>
      <c r="K86" s="26" t="s">
        <v>97</v>
      </c>
      <c r="L86" s="26" t="s">
        <v>137</v>
      </c>
      <c r="M86" s="26" t="s">
        <v>95</v>
      </c>
      <c r="N86" s="26" t="s">
        <v>370</v>
      </c>
      <c r="O86" s="26" t="s">
        <v>97</v>
      </c>
      <c r="P86" s="26" t="s">
        <v>97</v>
      </c>
      <c r="S86" s="26" t="s">
        <v>90</v>
      </c>
      <c r="T86" s="26" t="s">
        <v>191</v>
      </c>
      <c r="U86" s="26" t="s">
        <v>99</v>
      </c>
      <c r="W86" s="26">
        <v>2</v>
      </c>
      <c r="X86" s="26">
        <v>1</v>
      </c>
      <c r="Y86" s="26" t="s">
        <v>371</v>
      </c>
      <c r="AA86" s="26" t="s">
        <v>319</v>
      </c>
      <c r="AB86" s="26" t="s">
        <v>105</v>
      </c>
      <c r="AC86" s="26" t="s">
        <v>372</v>
      </c>
      <c r="AD86" s="26" t="s">
        <v>373</v>
      </c>
      <c r="AE86" s="26" t="s">
        <v>197</v>
      </c>
      <c r="AF86" s="26">
        <v>4</v>
      </c>
      <c r="AG86" s="26" t="s">
        <v>90</v>
      </c>
      <c r="AH86" s="26" t="s">
        <v>374</v>
      </c>
      <c r="AI86" s="26" t="s">
        <v>150</v>
      </c>
      <c r="AJ86" s="26">
        <v>2</v>
      </c>
      <c r="AK86" s="26" t="s">
        <v>151</v>
      </c>
      <c r="AL86" s="26" t="s">
        <v>97</v>
      </c>
      <c r="AM86" s="26" t="s">
        <v>97</v>
      </c>
      <c r="AN86" s="26" t="s">
        <v>152</v>
      </c>
      <c r="AO86" s="26">
        <v>2</v>
      </c>
      <c r="AP86" s="26" t="s">
        <v>155</v>
      </c>
      <c r="AQ86" s="26" t="s">
        <v>119</v>
      </c>
      <c r="AR86" s="26" t="s">
        <v>114</v>
      </c>
      <c r="AS86" s="26" t="s">
        <v>120</v>
      </c>
      <c r="AT86" s="26" t="s">
        <v>116</v>
      </c>
      <c r="AU86" s="26" t="s">
        <v>375</v>
      </c>
      <c r="AV86" s="26">
        <v>2</v>
      </c>
      <c r="AW86" s="26" t="s">
        <v>184</v>
      </c>
      <c r="AX86" s="26" t="s">
        <v>113</v>
      </c>
      <c r="AY86" s="26" t="s">
        <v>115</v>
      </c>
      <c r="AZ86" s="26" t="s">
        <v>116</v>
      </c>
      <c r="BA86" s="26" t="s">
        <v>376</v>
      </c>
      <c r="BB86" s="26">
        <v>3</v>
      </c>
      <c r="BC86" s="26" t="s">
        <v>184</v>
      </c>
      <c r="BD86" s="26" t="s">
        <v>123</v>
      </c>
      <c r="BE86" s="26" t="s">
        <v>124</v>
      </c>
      <c r="BF86" s="26" t="s">
        <v>116</v>
      </c>
      <c r="BG86" s="26" t="s">
        <v>377</v>
      </c>
      <c r="BH86" s="26">
        <v>2</v>
      </c>
      <c r="BI86" s="26" t="s">
        <v>378</v>
      </c>
      <c r="BJ86" s="26" t="s">
        <v>123</v>
      </c>
      <c r="BK86" s="26" t="s">
        <v>124</v>
      </c>
      <c r="BL86" s="26" t="s">
        <v>116</v>
      </c>
      <c r="BM86" s="26" t="s">
        <v>379</v>
      </c>
      <c r="BN86" s="26">
        <v>3</v>
      </c>
      <c r="BO86" s="31" t="s">
        <v>719</v>
      </c>
      <c r="BP86" s="31" t="s">
        <v>421</v>
      </c>
      <c r="BQ86" s="31"/>
      <c r="BR86" s="31" t="s">
        <v>240</v>
      </c>
      <c r="BS86" s="31">
        <v>8.5858589999999995E-3</v>
      </c>
      <c r="BT86" s="31">
        <v>1.9191919000000002E-2</v>
      </c>
      <c r="BU86" s="31">
        <v>2.9797980000000002E-2</v>
      </c>
      <c r="BV86" s="31" t="s">
        <v>393</v>
      </c>
      <c r="BW86" s="31">
        <v>7</v>
      </c>
      <c r="BX86" s="31"/>
      <c r="BY86" s="31"/>
      <c r="BZ86" s="31"/>
      <c r="CA86" s="31"/>
      <c r="CB86" s="31"/>
      <c r="CC86" s="31" t="s">
        <v>381</v>
      </c>
      <c r="CD86" s="31"/>
      <c r="CE86" s="31">
        <v>1.0606061E-2</v>
      </c>
    </row>
    <row r="87" spans="1:83" ht="87">
      <c r="A87" s="33">
        <v>14</v>
      </c>
      <c r="B87" s="26" t="s">
        <v>365</v>
      </c>
      <c r="C87" s="26">
        <v>2017</v>
      </c>
      <c r="D87" s="26" t="s">
        <v>366</v>
      </c>
      <c r="E87" s="30">
        <v>44714</v>
      </c>
      <c r="F87" s="31" t="s">
        <v>90</v>
      </c>
      <c r="G87" s="31" t="s">
        <v>360</v>
      </c>
      <c r="H87" s="31"/>
      <c r="I87" s="31" t="s">
        <v>368</v>
      </c>
      <c r="J87" s="26" t="s">
        <v>369</v>
      </c>
      <c r="K87" s="26" t="s">
        <v>97</v>
      </c>
      <c r="L87" s="26" t="s">
        <v>137</v>
      </c>
      <c r="M87" s="26" t="s">
        <v>95</v>
      </c>
      <c r="N87" s="26" t="s">
        <v>370</v>
      </c>
      <c r="O87" s="26" t="s">
        <v>97</v>
      </c>
      <c r="P87" s="26" t="s">
        <v>97</v>
      </c>
      <c r="S87" s="26" t="s">
        <v>90</v>
      </c>
      <c r="T87" s="26" t="s">
        <v>191</v>
      </c>
      <c r="U87" s="26" t="s">
        <v>99</v>
      </c>
      <c r="W87" s="26">
        <v>2</v>
      </c>
      <c r="X87" s="26">
        <v>1</v>
      </c>
      <c r="Y87" s="26" t="s">
        <v>371</v>
      </c>
      <c r="AA87" s="26" t="s">
        <v>319</v>
      </c>
      <c r="AB87" s="26" t="s">
        <v>105</v>
      </c>
      <c r="AC87" s="26" t="s">
        <v>372</v>
      </c>
      <c r="AD87" s="26" t="s">
        <v>373</v>
      </c>
      <c r="AE87" s="26" t="s">
        <v>197</v>
      </c>
      <c r="AF87" s="26">
        <v>4</v>
      </c>
      <c r="AG87" s="26" t="s">
        <v>90</v>
      </c>
      <c r="AH87" s="26" t="s">
        <v>374</v>
      </c>
      <c r="AI87" s="26" t="s">
        <v>150</v>
      </c>
      <c r="AJ87" s="26">
        <v>2</v>
      </c>
      <c r="AK87" s="26" t="s">
        <v>151</v>
      </c>
      <c r="AL87" s="26" t="s">
        <v>97</v>
      </c>
      <c r="AM87" s="26" t="s">
        <v>97</v>
      </c>
      <c r="AN87" s="26" t="s">
        <v>152</v>
      </c>
      <c r="AO87" s="26">
        <v>2</v>
      </c>
      <c r="AP87" s="26" t="s">
        <v>155</v>
      </c>
      <c r="AQ87" s="26" t="s">
        <v>119</v>
      </c>
      <c r="AR87" s="26" t="s">
        <v>114</v>
      </c>
      <c r="AS87" s="26" t="s">
        <v>120</v>
      </c>
      <c r="AT87" s="26" t="s">
        <v>116</v>
      </c>
      <c r="AU87" s="26" t="s">
        <v>375</v>
      </c>
      <c r="AV87" s="26">
        <v>2</v>
      </c>
      <c r="AW87" s="26" t="s">
        <v>184</v>
      </c>
      <c r="AX87" s="26" t="s">
        <v>113</v>
      </c>
      <c r="AY87" s="26" t="s">
        <v>115</v>
      </c>
      <c r="AZ87" s="26" t="s">
        <v>116</v>
      </c>
      <c r="BA87" s="26" t="s">
        <v>376</v>
      </c>
      <c r="BB87" s="26">
        <v>3</v>
      </c>
      <c r="BC87" s="26" t="s">
        <v>184</v>
      </c>
      <c r="BD87" s="26" t="s">
        <v>123</v>
      </c>
      <c r="BE87" s="26" t="s">
        <v>124</v>
      </c>
      <c r="BF87" s="26" t="s">
        <v>116</v>
      </c>
      <c r="BG87" s="26" t="s">
        <v>377</v>
      </c>
      <c r="BH87" s="26">
        <v>2</v>
      </c>
      <c r="BI87" s="26" t="s">
        <v>378</v>
      </c>
      <c r="BJ87" s="26" t="s">
        <v>123</v>
      </c>
      <c r="BK87" s="26" t="s">
        <v>124</v>
      </c>
      <c r="BL87" s="26" t="s">
        <v>116</v>
      </c>
      <c r="BM87" s="26" t="s">
        <v>379</v>
      </c>
      <c r="BN87" s="26">
        <v>3</v>
      </c>
      <c r="BO87" s="31" t="s">
        <v>719</v>
      </c>
      <c r="BP87" s="31" t="s">
        <v>724</v>
      </c>
      <c r="BQ87" s="31"/>
      <c r="BR87" s="31" t="s">
        <v>240</v>
      </c>
      <c r="BS87" s="31"/>
      <c r="BT87" s="31"/>
      <c r="BU87" s="31"/>
      <c r="BV87" s="31"/>
      <c r="BW87" s="31"/>
      <c r="BX87" s="31">
        <v>-3.3994770000000001E-3</v>
      </c>
      <c r="BY87" s="31">
        <v>2.4793390000000001E-3</v>
      </c>
      <c r="BZ87" s="31">
        <v>8.3581550000000008E-3</v>
      </c>
      <c r="CA87" s="31" t="s">
        <v>393</v>
      </c>
      <c r="CB87" s="31">
        <v>5</v>
      </c>
      <c r="CC87" s="31" t="s">
        <v>381</v>
      </c>
      <c r="CD87" s="31"/>
      <c r="CE87" s="31">
        <v>5.8788160000000002E-3</v>
      </c>
    </row>
    <row r="88" spans="1:83" ht="87">
      <c r="A88" s="33">
        <v>14</v>
      </c>
      <c r="B88" s="26" t="s">
        <v>365</v>
      </c>
      <c r="C88" s="26">
        <v>2017</v>
      </c>
      <c r="D88" s="26" t="s">
        <v>366</v>
      </c>
      <c r="E88" s="30">
        <v>44714</v>
      </c>
      <c r="F88" s="31" t="s">
        <v>90</v>
      </c>
      <c r="G88" s="31" t="s">
        <v>360</v>
      </c>
      <c r="H88" s="31"/>
      <c r="I88" s="31" t="s">
        <v>368</v>
      </c>
      <c r="J88" s="26" t="s">
        <v>369</v>
      </c>
      <c r="K88" s="26" t="s">
        <v>97</v>
      </c>
      <c r="L88" s="26" t="s">
        <v>137</v>
      </c>
      <c r="M88" s="26" t="s">
        <v>95</v>
      </c>
      <c r="N88" s="26" t="s">
        <v>370</v>
      </c>
      <c r="O88" s="26" t="s">
        <v>97</v>
      </c>
      <c r="P88" s="26" t="s">
        <v>97</v>
      </c>
      <c r="S88" s="26" t="s">
        <v>90</v>
      </c>
      <c r="T88" s="26" t="s">
        <v>191</v>
      </c>
      <c r="U88" s="26" t="s">
        <v>99</v>
      </c>
      <c r="W88" s="26">
        <v>2</v>
      </c>
      <c r="X88" s="26">
        <v>1</v>
      </c>
      <c r="Y88" s="26" t="s">
        <v>371</v>
      </c>
      <c r="AA88" s="26" t="s">
        <v>319</v>
      </c>
      <c r="AB88" s="26" t="s">
        <v>105</v>
      </c>
      <c r="AC88" s="26" t="s">
        <v>372</v>
      </c>
      <c r="AD88" s="26" t="s">
        <v>373</v>
      </c>
      <c r="AE88" s="26" t="s">
        <v>197</v>
      </c>
      <c r="AF88" s="26">
        <v>4</v>
      </c>
      <c r="AG88" s="26" t="s">
        <v>90</v>
      </c>
      <c r="AH88" s="26" t="s">
        <v>374</v>
      </c>
      <c r="AI88" s="26" t="s">
        <v>150</v>
      </c>
      <c r="AJ88" s="26">
        <v>2</v>
      </c>
      <c r="AK88" s="26" t="s">
        <v>151</v>
      </c>
      <c r="AL88" s="26" t="s">
        <v>97</v>
      </c>
      <c r="AM88" s="26" t="s">
        <v>97</v>
      </c>
      <c r="AN88" s="26" t="s">
        <v>152</v>
      </c>
      <c r="AO88" s="26">
        <v>2</v>
      </c>
      <c r="AP88" s="26" t="s">
        <v>155</v>
      </c>
      <c r="AQ88" s="26" t="s">
        <v>119</v>
      </c>
      <c r="AR88" s="26" t="s">
        <v>114</v>
      </c>
      <c r="AS88" s="26" t="s">
        <v>120</v>
      </c>
      <c r="AT88" s="26" t="s">
        <v>116</v>
      </c>
      <c r="AU88" s="26" t="s">
        <v>375</v>
      </c>
      <c r="AV88" s="26">
        <v>2</v>
      </c>
      <c r="AW88" s="26" t="s">
        <v>184</v>
      </c>
      <c r="AX88" s="26" t="s">
        <v>113</v>
      </c>
      <c r="AY88" s="26" t="s">
        <v>115</v>
      </c>
      <c r="AZ88" s="26" t="s">
        <v>116</v>
      </c>
      <c r="BA88" s="26" t="s">
        <v>376</v>
      </c>
      <c r="BB88" s="26">
        <v>3</v>
      </c>
      <c r="BC88" s="26" t="s">
        <v>184</v>
      </c>
      <c r="BD88" s="26" t="s">
        <v>123</v>
      </c>
      <c r="BE88" s="26" t="s">
        <v>124</v>
      </c>
      <c r="BF88" s="26" t="s">
        <v>116</v>
      </c>
      <c r="BG88" s="26" t="s">
        <v>377</v>
      </c>
      <c r="BH88" s="26">
        <v>2</v>
      </c>
      <c r="BI88" s="26" t="s">
        <v>378</v>
      </c>
      <c r="BJ88" s="26" t="s">
        <v>123</v>
      </c>
      <c r="BK88" s="26" t="s">
        <v>124</v>
      </c>
      <c r="BL88" s="26" t="s">
        <v>116</v>
      </c>
      <c r="BM88" s="26" t="s">
        <v>379</v>
      </c>
      <c r="BN88" s="26">
        <v>3</v>
      </c>
      <c r="BO88" s="31" t="s">
        <v>719</v>
      </c>
      <c r="BP88" s="31" t="s">
        <v>419</v>
      </c>
      <c r="BQ88" s="31"/>
      <c r="BR88" s="31" t="s">
        <v>240</v>
      </c>
      <c r="BS88" s="31">
        <v>-5.8237223999999997E-2</v>
      </c>
      <c r="BT88" s="31">
        <v>5.5844155999999999E-2</v>
      </c>
      <c r="BU88" s="31">
        <v>0.16992553599999999</v>
      </c>
      <c r="BV88" s="31" t="s">
        <v>393</v>
      </c>
      <c r="BW88" s="31">
        <v>7</v>
      </c>
      <c r="BX88" s="31"/>
      <c r="BY88" s="31"/>
      <c r="BZ88" s="31"/>
      <c r="CA88" s="31"/>
      <c r="CB88" s="31"/>
      <c r="CC88" s="31" t="s">
        <v>381</v>
      </c>
      <c r="CD88" s="31"/>
      <c r="CE88" s="31">
        <v>0.11408138</v>
      </c>
    </row>
    <row r="89" spans="1:83" ht="87">
      <c r="A89" s="33">
        <v>14</v>
      </c>
      <c r="B89" s="26" t="s">
        <v>365</v>
      </c>
      <c r="C89" s="26">
        <v>2017</v>
      </c>
      <c r="D89" s="26" t="s">
        <v>366</v>
      </c>
      <c r="E89" s="30">
        <v>44714</v>
      </c>
      <c r="F89" s="31" t="s">
        <v>90</v>
      </c>
      <c r="G89" s="31" t="s">
        <v>360</v>
      </c>
      <c r="H89" s="31"/>
      <c r="I89" s="31" t="s">
        <v>368</v>
      </c>
      <c r="J89" s="26" t="s">
        <v>369</v>
      </c>
      <c r="K89" s="26" t="s">
        <v>97</v>
      </c>
      <c r="L89" s="26" t="s">
        <v>137</v>
      </c>
      <c r="M89" s="26" t="s">
        <v>95</v>
      </c>
      <c r="N89" s="26" t="s">
        <v>370</v>
      </c>
      <c r="O89" s="26" t="s">
        <v>97</v>
      </c>
      <c r="P89" s="26" t="s">
        <v>97</v>
      </c>
      <c r="S89" s="26" t="s">
        <v>90</v>
      </c>
      <c r="T89" s="26" t="s">
        <v>191</v>
      </c>
      <c r="U89" s="26" t="s">
        <v>99</v>
      </c>
      <c r="W89" s="26">
        <v>2</v>
      </c>
      <c r="X89" s="26">
        <v>1</v>
      </c>
      <c r="Y89" s="26" t="s">
        <v>371</v>
      </c>
      <c r="AA89" s="26" t="s">
        <v>319</v>
      </c>
      <c r="AB89" s="26" t="s">
        <v>105</v>
      </c>
      <c r="AC89" s="26" t="s">
        <v>372</v>
      </c>
      <c r="AD89" s="26" t="s">
        <v>373</v>
      </c>
      <c r="AE89" s="26" t="s">
        <v>197</v>
      </c>
      <c r="AF89" s="26">
        <v>4</v>
      </c>
      <c r="AG89" s="26" t="s">
        <v>90</v>
      </c>
      <c r="AH89" s="26" t="s">
        <v>374</v>
      </c>
      <c r="AI89" s="26" t="s">
        <v>150</v>
      </c>
      <c r="AJ89" s="26">
        <v>2</v>
      </c>
      <c r="AK89" s="26" t="s">
        <v>151</v>
      </c>
      <c r="AL89" s="26" t="s">
        <v>97</v>
      </c>
      <c r="AM89" s="26" t="s">
        <v>97</v>
      </c>
      <c r="AN89" s="26" t="s">
        <v>152</v>
      </c>
      <c r="AO89" s="26">
        <v>2</v>
      </c>
      <c r="AP89" s="26" t="s">
        <v>155</v>
      </c>
      <c r="AQ89" s="26" t="s">
        <v>119</v>
      </c>
      <c r="AR89" s="26" t="s">
        <v>114</v>
      </c>
      <c r="AS89" s="26" t="s">
        <v>120</v>
      </c>
      <c r="AT89" s="26" t="s">
        <v>116</v>
      </c>
      <c r="AU89" s="26" t="s">
        <v>375</v>
      </c>
      <c r="AV89" s="26">
        <v>2</v>
      </c>
      <c r="AW89" s="26" t="s">
        <v>184</v>
      </c>
      <c r="AX89" s="26" t="s">
        <v>113</v>
      </c>
      <c r="AY89" s="26" t="s">
        <v>115</v>
      </c>
      <c r="AZ89" s="26" t="s">
        <v>116</v>
      </c>
      <c r="BA89" s="26" t="s">
        <v>376</v>
      </c>
      <c r="BB89" s="26">
        <v>3</v>
      </c>
      <c r="BC89" s="26" t="s">
        <v>184</v>
      </c>
      <c r="BD89" s="26" t="s">
        <v>123</v>
      </c>
      <c r="BE89" s="26" t="s">
        <v>124</v>
      </c>
      <c r="BF89" s="26" t="s">
        <v>116</v>
      </c>
      <c r="BG89" s="26" t="s">
        <v>377</v>
      </c>
      <c r="BH89" s="26">
        <v>2</v>
      </c>
      <c r="BI89" s="26" t="s">
        <v>378</v>
      </c>
      <c r="BJ89" s="26" t="s">
        <v>123</v>
      </c>
      <c r="BK89" s="26" t="s">
        <v>124</v>
      </c>
      <c r="BL89" s="26" t="s">
        <v>116</v>
      </c>
      <c r="BM89" s="26" t="s">
        <v>379</v>
      </c>
      <c r="BN89" s="26">
        <v>3</v>
      </c>
      <c r="BO89" s="31" t="s">
        <v>719</v>
      </c>
      <c r="BP89" s="31" t="s">
        <v>424</v>
      </c>
      <c r="BQ89" s="31"/>
      <c r="BR89" s="31" t="s">
        <v>240</v>
      </c>
      <c r="BS89" s="31">
        <v>-1.4183469000000001E-2</v>
      </c>
      <c r="BT89" s="31">
        <v>1.3131313E-2</v>
      </c>
      <c r="BU89" s="31">
        <v>4.0446096000000001E-2</v>
      </c>
      <c r="BV89" s="31" t="s">
        <v>393</v>
      </c>
      <c r="BW89" s="31">
        <v>7</v>
      </c>
      <c r="BX89" s="31"/>
      <c r="BY89" s="31"/>
      <c r="BZ89" s="31"/>
      <c r="CA89" s="31"/>
      <c r="CB89" s="31"/>
      <c r="CC89" s="31" t="s">
        <v>381</v>
      </c>
      <c r="CD89" s="31"/>
      <c r="CE89" s="31">
        <v>2.7314781999999999E-2</v>
      </c>
    </row>
    <row r="90" spans="1:83" ht="87">
      <c r="A90" s="33">
        <v>14</v>
      </c>
      <c r="B90" s="26" t="s">
        <v>365</v>
      </c>
      <c r="C90" s="26">
        <v>2017</v>
      </c>
      <c r="D90" s="26" t="s">
        <v>366</v>
      </c>
      <c r="E90" s="30">
        <v>44714</v>
      </c>
      <c r="F90" s="31" t="s">
        <v>90</v>
      </c>
      <c r="G90" s="31" t="s">
        <v>360</v>
      </c>
      <c r="H90" s="31"/>
      <c r="I90" s="31" t="s">
        <v>368</v>
      </c>
      <c r="J90" s="26" t="s">
        <v>369</v>
      </c>
      <c r="K90" s="26" t="s">
        <v>97</v>
      </c>
      <c r="L90" s="26" t="s">
        <v>137</v>
      </c>
      <c r="M90" s="26" t="s">
        <v>95</v>
      </c>
      <c r="N90" s="26" t="s">
        <v>370</v>
      </c>
      <c r="O90" s="26" t="s">
        <v>97</v>
      </c>
      <c r="P90" s="26" t="s">
        <v>97</v>
      </c>
      <c r="S90" s="26" t="s">
        <v>90</v>
      </c>
      <c r="T90" s="26" t="s">
        <v>191</v>
      </c>
      <c r="U90" s="26" t="s">
        <v>99</v>
      </c>
      <c r="W90" s="26">
        <v>2</v>
      </c>
      <c r="X90" s="26">
        <v>1</v>
      </c>
      <c r="Y90" s="26" t="s">
        <v>371</v>
      </c>
      <c r="AA90" s="26" t="s">
        <v>319</v>
      </c>
      <c r="AB90" s="26" t="s">
        <v>105</v>
      </c>
      <c r="AC90" s="26" t="s">
        <v>372</v>
      </c>
      <c r="AD90" s="26" t="s">
        <v>373</v>
      </c>
      <c r="AE90" s="26" t="s">
        <v>197</v>
      </c>
      <c r="AF90" s="26">
        <v>4</v>
      </c>
      <c r="AG90" s="26" t="s">
        <v>90</v>
      </c>
      <c r="AH90" s="26" t="s">
        <v>374</v>
      </c>
      <c r="AI90" s="26" t="s">
        <v>150</v>
      </c>
      <c r="AJ90" s="26">
        <v>2</v>
      </c>
      <c r="AK90" s="26" t="s">
        <v>151</v>
      </c>
      <c r="AL90" s="26" t="s">
        <v>97</v>
      </c>
      <c r="AM90" s="26" t="s">
        <v>97</v>
      </c>
      <c r="AN90" s="26" t="s">
        <v>152</v>
      </c>
      <c r="AO90" s="26">
        <v>2</v>
      </c>
      <c r="AP90" s="26" t="s">
        <v>155</v>
      </c>
      <c r="AQ90" s="26" t="s">
        <v>119</v>
      </c>
      <c r="AR90" s="26" t="s">
        <v>114</v>
      </c>
      <c r="AS90" s="26" t="s">
        <v>120</v>
      </c>
      <c r="AT90" s="26" t="s">
        <v>116</v>
      </c>
      <c r="AU90" s="26" t="s">
        <v>375</v>
      </c>
      <c r="AV90" s="26">
        <v>2</v>
      </c>
      <c r="AW90" s="26" t="s">
        <v>184</v>
      </c>
      <c r="AX90" s="26" t="s">
        <v>113</v>
      </c>
      <c r="AY90" s="26" t="s">
        <v>115</v>
      </c>
      <c r="AZ90" s="26" t="s">
        <v>116</v>
      </c>
      <c r="BA90" s="26" t="s">
        <v>376</v>
      </c>
      <c r="BB90" s="26">
        <v>3</v>
      </c>
      <c r="BC90" s="26" t="s">
        <v>184</v>
      </c>
      <c r="BD90" s="26" t="s">
        <v>123</v>
      </c>
      <c r="BE90" s="26" t="s">
        <v>124</v>
      </c>
      <c r="BF90" s="26" t="s">
        <v>116</v>
      </c>
      <c r="BG90" s="26" t="s">
        <v>377</v>
      </c>
      <c r="BH90" s="26">
        <v>2</v>
      </c>
      <c r="BI90" s="26" t="s">
        <v>378</v>
      </c>
      <c r="BJ90" s="26" t="s">
        <v>123</v>
      </c>
      <c r="BK90" s="26" t="s">
        <v>124</v>
      </c>
      <c r="BL90" s="26" t="s">
        <v>116</v>
      </c>
      <c r="BM90" s="26" t="s">
        <v>379</v>
      </c>
      <c r="BN90" s="26">
        <v>3</v>
      </c>
      <c r="BO90" s="31" t="s">
        <v>719</v>
      </c>
      <c r="BP90" s="31" t="s">
        <v>422</v>
      </c>
      <c r="BQ90" s="31"/>
      <c r="BR90" s="31" t="s">
        <v>240</v>
      </c>
      <c r="BS90" s="31">
        <v>1.6039820000000001E-3</v>
      </c>
      <c r="BT90" s="31">
        <v>7.1590908999999994E-2</v>
      </c>
      <c r="BU90" s="31">
        <v>0.14157783700000001</v>
      </c>
      <c r="BV90" s="31" t="s">
        <v>393</v>
      </c>
      <c r="BW90" s="31">
        <v>7</v>
      </c>
      <c r="BX90" s="31"/>
      <c r="BY90" s="31"/>
      <c r="BZ90" s="31"/>
      <c r="CA90" s="31"/>
      <c r="CB90" s="31"/>
      <c r="CC90" s="31" t="s">
        <v>381</v>
      </c>
      <c r="CD90" s="31"/>
      <c r="CE90" s="31">
        <v>6.9986927000000004E-2</v>
      </c>
    </row>
    <row r="91" spans="1:83" ht="87">
      <c r="A91" s="33">
        <v>14</v>
      </c>
      <c r="B91" s="26" t="s">
        <v>365</v>
      </c>
      <c r="C91" s="26">
        <v>2017</v>
      </c>
      <c r="D91" s="26" t="s">
        <v>366</v>
      </c>
      <c r="E91" s="30">
        <v>44714</v>
      </c>
      <c r="F91" s="31" t="s">
        <v>90</v>
      </c>
      <c r="G91" s="31" t="s">
        <v>360</v>
      </c>
      <c r="H91" s="31"/>
      <c r="I91" s="31" t="s">
        <v>368</v>
      </c>
      <c r="J91" s="26" t="s">
        <v>369</v>
      </c>
      <c r="K91" s="26" t="s">
        <v>97</v>
      </c>
      <c r="L91" s="26" t="s">
        <v>137</v>
      </c>
      <c r="M91" s="26" t="s">
        <v>95</v>
      </c>
      <c r="N91" s="26" t="s">
        <v>370</v>
      </c>
      <c r="O91" s="26" t="s">
        <v>97</v>
      </c>
      <c r="P91" s="26" t="s">
        <v>97</v>
      </c>
      <c r="S91" s="26" t="s">
        <v>90</v>
      </c>
      <c r="T91" s="26" t="s">
        <v>191</v>
      </c>
      <c r="U91" s="26" t="s">
        <v>99</v>
      </c>
      <c r="W91" s="26">
        <v>2</v>
      </c>
      <c r="X91" s="26">
        <v>1</v>
      </c>
      <c r="Y91" s="26" t="s">
        <v>371</v>
      </c>
      <c r="AA91" s="26" t="s">
        <v>319</v>
      </c>
      <c r="AB91" s="26" t="s">
        <v>105</v>
      </c>
      <c r="AC91" s="26" t="s">
        <v>372</v>
      </c>
      <c r="AD91" s="26" t="s">
        <v>373</v>
      </c>
      <c r="AE91" s="26" t="s">
        <v>197</v>
      </c>
      <c r="AF91" s="26">
        <v>4</v>
      </c>
      <c r="AG91" s="26" t="s">
        <v>90</v>
      </c>
      <c r="AH91" s="26" t="s">
        <v>374</v>
      </c>
      <c r="AI91" s="26" t="s">
        <v>150</v>
      </c>
      <c r="AJ91" s="26">
        <v>2</v>
      </c>
      <c r="AK91" s="26" t="s">
        <v>151</v>
      </c>
      <c r="AL91" s="26" t="s">
        <v>97</v>
      </c>
      <c r="AM91" s="26" t="s">
        <v>97</v>
      </c>
      <c r="AN91" s="26" t="s">
        <v>152</v>
      </c>
      <c r="AO91" s="26">
        <v>2</v>
      </c>
      <c r="AP91" s="26" t="s">
        <v>155</v>
      </c>
      <c r="AQ91" s="26" t="s">
        <v>119</v>
      </c>
      <c r="AR91" s="26" t="s">
        <v>114</v>
      </c>
      <c r="AS91" s="26" t="s">
        <v>120</v>
      </c>
      <c r="AT91" s="26" t="s">
        <v>116</v>
      </c>
      <c r="AU91" s="26" t="s">
        <v>375</v>
      </c>
      <c r="AV91" s="26">
        <v>2</v>
      </c>
      <c r="AW91" s="26" t="s">
        <v>184</v>
      </c>
      <c r="AX91" s="26" t="s">
        <v>113</v>
      </c>
      <c r="AY91" s="26" t="s">
        <v>115</v>
      </c>
      <c r="AZ91" s="26" t="s">
        <v>116</v>
      </c>
      <c r="BA91" s="26" t="s">
        <v>376</v>
      </c>
      <c r="BB91" s="26">
        <v>3</v>
      </c>
      <c r="BC91" s="26" t="s">
        <v>184</v>
      </c>
      <c r="BD91" s="26" t="s">
        <v>123</v>
      </c>
      <c r="BE91" s="26" t="s">
        <v>124</v>
      </c>
      <c r="BF91" s="26" t="s">
        <v>116</v>
      </c>
      <c r="BG91" s="26" t="s">
        <v>377</v>
      </c>
      <c r="BH91" s="26">
        <v>2</v>
      </c>
      <c r="BI91" s="26" t="s">
        <v>378</v>
      </c>
      <c r="BJ91" s="26" t="s">
        <v>123</v>
      </c>
      <c r="BK91" s="26" t="s">
        <v>124</v>
      </c>
      <c r="BL91" s="26" t="s">
        <v>116</v>
      </c>
      <c r="BM91" s="26" t="s">
        <v>379</v>
      </c>
      <c r="BN91" s="26">
        <v>3</v>
      </c>
      <c r="BO91" s="31" t="s">
        <v>719</v>
      </c>
      <c r="BP91" s="31" t="s">
        <v>425</v>
      </c>
      <c r="BQ91" s="31"/>
      <c r="BR91" s="31" t="s">
        <v>240</v>
      </c>
      <c r="BS91" s="31">
        <v>-1.6161616E-2</v>
      </c>
      <c r="BT91" s="31">
        <v>8.0808080000000001E-3</v>
      </c>
      <c r="BU91" s="31">
        <v>3.2323232E-2</v>
      </c>
      <c r="BV91" s="31" t="s">
        <v>393</v>
      </c>
      <c r="BW91" s="31">
        <v>7</v>
      </c>
      <c r="BX91" s="31"/>
      <c r="BY91" s="31"/>
      <c r="BZ91" s="31"/>
      <c r="CA91" s="31"/>
      <c r="CB91" s="31"/>
      <c r="CC91" s="31" t="s">
        <v>381</v>
      </c>
      <c r="CD91" s="31"/>
      <c r="CE91" s="31">
        <v>2.4242423999999999E-2</v>
      </c>
    </row>
    <row r="92" spans="1:83" ht="87">
      <c r="A92" s="33">
        <v>14</v>
      </c>
      <c r="B92" s="26" t="s">
        <v>365</v>
      </c>
      <c r="C92" s="26">
        <v>2017</v>
      </c>
      <c r="D92" s="26" t="s">
        <v>366</v>
      </c>
      <c r="E92" s="30">
        <v>44714</v>
      </c>
      <c r="F92" s="31" t="s">
        <v>90</v>
      </c>
      <c r="G92" s="31" t="s">
        <v>360</v>
      </c>
      <c r="H92" s="31"/>
      <c r="I92" s="31" t="s">
        <v>368</v>
      </c>
      <c r="J92" s="26" t="s">
        <v>369</v>
      </c>
      <c r="K92" s="26" t="s">
        <v>97</v>
      </c>
      <c r="L92" s="26" t="s">
        <v>137</v>
      </c>
      <c r="M92" s="26" t="s">
        <v>95</v>
      </c>
      <c r="N92" s="26" t="s">
        <v>370</v>
      </c>
      <c r="O92" s="26" t="s">
        <v>97</v>
      </c>
      <c r="P92" s="26" t="s">
        <v>97</v>
      </c>
      <c r="S92" s="26" t="s">
        <v>90</v>
      </c>
      <c r="T92" s="26" t="s">
        <v>191</v>
      </c>
      <c r="U92" s="26" t="s">
        <v>99</v>
      </c>
      <c r="W92" s="26">
        <v>2</v>
      </c>
      <c r="X92" s="26">
        <v>1</v>
      </c>
      <c r="Y92" s="26" t="s">
        <v>371</v>
      </c>
      <c r="AA92" s="26" t="s">
        <v>319</v>
      </c>
      <c r="AB92" s="26" t="s">
        <v>105</v>
      </c>
      <c r="AC92" s="26" t="s">
        <v>372</v>
      </c>
      <c r="AD92" s="26" t="s">
        <v>373</v>
      </c>
      <c r="AE92" s="26" t="s">
        <v>197</v>
      </c>
      <c r="AF92" s="26">
        <v>4</v>
      </c>
      <c r="AG92" s="26" t="s">
        <v>90</v>
      </c>
      <c r="AH92" s="26" t="s">
        <v>374</v>
      </c>
      <c r="AI92" s="26" t="s">
        <v>150</v>
      </c>
      <c r="AJ92" s="26">
        <v>2</v>
      </c>
      <c r="AK92" s="26" t="s">
        <v>151</v>
      </c>
      <c r="AL92" s="26" t="s">
        <v>97</v>
      </c>
      <c r="AM92" s="26" t="s">
        <v>97</v>
      </c>
      <c r="AN92" s="26" t="s">
        <v>152</v>
      </c>
      <c r="AO92" s="26">
        <v>2</v>
      </c>
      <c r="AP92" s="26" t="s">
        <v>155</v>
      </c>
      <c r="AQ92" s="26" t="s">
        <v>119</v>
      </c>
      <c r="AR92" s="26" t="s">
        <v>114</v>
      </c>
      <c r="AS92" s="26" t="s">
        <v>120</v>
      </c>
      <c r="AT92" s="26" t="s">
        <v>116</v>
      </c>
      <c r="AU92" s="26" t="s">
        <v>375</v>
      </c>
      <c r="AV92" s="26">
        <v>2</v>
      </c>
      <c r="AW92" s="26" t="s">
        <v>184</v>
      </c>
      <c r="AX92" s="26" t="s">
        <v>113</v>
      </c>
      <c r="AY92" s="26" t="s">
        <v>115</v>
      </c>
      <c r="AZ92" s="26" t="s">
        <v>116</v>
      </c>
      <c r="BA92" s="26" t="s">
        <v>376</v>
      </c>
      <c r="BB92" s="26">
        <v>3</v>
      </c>
      <c r="BC92" s="26" t="s">
        <v>184</v>
      </c>
      <c r="BD92" s="26" t="s">
        <v>123</v>
      </c>
      <c r="BE92" s="26" t="s">
        <v>124</v>
      </c>
      <c r="BF92" s="26" t="s">
        <v>116</v>
      </c>
      <c r="BG92" s="26" t="s">
        <v>377</v>
      </c>
      <c r="BH92" s="26">
        <v>2</v>
      </c>
      <c r="BI92" s="26" t="s">
        <v>378</v>
      </c>
      <c r="BJ92" s="26" t="s">
        <v>123</v>
      </c>
      <c r="BK92" s="26" t="s">
        <v>124</v>
      </c>
      <c r="BL92" s="26" t="s">
        <v>116</v>
      </c>
      <c r="BM92" s="26" t="s">
        <v>379</v>
      </c>
      <c r="BN92" s="26">
        <v>3</v>
      </c>
      <c r="BO92" s="31" t="s">
        <v>719</v>
      </c>
      <c r="BP92" s="31" t="s">
        <v>420</v>
      </c>
      <c r="BQ92" s="31"/>
      <c r="BR92" s="31" t="s">
        <v>240</v>
      </c>
      <c r="BS92" s="31">
        <v>-1.8381226000000001E-2</v>
      </c>
      <c r="BT92" s="31">
        <v>3.2467532E-2</v>
      </c>
      <c r="BU92" s="31">
        <v>8.3316291000000001E-2</v>
      </c>
      <c r="BV92" s="31" t="s">
        <v>393</v>
      </c>
      <c r="BW92" s="31">
        <v>7</v>
      </c>
      <c r="BX92" s="31"/>
      <c r="BY92" s="31"/>
      <c r="BZ92" s="31"/>
      <c r="CA92" s="31"/>
      <c r="CB92" s="31"/>
      <c r="CC92" s="31" t="s">
        <v>381</v>
      </c>
      <c r="CD92" s="31"/>
      <c r="CE92" s="31">
        <v>5.0848758000000001E-2</v>
      </c>
    </row>
    <row r="93" spans="1:83" ht="87">
      <c r="A93" s="33">
        <v>14</v>
      </c>
      <c r="B93" s="26" t="s">
        <v>365</v>
      </c>
      <c r="C93" s="26">
        <v>2017</v>
      </c>
      <c r="D93" s="26" t="s">
        <v>366</v>
      </c>
      <c r="E93" s="30">
        <v>44714</v>
      </c>
      <c r="F93" s="31" t="s">
        <v>90</v>
      </c>
      <c r="G93" s="31" t="s">
        <v>360</v>
      </c>
      <c r="H93" s="31"/>
      <c r="I93" s="31" t="s">
        <v>368</v>
      </c>
      <c r="J93" s="26" t="s">
        <v>369</v>
      </c>
      <c r="K93" s="26" t="s">
        <v>97</v>
      </c>
      <c r="L93" s="26" t="s">
        <v>137</v>
      </c>
      <c r="M93" s="26" t="s">
        <v>95</v>
      </c>
      <c r="N93" s="26" t="s">
        <v>370</v>
      </c>
      <c r="O93" s="26" t="s">
        <v>97</v>
      </c>
      <c r="P93" s="26" t="s">
        <v>97</v>
      </c>
      <c r="S93" s="26" t="s">
        <v>90</v>
      </c>
      <c r="T93" s="26" t="s">
        <v>191</v>
      </c>
      <c r="U93" s="26" t="s">
        <v>99</v>
      </c>
      <c r="W93" s="26">
        <v>2</v>
      </c>
      <c r="X93" s="26">
        <v>1</v>
      </c>
      <c r="Y93" s="26" t="s">
        <v>371</v>
      </c>
      <c r="AA93" s="26" t="s">
        <v>319</v>
      </c>
      <c r="AB93" s="26" t="s">
        <v>105</v>
      </c>
      <c r="AC93" s="26" t="s">
        <v>372</v>
      </c>
      <c r="AD93" s="26" t="s">
        <v>373</v>
      </c>
      <c r="AE93" s="26" t="s">
        <v>197</v>
      </c>
      <c r="AF93" s="26">
        <v>4</v>
      </c>
      <c r="AG93" s="26" t="s">
        <v>90</v>
      </c>
      <c r="AH93" s="26" t="s">
        <v>374</v>
      </c>
      <c r="AI93" s="26" t="s">
        <v>150</v>
      </c>
      <c r="AJ93" s="26">
        <v>2</v>
      </c>
      <c r="AK93" s="26" t="s">
        <v>151</v>
      </c>
      <c r="AL93" s="26" t="s">
        <v>97</v>
      </c>
      <c r="AM93" s="26" t="s">
        <v>97</v>
      </c>
      <c r="AN93" s="26" t="s">
        <v>152</v>
      </c>
      <c r="AO93" s="26">
        <v>2</v>
      </c>
      <c r="AP93" s="26" t="s">
        <v>155</v>
      </c>
      <c r="AQ93" s="26" t="s">
        <v>119</v>
      </c>
      <c r="AR93" s="26" t="s">
        <v>114</v>
      </c>
      <c r="AS93" s="26" t="s">
        <v>120</v>
      </c>
      <c r="AT93" s="26" t="s">
        <v>116</v>
      </c>
      <c r="AU93" s="26" t="s">
        <v>375</v>
      </c>
      <c r="AV93" s="26">
        <v>2</v>
      </c>
      <c r="AW93" s="26" t="s">
        <v>184</v>
      </c>
      <c r="AX93" s="26" t="s">
        <v>113</v>
      </c>
      <c r="AY93" s="26" t="s">
        <v>115</v>
      </c>
      <c r="AZ93" s="26" t="s">
        <v>116</v>
      </c>
      <c r="BA93" s="26" t="s">
        <v>376</v>
      </c>
      <c r="BB93" s="26">
        <v>3</v>
      </c>
      <c r="BC93" s="26" t="s">
        <v>184</v>
      </c>
      <c r="BD93" s="26" t="s">
        <v>123</v>
      </c>
      <c r="BE93" s="26" t="s">
        <v>124</v>
      </c>
      <c r="BF93" s="26" t="s">
        <v>116</v>
      </c>
      <c r="BG93" s="26" t="s">
        <v>377</v>
      </c>
      <c r="BH93" s="26">
        <v>2</v>
      </c>
      <c r="BI93" s="26" t="s">
        <v>378</v>
      </c>
      <c r="BJ93" s="26" t="s">
        <v>123</v>
      </c>
      <c r="BK93" s="26" t="s">
        <v>124</v>
      </c>
      <c r="BL93" s="26" t="s">
        <v>116</v>
      </c>
      <c r="BM93" s="26" t="s">
        <v>379</v>
      </c>
      <c r="BN93" s="26">
        <v>3</v>
      </c>
      <c r="BO93" s="31" t="s">
        <v>719</v>
      </c>
      <c r="BP93" s="31" t="s">
        <v>426</v>
      </c>
      <c r="BQ93" s="31"/>
      <c r="BR93" s="31" t="s">
        <v>240</v>
      </c>
      <c r="BS93" s="31">
        <v>-6.886423E-3</v>
      </c>
      <c r="BT93" s="31">
        <v>1.1818182E-2</v>
      </c>
      <c r="BU93" s="31">
        <v>3.0522786999999999E-2</v>
      </c>
      <c r="BV93" s="31" t="s">
        <v>393</v>
      </c>
      <c r="BW93" s="31">
        <v>7</v>
      </c>
      <c r="BX93" s="31"/>
      <c r="BY93" s="31"/>
      <c r="BZ93" s="31"/>
      <c r="CA93" s="31"/>
      <c r="CB93" s="31"/>
      <c r="CC93" s="31" t="s">
        <v>381</v>
      </c>
      <c r="CD93" s="31"/>
      <c r="CE93" s="31">
        <v>1.8704604999999999E-2</v>
      </c>
    </row>
    <row r="94" spans="1:83" ht="87">
      <c r="A94" s="33">
        <v>14</v>
      </c>
      <c r="B94" s="26" t="s">
        <v>365</v>
      </c>
      <c r="C94" s="26">
        <v>2017</v>
      </c>
      <c r="D94" s="26" t="s">
        <v>366</v>
      </c>
      <c r="E94" s="30">
        <v>44714</v>
      </c>
      <c r="F94" s="31" t="s">
        <v>90</v>
      </c>
      <c r="G94" s="31" t="s">
        <v>360</v>
      </c>
      <c r="H94" s="31"/>
      <c r="I94" s="31" t="s">
        <v>368</v>
      </c>
      <c r="J94" s="26" t="s">
        <v>369</v>
      </c>
      <c r="K94" s="26" t="s">
        <v>97</v>
      </c>
      <c r="L94" s="26" t="s">
        <v>137</v>
      </c>
      <c r="M94" s="26" t="s">
        <v>95</v>
      </c>
      <c r="N94" s="26" t="s">
        <v>370</v>
      </c>
      <c r="O94" s="26" t="s">
        <v>97</v>
      </c>
      <c r="P94" s="26" t="s">
        <v>97</v>
      </c>
      <c r="S94" s="26" t="s">
        <v>90</v>
      </c>
      <c r="T94" s="26" t="s">
        <v>191</v>
      </c>
      <c r="U94" s="26" t="s">
        <v>99</v>
      </c>
      <c r="W94" s="26">
        <v>2</v>
      </c>
      <c r="X94" s="26">
        <v>1</v>
      </c>
      <c r="Y94" s="26" t="s">
        <v>371</v>
      </c>
      <c r="AA94" s="26" t="s">
        <v>319</v>
      </c>
      <c r="AB94" s="26" t="s">
        <v>105</v>
      </c>
      <c r="AC94" s="26" t="s">
        <v>372</v>
      </c>
      <c r="AD94" s="26" t="s">
        <v>373</v>
      </c>
      <c r="AE94" s="26" t="s">
        <v>197</v>
      </c>
      <c r="AF94" s="26">
        <v>4</v>
      </c>
      <c r="AG94" s="26" t="s">
        <v>90</v>
      </c>
      <c r="AH94" s="26" t="s">
        <v>374</v>
      </c>
      <c r="AI94" s="26" t="s">
        <v>150</v>
      </c>
      <c r="AJ94" s="26">
        <v>2</v>
      </c>
      <c r="AK94" s="26" t="s">
        <v>151</v>
      </c>
      <c r="AL94" s="26" t="s">
        <v>97</v>
      </c>
      <c r="AM94" s="26" t="s">
        <v>97</v>
      </c>
      <c r="AN94" s="26" t="s">
        <v>152</v>
      </c>
      <c r="AO94" s="26">
        <v>2</v>
      </c>
      <c r="AP94" s="26" t="s">
        <v>155</v>
      </c>
      <c r="AQ94" s="26" t="s">
        <v>119</v>
      </c>
      <c r="AR94" s="26" t="s">
        <v>114</v>
      </c>
      <c r="AS94" s="26" t="s">
        <v>120</v>
      </c>
      <c r="AT94" s="26" t="s">
        <v>116</v>
      </c>
      <c r="AU94" s="26" t="s">
        <v>375</v>
      </c>
      <c r="AV94" s="26">
        <v>2</v>
      </c>
      <c r="AW94" s="26" t="s">
        <v>184</v>
      </c>
      <c r="AX94" s="26" t="s">
        <v>113</v>
      </c>
      <c r="AY94" s="26" t="s">
        <v>115</v>
      </c>
      <c r="AZ94" s="26" t="s">
        <v>116</v>
      </c>
      <c r="BA94" s="26" t="s">
        <v>376</v>
      </c>
      <c r="BB94" s="26">
        <v>3</v>
      </c>
      <c r="BC94" s="26" t="s">
        <v>184</v>
      </c>
      <c r="BD94" s="26" t="s">
        <v>123</v>
      </c>
      <c r="BE94" s="26" t="s">
        <v>124</v>
      </c>
      <c r="BF94" s="26" t="s">
        <v>116</v>
      </c>
      <c r="BG94" s="26" t="s">
        <v>377</v>
      </c>
      <c r="BH94" s="26">
        <v>2</v>
      </c>
      <c r="BI94" s="26" t="s">
        <v>378</v>
      </c>
      <c r="BJ94" s="26" t="s">
        <v>123</v>
      </c>
      <c r="BK94" s="26" t="s">
        <v>124</v>
      </c>
      <c r="BL94" s="26" t="s">
        <v>116</v>
      </c>
      <c r="BM94" s="26" t="s">
        <v>379</v>
      </c>
      <c r="BN94" s="26">
        <v>3</v>
      </c>
      <c r="BO94" s="31" t="s">
        <v>719</v>
      </c>
      <c r="BP94" s="31" t="s">
        <v>423</v>
      </c>
      <c r="BQ94" s="31"/>
      <c r="BR94" s="31" t="s">
        <v>240</v>
      </c>
      <c r="BS94" s="31">
        <v>-2.6854880000000002E-3</v>
      </c>
      <c r="BT94" s="31">
        <v>2.5252525000000001E-2</v>
      </c>
      <c r="BU94" s="31">
        <v>5.3190539000000002E-2</v>
      </c>
      <c r="BV94" s="31" t="s">
        <v>393</v>
      </c>
      <c r="BW94" s="31">
        <v>7</v>
      </c>
      <c r="BX94" s="31"/>
      <c r="BY94" s="31"/>
      <c r="BZ94" s="31"/>
      <c r="CA94" s="31"/>
      <c r="CB94" s="31"/>
      <c r="CC94" s="31" t="s">
        <v>381</v>
      </c>
      <c r="CD94" s="31"/>
      <c r="CE94" s="31">
        <v>2.7938014000000001E-2</v>
      </c>
    </row>
    <row r="95" spans="1:83" ht="87">
      <c r="A95" s="33">
        <v>14</v>
      </c>
      <c r="B95" s="26" t="s">
        <v>365</v>
      </c>
      <c r="C95" s="26">
        <v>2017</v>
      </c>
      <c r="D95" s="26" t="s">
        <v>366</v>
      </c>
      <c r="E95" s="30">
        <v>44714</v>
      </c>
      <c r="F95" s="31" t="s">
        <v>90</v>
      </c>
      <c r="G95" s="31" t="s">
        <v>360</v>
      </c>
      <c r="H95" s="31"/>
      <c r="I95" s="31" t="s">
        <v>368</v>
      </c>
      <c r="J95" s="26" t="s">
        <v>369</v>
      </c>
      <c r="K95" s="26" t="s">
        <v>97</v>
      </c>
      <c r="L95" s="26" t="s">
        <v>137</v>
      </c>
      <c r="M95" s="26" t="s">
        <v>95</v>
      </c>
      <c r="N95" s="26" t="s">
        <v>370</v>
      </c>
      <c r="O95" s="26" t="s">
        <v>97</v>
      </c>
      <c r="P95" s="26" t="s">
        <v>97</v>
      </c>
      <c r="S95" s="26" t="s">
        <v>90</v>
      </c>
      <c r="T95" s="26" t="s">
        <v>191</v>
      </c>
      <c r="U95" s="26" t="s">
        <v>99</v>
      </c>
      <c r="W95" s="26">
        <v>2</v>
      </c>
      <c r="X95" s="26">
        <v>1</v>
      </c>
      <c r="Y95" s="26" t="s">
        <v>371</v>
      </c>
      <c r="AA95" s="26" t="s">
        <v>319</v>
      </c>
      <c r="AB95" s="26" t="s">
        <v>105</v>
      </c>
      <c r="AC95" s="26" t="s">
        <v>372</v>
      </c>
      <c r="AD95" s="26" t="s">
        <v>373</v>
      </c>
      <c r="AE95" s="26" t="s">
        <v>197</v>
      </c>
      <c r="AF95" s="26">
        <v>4</v>
      </c>
      <c r="AG95" s="26" t="s">
        <v>90</v>
      </c>
      <c r="AH95" s="26" t="s">
        <v>374</v>
      </c>
      <c r="AI95" s="26" t="s">
        <v>150</v>
      </c>
      <c r="AJ95" s="26">
        <v>2</v>
      </c>
      <c r="AK95" s="26" t="s">
        <v>151</v>
      </c>
      <c r="AL95" s="26" t="s">
        <v>97</v>
      </c>
      <c r="AM95" s="26" t="s">
        <v>97</v>
      </c>
      <c r="AN95" s="26" t="s">
        <v>152</v>
      </c>
      <c r="AO95" s="26">
        <v>2</v>
      </c>
      <c r="AP95" s="26" t="s">
        <v>155</v>
      </c>
      <c r="AQ95" s="26" t="s">
        <v>119</v>
      </c>
      <c r="AR95" s="26" t="s">
        <v>114</v>
      </c>
      <c r="AS95" s="26" t="s">
        <v>120</v>
      </c>
      <c r="AT95" s="26" t="s">
        <v>116</v>
      </c>
      <c r="AU95" s="26" t="s">
        <v>375</v>
      </c>
      <c r="AV95" s="26">
        <v>2</v>
      </c>
      <c r="AW95" s="26" t="s">
        <v>184</v>
      </c>
      <c r="AX95" s="26" t="s">
        <v>113</v>
      </c>
      <c r="AY95" s="26" t="s">
        <v>115</v>
      </c>
      <c r="AZ95" s="26" t="s">
        <v>116</v>
      </c>
      <c r="BA95" s="26" t="s">
        <v>376</v>
      </c>
      <c r="BB95" s="26">
        <v>3</v>
      </c>
      <c r="BC95" s="26" t="s">
        <v>184</v>
      </c>
      <c r="BD95" s="26" t="s">
        <v>123</v>
      </c>
      <c r="BE95" s="26" t="s">
        <v>124</v>
      </c>
      <c r="BF95" s="26" t="s">
        <v>116</v>
      </c>
      <c r="BG95" s="26" t="s">
        <v>377</v>
      </c>
      <c r="BH95" s="26">
        <v>2</v>
      </c>
      <c r="BI95" s="26" t="s">
        <v>378</v>
      </c>
      <c r="BJ95" s="26" t="s">
        <v>123</v>
      </c>
      <c r="BK95" s="26" t="s">
        <v>124</v>
      </c>
      <c r="BL95" s="26" t="s">
        <v>116</v>
      </c>
      <c r="BM95" s="26" t="s">
        <v>379</v>
      </c>
      <c r="BN95" s="26">
        <v>3</v>
      </c>
      <c r="BO95" s="31" t="s">
        <v>719</v>
      </c>
      <c r="BP95" s="31" t="s">
        <v>427</v>
      </c>
      <c r="BQ95" s="31"/>
      <c r="BR95" s="31" t="s">
        <v>240</v>
      </c>
      <c r="BS95" s="31">
        <v>7.6028220000000004E-3</v>
      </c>
      <c r="BT95" s="31">
        <v>0.05</v>
      </c>
      <c r="BU95" s="31">
        <v>9.2397177999999996E-2</v>
      </c>
      <c r="BV95" s="31" t="s">
        <v>393</v>
      </c>
      <c r="BW95" s="31">
        <v>7</v>
      </c>
      <c r="BX95" s="31"/>
      <c r="BY95" s="31"/>
      <c r="BZ95" s="31"/>
      <c r="CA95" s="31"/>
      <c r="CB95" s="31"/>
      <c r="CC95" s="31" t="s">
        <v>381</v>
      </c>
      <c r="CD95" s="31"/>
      <c r="CE95" s="31">
        <v>4.2397178000000001E-2</v>
      </c>
    </row>
    <row r="96" spans="1:83" ht="87">
      <c r="A96" s="33">
        <v>14</v>
      </c>
      <c r="B96" s="26" t="s">
        <v>365</v>
      </c>
      <c r="C96" s="26">
        <v>2017</v>
      </c>
      <c r="D96" s="26" t="s">
        <v>366</v>
      </c>
      <c r="E96" s="30">
        <v>44714</v>
      </c>
      <c r="F96" s="31" t="s">
        <v>90</v>
      </c>
      <c r="G96" s="31" t="s">
        <v>360</v>
      </c>
      <c r="H96" s="31"/>
      <c r="I96" s="31" t="s">
        <v>368</v>
      </c>
      <c r="J96" s="26" t="s">
        <v>369</v>
      </c>
      <c r="K96" s="26" t="s">
        <v>97</v>
      </c>
      <c r="L96" s="26" t="s">
        <v>137</v>
      </c>
      <c r="M96" s="26" t="s">
        <v>95</v>
      </c>
      <c r="N96" s="26" t="s">
        <v>370</v>
      </c>
      <c r="O96" s="26" t="s">
        <v>97</v>
      </c>
      <c r="P96" s="26" t="s">
        <v>97</v>
      </c>
      <c r="S96" s="26" t="s">
        <v>90</v>
      </c>
      <c r="T96" s="26" t="s">
        <v>191</v>
      </c>
      <c r="U96" s="26" t="s">
        <v>99</v>
      </c>
      <c r="W96" s="26">
        <v>2</v>
      </c>
      <c r="X96" s="26">
        <v>1</v>
      </c>
      <c r="Y96" s="26" t="s">
        <v>371</v>
      </c>
      <c r="AA96" s="26" t="s">
        <v>319</v>
      </c>
      <c r="AB96" s="26" t="s">
        <v>105</v>
      </c>
      <c r="AC96" s="26" t="s">
        <v>372</v>
      </c>
      <c r="AD96" s="26" t="s">
        <v>373</v>
      </c>
      <c r="AE96" s="26" t="s">
        <v>197</v>
      </c>
      <c r="AF96" s="26">
        <v>4</v>
      </c>
      <c r="AG96" s="26" t="s">
        <v>90</v>
      </c>
      <c r="AH96" s="26" t="s">
        <v>374</v>
      </c>
      <c r="AI96" s="26" t="s">
        <v>150</v>
      </c>
      <c r="AJ96" s="26">
        <v>2</v>
      </c>
      <c r="AK96" s="26" t="s">
        <v>151</v>
      </c>
      <c r="AL96" s="26" t="s">
        <v>97</v>
      </c>
      <c r="AM96" s="26" t="s">
        <v>97</v>
      </c>
      <c r="AN96" s="26" t="s">
        <v>152</v>
      </c>
      <c r="AO96" s="26">
        <v>2</v>
      </c>
      <c r="AP96" s="26" t="s">
        <v>155</v>
      </c>
      <c r="AQ96" s="26" t="s">
        <v>119</v>
      </c>
      <c r="AR96" s="26" t="s">
        <v>114</v>
      </c>
      <c r="AS96" s="26" t="s">
        <v>120</v>
      </c>
      <c r="AT96" s="26" t="s">
        <v>116</v>
      </c>
      <c r="AU96" s="26" t="s">
        <v>375</v>
      </c>
      <c r="AV96" s="26">
        <v>2</v>
      </c>
      <c r="AW96" s="26" t="s">
        <v>184</v>
      </c>
      <c r="AX96" s="26" t="s">
        <v>113</v>
      </c>
      <c r="AY96" s="26" t="s">
        <v>115</v>
      </c>
      <c r="AZ96" s="26" t="s">
        <v>116</v>
      </c>
      <c r="BA96" s="26" t="s">
        <v>376</v>
      </c>
      <c r="BB96" s="26">
        <v>3</v>
      </c>
      <c r="BC96" s="26" t="s">
        <v>184</v>
      </c>
      <c r="BD96" s="26" t="s">
        <v>123</v>
      </c>
      <c r="BE96" s="26" t="s">
        <v>124</v>
      </c>
      <c r="BF96" s="26" t="s">
        <v>116</v>
      </c>
      <c r="BG96" s="26" t="s">
        <v>377</v>
      </c>
      <c r="BH96" s="26">
        <v>2</v>
      </c>
      <c r="BI96" s="26" t="s">
        <v>378</v>
      </c>
      <c r="BJ96" s="26" t="s">
        <v>123</v>
      </c>
      <c r="BK96" s="26" t="s">
        <v>124</v>
      </c>
      <c r="BL96" s="26" t="s">
        <v>116</v>
      </c>
      <c r="BM96" s="26" t="s">
        <v>379</v>
      </c>
      <c r="BN96" s="26">
        <v>3</v>
      </c>
      <c r="BO96" s="31" t="s">
        <v>719</v>
      </c>
      <c r="BP96" s="31" t="s">
        <v>430</v>
      </c>
      <c r="BQ96" s="31"/>
      <c r="BR96" s="31" t="s">
        <v>240</v>
      </c>
      <c r="BS96" s="31">
        <v>5.0911280000000003E-3</v>
      </c>
      <c r="BT96" s="31">
        <v>2.6262626000000001E-2</v>
      </c>
      <c r="BU96" s="31">
        <v>4.7434124000000001E-2</v>
      </c>
      <c r="BV96" s="31" t="s">
        <v>393</v>
      </c>
      <c r="BW96" s="31">
        <v>7</v>
      </c>
      <c r="BX96" s="31"/>
      <c r="BY96" s="31"/>
      <c r="BZ96" s="31"/>
      <c r="CA96" s="31"/>
      <c r="CB96" s="31"/>
      <c r="CC96" s="31" t="s">
        <v>381</v>
      </c>
      <c r="CD96" s="31"/>
      <c r="CE96" s="31">
        <v>2.1171498E-2</v>
      </c>
    </row>
    <row r="97" spans="1:83" ht="87">
      <c r="A97" s="33">
        <v>14</v>
      </c>
      <c r="B97" s="26" t="s">
        <v>365</v>
      </c>
      <c r="C97" s="26">
        <v>2017</v>
      </c>
      <c r="D97" s="26" t="s">
        <v>366</v>
      </c>
      <c r="E97" s="30">
        <v>44714</v>
      </c>
      <c r="F97" s="31" t="s">
        <v>90</v>
      </c>
      <c r="G97" s="31" t="s">
        <v>360</v>
      </c>
      <c r="H97" s="31"/>
      <c r="I97" s="31" t="s">
        <v>368</v>
      </c>
      <c r="J97" s="26" t="s">
        <v>369</v>
      </c>
      <c r="K97" s="26" t="s">
        <v>97</v>
      </c>
      <c r="L97" s="26" t="s">
        <v>137</v>
      </c>
      <c r="M97" s="26" t="s">
        <v>95</v>
      </c>
      <c r="N97" s="26" t="s">
        <v>370</v>
      </c>
      <c r="O97" s="26" t="s">
        <v>97</v>
      </c>
      <c r="P97" s="26" t="s">
        <v>97</v>
      </c>
      <c r="S97" s="26" t="s">
        <v>90</v>
      </c>
      <c r="T97" s="26" t="s">
        <v>191</v>
      </c>
      <c r="U97" s="26" t="s">
        <v>99</v>
      </c>
      <c r="W97" s="26">
        <v>2</v>
      </c>
      <c r="X97" s="26">
        <v>1</v>
      </c>
      <c r="Y97" s="26" t="s">
        <v>371</v>
      </c>
      <c r="AA97" s="26" t="s">
        <v>319</v>
      </c>
      <c r="AB97" s="26" t="s">
        <v>105</v>
      </c>
      <c r="AC97" s="26" t="s">
        <v>372</v>
      </c>
      <c r="AD97" s="26" t="s">
        <v>373</v>
      </c>
      <c r="AE97" s="26" t="s">
        <v>197</v>
      </c>
      <c r="AF97" s="26">
        <v>4</v>
      </c>
      <c r="AG97" s="26" t="s">
        <v>90</v>
      </c>
      <c r="AH97" s="26" t="s">
        <v>374</v>
      </c>
      <c r="AI97" s="26" t="s">
        <v>150</v>
      </c>
      <c r="AJ97" s="26">
        <v>2</v>
      </c>
      <c r="AK97" s="26" t="s">
        <v>151</v>
      </c>
      <c r="AL97" s="26" t="s">
        <v>97</v>
      </c>
      <c r="AM97" s="26" t="s">
        <v>97</v>
      </c>
      <c r="AN97" s="26" t="s">
        <v>152</v>
      </c>
      <c r="AO97" s="26">
        <v>2</v>
      </c>
      <c r="AP97" s="26" t="s">
        <v>155</v>
      </c>
      <c r="AQ97" s="26" t="s">
        <v>119</v>
      </c>
      <c r="AR97" s="26" t="s">
        <v>114</v>
      </c>
      <c r="AS97" s="26" t="s">
        <v>120</v>
      </c>
      <c r="AT97" s="26" t="s">
        <v>116</v>
      </c>
      <c r="AU97" s="26" t="s">
        <v>375</v>
      </c>
      <c r="AV97" s="26">
        <v>2</v>
      </c>
      <c r="AW97" s="26" t="s">
        <v>184</v>
      </c>
      <c r="AX97" s="26" t="s">
        <v>113</v>
      </c>
      <c r="AY97" s="26" t="s">
        <v>115</v>
      </c>
      <c r="AZ97" s="26" t="s">
        <v>116</v>
      </c>
      <c r="BA97" s="26" t="s">
        <v>376</v>
      </c>
      <c r="BB97" s="26">
        <v>3</v>
      </c>
      <c r="BC97" s="26" t="s">
        <v>184</v>
      </c>
      <c r="BD97" s="26" t="s">
        <v>123</v>
      </c>
      <c r="BE97" s="26" t="s">
        <v>124</v>
      </c>
      <c r="BF97" s="26" t="s">
        <v>116</v>
      </c>
      <c r="BG97" s="26" t="s">
        <v>377</v>
      </c>
      <c r="BH97" s="26">
        <v>2</v>
      </c>
      <c r="BI97" s="26" t="s">
        <v>378</v>
      </c>
      <c r="BJ97" s="26" t="s">
        <v>123</v>
      </c>
      <c r="BK97" s="26" t="s">
        <v>124</v>
      </c>
      <c r="BL97" s="26" t="s">
        <v>116</v>
      </c>
      <c r="BM97" s="26" t="s">
        <v>379</v>
      </c>
      <c r="BN97" s="26">
        <v>3</v>
      </c>
      <c r="BO97" s="31" t="s">
        <v>719</v>
      </c>
      <c r="BP97" s="31" t="s">
        <v>725</v>
      </c>
      <c r="BQ97" s="31"/>
      <c r="BR97" s="31" t="s">
        <v>240</v>
      </c>
      <c r="BS97" s="31"/>
      <c r="BT97" s="31"/>
      <c r="BU97" s="31"/>
      <c r="BV97" s="31"/>
      <c r="BW97" s="31"/>
      <c r="BX97" s="31">
        <v>3.4944469999999999E-3</v>
      </c>
      <c r="BY97" s="31">
        <v>1.3961039E-2</v>
      </c>
      <c r="BZ97" s="31">
        <v>2.4427631000000002E-2</v>
      </c>
      <c r="CA97" s="31" t="s">
        <v>393</v>
      </c>
      <c r="CB97" s="31">
        <v>5</v>
      </c>
      <c r="CC97" s="31" t="s">
        <v>381</v>
      </c>
      <c r="CD97" s="31"/>
      <c r="CE97" s="31">
        <v>1.0466592E-2</v>
      </c>
    </row>
    <row r="98" spans="1:83" ht="87">
      <c r="A98" s="33">
        <v>14</v>
      </c>
      <c r="B98" s="26" t="s">
        <v>365</v>
      </c>
      <c r="C98" s="26">
        <v>2017</v>
      </c>
      <c r="D98" s="26" t="s">
        <v>366</v>
      </c>
      <c r="E98" s="30">
        <v>44714</v>
      </c>
      <c r="F98" s="31" t="s">
        <v>90</v>
      </c>
      <c r="G98" s="31" t="s">
        <v>360</v>
      </c>
      <c r="H98" s="31"/>
      <c r="I98" s="31" t="s">
        <v>368</v>
      </c>
      <c r="J98" s="26" t="s">
        <v>369</v>
      </c>
      <c r="K98" s="26" t="s">
        <v>97</v>
      </c>
      <c r="L98" s="26" t="s">
        <v>137</v>
      </c>
      <c r="M98" s="26" t="s">
        <v>95</v>
      </c>
      <c r="N98" s="26" t="s">
        <v>370</v>
      </c>
      <c r="O98" s="26" t="s">
        <v>97</v>
      </c>
      <c r="P98" s="26" t="s">
        <v>97</v>
      </c>
      <c r="S98" s="26" t="s">
        <v>90</v>
      </c>
      <c r="T98" s="26" t="s">
        <v>191</v>
      </c>
      <c r="U98" s="26" t="s">
        <v>99</v>
      </c>
      <c r="W98" s="26">
        <v>2</v>
      </c>
      <c r="X98" s="26">
        <v>1</v>
      </c>
      <c r="Y98" s="26" t="s">
        <v>371</v>
      </c>
      <c r="AA98" s="26" t="s">
        <v>319</v>
      </c>
      <c r="AB98" s="26" t="s">
        <v>105</v>
      </c>
      <c r="AC98" s="26" t="s">
        <v>372</v>
      </c>
      <c r="AD98" s="26" t="s">
        <v>373</v>
      </c>
      <c r="AE98" s="26" t="s">
        <v>197</v>
      </c>
      <c r="AF98" s="26">
        <v>4</v>
      </c>
      <c r="AG98" s="26" t="s">
        <v>90</v>
      </c>
      <c r="AH98" s="26" t="s">
        <v>374</v>
      </c>
      <c r="AI98" s="26" t="s">
        <v>150</v>
      </c>
      <c r="AJ98" s="26">
        <v>2</v>
      </c>
      <c r="AK98" s="26" t="s">
        <v>151</v>
      </c>
      <c r="AL98" s="26" t="s">
        <v>97</v>
      </c>
      <c r="AM98" s="26" t="s">
        <v>97</v>
      </c>
      <c r="AN98" s="26" t="s">
        <v>152</v>
      </c>
      <c r="AO98" s="26">
        <v>2</v>
      </c>
      <c r="AP98" s="26" t="s">
        <v>155</v>
      </c>
      <c r="AQ98" s="26" t="s">
        <v>119</v>
      </c>
      <c r="AR98" s="26" t="s">
        <v>114</v>
      </c>
      <c r="AS98" s="26" t="s">
        <v>120</v>
      </c>
      <c r="AT98" s="26" t="s">
        <v>116</v>
      </c>
      <c r="AU98" s="26" t="s">
        <v>375</v>
      </c>
      <c r="AV98" s="26">
        <v>2</v>
      </c>
      <c r="AW98" s="26" t="s">
        <v>184</v>
      </c>
      <c r="AX98" s="26" t="s">
        <v>113</v>
      </c>
      <c r="AY98" s="26" t="s">
        <v>115</v>
      </c>
      <c r="AZ98" s="26" t="s">
        <v>116</v>
      </c>
      <c r="BA98" s="26" t="s">
        <v>376</v>
      </c>
      <c r="BB98" s="26">
        <v>3</v>
      </c>
      <c r="BC98" s="26" t="s">
        <v>184</v>
      </c>
      <c r="BD98" s="26" t="s">
        <v>123</v>
      </c>
      <c r="BE98" s="26" t="s">
        <v>124</v>
      </c>
      <c r="BF98" s="26" t="s">
        <v>116</v>
      </c>
      <c r="BG98" s="26" t="s">
        <v>377</v>
      </c>
      <c r="BH98" s="26">
        <v>2</v>
      </c>
      <c r="BI98" s="26" t="s">
        <v>378</v>
      </c>
      <c r="BJ98" s="26" t="s">
        <v>123</v>
      </c>
      <c r="BK98" s="26" t="s">
        <v>124</v>
      </c>
      <c r="BL98" s="26" t="s">
        <v>116</v>
      </c>
      <c r="BM98" s="26" t="s">
        <v>379</v>
      </c>
      <c r="BN98" s="26">
        <v>3</v>
      </c>
      <c r="BO98" s="31" t="s">
        <v>719</v>
      </c>
      <c r="BP98" s="31" t="s">
        <v>428</v>
      </c>
      <c r="BQ98" s="31"/>
      <c r="BR98" s="31" t="s">
        <v>240</v>
      </c>
      <c r="BS98" s="31">
        <v>6.8258119000000006E-2</v>
      </c>
      <c r="BT98" s="31">
        <v>0.125324675</v>
      </c>
      <c r="BU98" s="31">
        <v>0.18239123199999999</v>
      </c>
      <c r="BV98" s="31" t="s">
        <v>393</v>
      </c>
      <c r="BW98" s="31">
        <v>7</v>
      </c>
      <c r="BX98" s="31"/>
      <c r="BY98" s="31"/>
      <c r="BZ98" s="31"/>
      <c r="CA98" s="31"/>
      <c r="CB98" s="31"/>
      <c r="CC98" s="31" t="s">
        <v>381</v>
      </c>
      <c r="CD98" s="31"/>
      <c r="CE98" s="31">
        <v>5.7066556999999997E-2</v>
      </c>
    </row>
    <row r="99" spans="1:83" ht="87">
      <c r="A99" s="33">
        <v>14</v>
      </c>
      <c r="B99" s="26" t="s">
        <v>365</v>
      </c>
      <c r="C99" s="26">
        <v>2017</v>
      </c>
      <c r="D99" s="26" t="s">
        <v>366</v>
      </c>
      <c r="E99" s="30">
        <v>44714</v>
      </c>
      <c r="F99" s="31" t="s">
        <v>90</v>
      </c>
      <c r="G99" s="31" t="s">
        <v>360</v>
      </c>
      <c r="H99" s="31"/>
      <c r="I99" s="31" t="s">
        <v>368</v>
      </c>
      <c r="J99" s="26" t="s">
        <v>369</v>
      </c>
      <c r="K99" s="26" t="s">
        <v>97</v>
      </c>
      <c r="L99" s="26" t="s">
        <v>137</v>
      </c>
      <c r="M99" s="26" t="s">
        <v>95</v>
      </c>
      <c r="N99" s="26" t="s">
        <v>370</v>
      </c>
      <c r="O99" s="26" t="s">
        <v>97</v>
      </c>
      <c r="P99" s="26" t="s">
        <v>97</v>
      </c>
      <c r="S99" s="26" t="s">
        <v>90</v>
      </c>
      <c r="T99" s="26" t="s">
        <v>191</v>
      </c>
      <c r="U99" s="26" t="s">
        <v>99</v>
      </c>
      <c r="W99" s="26">
        <v>2</v>
      </c>
      <c r="X99" s="26">
        <v>1</v>
      </c>
      <c r="Y99" s="26" t="s">
        <v>371</v>
      </c>
      <c r="AA99" s="26" t="s">
        <v>319</v>
      </c>
      <c r="AB99" s="26" t="s">
        <v>105</v>
      </c>
      <c r="AC99" s="26" t="s">
        <v>372</v>
      </c>
      <c r="AD99" s="26" t="s">
        <v>373</v>
      </c>
      <c r="AE99" s="26" t="s">
        <v>197</v>
      </c>
      <c r="AF99" s="26">
        <v>4</v>
      </c>
      <c r="AG99" s="26" t="s">
        <v>90</v>
      </c>
      <c r="AH99" s="26" t="s">
        <v>374</v>
      </c>
      <c r="AI99" s="26" t="s">
        <v>150</v>
      </c>
      <c r="AJ99" s="26">
        <v>2</v>
      </c>
      <c r="AK99" s="26" t="s">
        <v>151</v>
      </c>
      <c r="AL99" s="26" t="s">
        <v>97</v>
      </c>
      <c r="AM99" s="26" t="s">
        <v>97</v>
      </c>
      <c r="AN99" s="26" t="s">
        <v>152</v>
      </c>
      <c r="AO99" s="26">
        <v>2</v>
      </c>
      <c r="AP99" s="26" t="s">
        <v>155</v>
      </c>
      <c r="AQ99" s="26" t="s">
        <v>119</v>
      </c>
      <c r="AR99" s="26" t="s">
        <v>114</v>
      </c>
      <c r="AS99" s="26" t="s">
        <v>120</v>
      </c>
      <c r="AT99" s="26" t="s">
        <v>116</v>
      </c>
      <c r="AU99" s="26" t="s">
        <v>375</v>
      </c>
      <c r="AV99" s="26">
        <v>2</v>
      </c>
      <c r="AW99" s="26" t="s">
        <v>184</v>
      </c>
      <c r="AX99" s="26" t="s">
        <v>113</v>
      </c>
      <c r="AY99" s="26" t="s">
        <v>115</v>
      </c>
      <c r="AZ99" s="26" t="s">
        <v>116</v>
      </c>
      <c r="BA99" s="26" t="s">
        <v>376</v>
      </c>
      <c r="BB99" s="26">
        <v>3</v>
      </c>
      <c r="BC99" s="26" t="s">
        <v>184</v>
      </c>
      <c r="BD99" s="26" t="s">
        <v>123</v>
      </c>
      <c r="BE99" s="26" t="s">
        <v>124</v>
      </c>
      <c r="BF99" s="26" t="s">
        <v>116</v>
      </c>
      <c r="BG99" s="26" t="s">
        <v>377</v>
      </c>
      <c r="BH99" s="26">
        <v>2</v>
      </c>
      <c r="BI99" s="26" t="s">
        <v>378</v>
      </c>
      <c r="BJ99" s="26" t="s">
        <v>123</v>
      </c>
      <c r="BK99" s="26" t="s">
        <v>124</v>
      </c>
      <c r="BL99" s="26" t="s">
        <v>116</v>
      </c>
      <c r="BM99" s="26" t="s">
        <v>379</v>
      </c>
      <c r="BN99" s="26">
        <v>3</v>
      </c>
      <c r="BO99" s="31" t="s">
        <v>719</v>
      </c>
      <c r="BP99" s="31" t="s">
        <v>433</v>
      </c>
      <c r="BQ99" s="31"/>
      <c r="BR99" s="31" t="s">
        <v>240</v>
      </c>
      <c r="BS99" s="31">
        <v>-9.3602809999999998E-3</v>
      </c>
      <c r="BT99" s="31">
        <v>2.7840909E-2</v>
      </c>
      <c r="BU99" s="31">
        <v>6.5042100000000005E-2</v>
      </c>
      <c r="BV99" s="31" t="s">
        <v>393</v>
      </c>
      <c r="BW99" s="31">
        <v>7</v>
      </c>
      <c r="BX99" s="31"/>
      <c r="BY99" s="31"/>
      <c r="BZ99" s="31"/>
      <c r="CA99" s="31"/>
      <c r="CB99" s="31"/>
      <c r="CC99" s="31" t="s">
        <v>381</v>
      </c>
      <c r="CD99" s="31"/>
      <c r="CE99" s="31">
        <v>3.7201190000000002E-2</v>
      </c>
    </row>
    <row r="100" spans="1:83" ht="87">
      <c r="A100" s="33">
        <v>14</v>
      </c>
      <c r="B100" s="26" t="s">
        <v>365</v>
      </c>
      <c r="C100" s="26">
        <v>2017</v>
      </c>
      <c r="D100" s="26" t="s">
        <v>366</v>
      </c>
      <c r="E100" s="30">
        <v>44714</v>
      </c>
      <c r="F100" s="31" t="s">
        <v>90</v>
      </c>
      <c r="G100" s="31" t="s">
        <v>360</v>
      </c>
      <c r="H100" s="31"/>
      <c r="I100" s="31" t="s">
        <v>368</v>
      </c>
      <c r="J100" s="26" t="s">
        <v>369</v>
      </c>
      <c r="K100" s="26" t="s">
        <v>97</v>
      </c>
      <c r="L100" s="26" t="s">
        <v>137</v>
      </c>
      <c r="M100" s="26" t="s">
        <v>95</v>
      </c>
      <c r="N100" s="26" t="s">
        <v>370</v>
      </c>
      <c r="O100" s="26" t="s">
        <v>97</v>
      </c>
      <c r="P100" s="26" t="s">
        <v>97</v>
      </c>
      <c r="S100" s="26" t="s">
        <v>90</v>
      </c>
      <c r="T100" s="26" t="s">
        <v>191</v>
      </c>
      <c r="U100" s="26" t="s">
        <v>99</v>
      </c>
      <c r="W100" s="26">
        <v>2</v>
      </c>
      <c r="X100" s="26">
        <v>1</v>
      </c>
      <c r="Y100" s="26" t="s">
        <v>371</v>
      </c>
      <c r="AA100" s="26" t="s">
        <v>319</v>
      </c>
      <c r="AB100" s="26" t="s">
        <v>105</v>
      </c>
      <c r="AC100" s="26" t="s">
        <v>372</v>
      </c>
      <c r="AD100" s="26" t="s">
        <v>373</v>
      </c>
      <c r="AE100" s="26" t="s">
        <v>197</v>
      </c>
      <c r="AF100" s="26">
        <v>4</v>
      </c>
      <c r="AG100" s="26" t="s">
        <v>90</v>
      </c>
      <c r="AH100" s="26" t="s">
        <v>374</v>
      </c>
      <c r="AI100" s="26" t="s">
        <v>150</v>
      </c>
      <c r="AJ100" s="26">
        <v>2</v>
      </c>
      <c r="AK100" s="26" t="s">
        <v>151</v>
      </c>
      <c r="AL100" s="26" t="s">
        <v>97</v>
      </c>
      <c r="AM100" s="26" t="s">
        <v>97</v>
      </c>
      <c r="AN100" s="26" t="s">
        <v>152</v>
      </c>
      <c r="AO100" s="26">
        <v>2</v>
      </c>
      <c r="AP100" s="26" t="s">
        <v>155</v>
      </c>
      <c r="AQ100" s="26" t="s">
        <v>119</v>
      </c>
      <c r="AR100" s="26" t="s">
        <v>114</v>
      </c>
      <c r="AS100" s="26" t="s">
        <v>120</v>
      </c>
      <c r="AT100" s="26" t="s">
        <v>116</v>
      </c>
      <c r="AU100" s="26" t="s">
        <v>375</v>
      </c>
      <c r="AV100" s="26">
        <v>2</v>
      </c>
      <c r="AW100" s="26" t="s">
        <v>184</v>
      </c>
      <c r="AX100" s="26" t="s">
        <v>113</v>
      </c>
      <c r="AY100" s="26" t="s">
        <v>115</v>
      </c>
      <c r="AZ100" s="26" t="s">
        <v>116</v>
      </c>
      <c r="BA100" s="26" t="s">
        <v>376</v>
      </c>
      <c r="BB100" s="26">
        <v>3</v>
      </c>
      <c r="BC100" s="26" t="s">
        <v>184</v>
      </c>
      <c r="BD100" s="26" t="s">
        <v>123</v>
      </c>
      <c r="BE100" s="26" t="s">
        <v>124</v>
      </c>
      <c r="BF100" s="26" t="s">
        <v>116</v>
      </c>
      <c r="BG100" s="26" t="s">
        <v>377</v>
      </c>
      <c r="BH100" s="26">
        <v>2</v>
      </c>
      <c r="BI100" s="26" t="s">
        <v>378</v>
      </c>
      <c r="BJ100" s="26" t="s">
        <v>123</v>
      </c>
      <c r="BK100" s="26" t="s">
        <v>124</v>
      </c>
      <c r="BL100" s="26" t="s">
        <v>116</v>
      </c>
      <c r="BM100" s="26" t="s">
        <v>379</v>
      </c>
      <c r="BN100" s="26">
        <v>3</v>
      </c>
      <c r="BO100" s="31" t="s">
        <v>719</v>
      </c>
      <c r="BP100" s="31" t="s">
        <v>431</v>
      </c>
      <c r="BQ100" s="31"/>
      <c r="BR100" s="31" t="s">
        <v>240</v>
      </c>
      <c r="BS100" s="31">
        <v>-3.583592E-3</v>
      </c>
      <c r="BT100" s="31">
        <v>3.8311688000000003E-2</v>
      </c>
      <c r="BU100" s="31">
        <v>8.0206968000000003E-2</v>
      </c>
      <c r="BV100" s="31" t="s">
        <v>393</v>
      </c>
      <c r="BW100" s="31">
        <v>7</v>
      </c>
      <c r="BX100" s="31"/>
      <c r="BY100" s="31"/>
      <c r="BZ100" s="31"/>
      <c r="CA100" s="31"/>
      <c r="CB100" s="31"/>
      <c r="CC100" s="31" t="s">
        <v>381</v>
      </c>
      <c r="CD100" s="31"/>
      <c r="CE100" s="31">
        <v>4.189528E-2</v>
      </c>
    </row>
    <row r="101" spans="1:83" ht="87">
      <c r="A101" s="33">
        <v>14</v>
      </c>
      <c r="B101" s="26" t="s">
        <v>365</v>
      </c>
      <c r="C101" s="26">
        <v>2017</v>
      </c>
      <c r="D101" s="26" t="s">
        <v>366</v>
      </c>
      <c r="E101" s="30">
        <v>44714</v>
      </c>
      <c r="F101" s="31" t="s">
        <v>90</v>
      </c>
      <c r="G101" s="31" t="s">
        <v>360</v>
      </c>
      <c r="H101" s="31"/>
      <c r="I101" s="31" t="s">
        <v>368</v>
      </c>
      <c r="J101" s="26" t="s">
        <v>369</v>
      </c>
      <c r="K101" s="26" t="s">
        <v>97</v>
      </c>
      <c r="L101" s="26" t="s">
        <v>137</v>
      </c>
      <c r="M101" s="26" t="s">
        <v>95</v>
      </c>
      <c r="N101" s="26" t="s">
        <v>370</v>
      </c>
      <c r="O101" s="26" t="s">
        <v>97</v>
      </c>
      <c r="P101" s="26" t="s">
        <v>97</v>
      </c>
      <c r="S101" s="26" t="s">
        <v>90</v>
      </c>
      <c r="T101" s="26" t="s">
        <v>191</v>
      </c>
      <c r="U101" s="26" t="s">
        <v>99</v>
      </c>
      <c r="W101" s="26">
        <v>2</v>
      </c>
      <c r="X101" s="26">
        <v>1</v>
      </c>
      <c r="Y101" s="26" t="s">
        <v>371</v>
      </c>
      <c r="AA101" s="26" t="s">
        <v>319</v>
      </c>
      <c r="AB101" s="26" t="s">
        <v>105</v>
      </c>
      <c r="AC101" s="26" t="s">
        <v>372</v>
      </c>
      <c r="AD101" s="26" t="s">
        <v>373</v>
      </c>
      <c r="AE101" s="26" t="s">
        <v>197</v>
      </c>
      <c r="AF101" s="26">
        <v>4</v>
      </c>
      <c r="AG101" s="26" t="s">
        <v>90</v>
      </c>
      <c r="AH101" s="26" t="s">
        <v>374</v>
      </c>
      <c r="AI101" s="26" t="s">
        <v>150</v>
      </c>
      <c r="AJ101" s="26">
        <v>2</v>
      </c>
      <c r="AK101" s="26" t="s">
        <v>151</v>
      </c>
      <c r="AL101" s="26" t="s">
        <v>97</v>
      </c>
      <c r="AM101" s="26" t="s">
        <v>97</v>
      </c>
      <c r="AN101" s="26" t="s">
        <v>152</v>
      </c>
      <c r="AO101" s="26">
        <v>2</v>
      </c>
      <c r="AP101" s="26" t="s">
        <v>155</v>
      </c>
      <c r="AQ101" s="26" t="s">
        <v>119</v>
      </c>
      <c r="AR101" s="26" t="s">
        <v>114</v>
      </c>
      <c r="AS101" s="26" t="s">
        <v>120</v>
      </c>
      <c r="AT101" s="26" t="s">
        <v>116</v>
      </c>
      <c r="AU101" s="26" t="s">
        <v>375</v>
      </c>
      <c r="AV101" s="26">
        <v>2</v>
      </c>
      <c r="AW101" s="26" t="s">
        <v>184</v>
      </c>
      <c r="AX101" s="26" t="s">
        <v>113</v>
      </c>
      <c r="AY101" s="26" t="s">
        <v>115</v>
      </c>
      <c r="AZ101" s="26" t="s">
        <v>116</v>
      </c>
      <c r="BA101" s="26" t="s">
        <v>376</v>
      </c>
      <c r="BB101" s="26">
        <v>3</v>
      </c>
      <c r="BC101" s="26" t="s">
        <v>184</v>
      </c>
      <c r="BD101" s="26" t="s">
        <v>123</v>
      </c>
      <c r="BE101" s="26" t="s">
        <v>124</v>
      </c>
      <c r="BF101" s="26" t="s">
        <v>116</v>
      </c>
      <c r="BG101" s="26" t="s">
        <v>377</v>
      </c>
      <c r="BH101" s="26">
        <v>2</v>
      </c>
      <c r="BI101" s="26" t="s">
        <v>378</v>
      </c>
      <c r="BJ101" s="26" t="s">
        <v>123</v>
      </c>
      <c r="BK101" s="26" t="s">
        <v>124</v>
      </c>
      <c r="BL101" s="26" t="s">
        <v>116</v>
      </c>
      <c r="BM101" s="26" t="s">
        <v>379</v>
      </c>
      <c r="BN101" s="26">
        <v>3</v>
      </c>
      <c r="BO101" s="31" t="s">
        <v>719</v>
      </c>
      <c r="BP101" s="31" t="s">
        <v>434</v>
      </c>
      <c r="BQ101" s="31"/>
      <c r="BR101" s="31" t="s">
        <v>240</v>
      </c>
      <c r="BS101" s="31">
        <v>-1.6355359999999999E-2</v>
      </c>
      <c r="BT101" s="31">
        <v>3.7727272999999999E-2</v>
      </c>
      <c r="BU101" s="31">
        <v>9.1809904999999997E-2</v>
      </c>
      <c r="BV101" s="31" t="s">
        <v>393</v>
      </c>
      <c r="BW101" s="31">
        <v>7</v>
      </c>
      <c r="BX101" s="31"/>
      <c r="BY101" s="31"/>
      <c r="BZ101" s="31"/>
      <c r="CA101" s="31"/>
      <c r="CB101" s="31"/>
      <c r="CC101" s="31" t="s">
        <v>381</v>
      </c>
      <c r="CD101" s="31"/>
      <c r="CE101" s="31">
        <v>5.4082631999999999E-2</v>
      </c>
    </row>
    <row r="102" spans="1:83" ht="87">
      <c r="A102" s="33">
        <v>14</v>
      </c>
      <c r="B102" s="26" t="s">
        <v>365</v>
      </c>
      <c r="C102" s="26">
        <v>2017</v>
      </c>
      <c r="D102" s="26" t="s">
        <v>366</v>
      </c>
      <c r="E102" s="30">
        <v>44714</v>
      </c>
      <c r="F102" s="31" t="s">
        <v>90</v>
      </c>
      <c r="G102" s="31" t="s">
        <v>360</v>
      </c>
      <c r="H102" s="31"/>
      <c r="I102" s="31" t="s">
        <v>368</v>
      </c>
      <c r="J102" s="26" t="s">
        <v>369</v>
      </c>
      <c r="K102" s="26" t="s">
        <v>97</v>
      </c>
      <c r="L102" s="26" t="s">
        <v>137</v>
      </c>
      <c r="M102" s="26" t="s">
        <v>95</v>
      </c>
      <c r="N102" s="26" t="s">
        <v>370</v>
      </c>
      <c r="O102" s="26" t="s">
        <v>97</v>
      </c>
      <c r="P102" s="26" t="s">
        <v>97</v>
      </c>
      <c r="S102" s="26" t="s">
        <v>90</v>
      </c>
      <c r="T102" s="26" t="s">
        <v>191</v>
      </c>
      <c r="U102" s="26" t="s">
        <v>99</v>
      </c>
      <c r="W102" s="26">
        <v>2</v>
      </c>
      <c r="X102" s="26">
        <v>1</v>
      </c>
      <c r="Y102" s="26" t="s">
        <v>371</v>
      </c>
      <c r="AA102" s="26" t="s">
        <v>319</v>
      </c>
      <c r="AB102" s="26" t="s">
        <v>105</v>
      </c>
      <c r="AC102" s="26" t="s">
        <v>372</v>
      </c>
      <c r="AD102" s="26" t="s">
        <v>373</v>
      </c>
      <c r="AE102" s="26" t="s">
        <v>197</v>
      </c>
      <c r="AF102" s="26">
        <v>4</v>
      </c>
      <c r="AG102" s="26" t="s">
        <v>90</v>
      </c>
      <c r="AH102" s="26" t="s">
        <v>374</v>
      </c>
      <c r="AI102" s="26" t="s">
        <v>150</v>
      </c>
      <c r="AJ102" s="26">
        <v>2</v>
      </c>
      <c r="AK102" s="26" t="s">
        <v>151</v>
      </c>
      <c r="AL102" s="26" t="s">
        <v>97</v>
      </c>
      <c r="AM102" s="26" t="s">
        <v>97</v>
      </c>
      <c r="AN102" s="26" t="s">
        <v>152</v>
      </c>
      <c r="AO102" s="26">
        <v>2</v>
      </c>
      <c r="AP102" s="26" t="s">
        <v>155</v>
      </c>
      <c r="AQ102" s="26" t="s">
        <v>119</v>
      </c>
      <c r="AR102" s="26" t="s">
        <v>114</v>
      </c>
      <c r="AS102" s="26" t="s">
        <v>120</v>
      </c>
      <c r="AT102" s="26" t="s">
        <v>116</v>
      </c>
      <c r="AU102" s="26" t="s">
        <v>375</v>
      </c>
      <c r="AV102" s="26">
        <v>2</v>
      </c>
      <c r="AW102" s="26" t="s">
        <v>184</v>
      </c>
      <c r="AX102" s="26" t="s">
        <v>113</v>
      </c>
      <c r="AY102" s="26" t="s">
        <v>115</v>
      </c>
      <c r="AZ102" s="26" t="s">
        <v>116</v>
      </c>
      <c r="BA102" s="26" t="s">
        <v>376</v>
      </c>
      <c r="BB102" s="26">
        <v>3</v>
      </c>
      <c r="BC102" s="26" t="s">
        <v>184</v>
      </c>
      <c r="BD102" s="26" t="s">
        <v>123</v>
      </c>
      <c r="BE102" s="26" t="s">
        <v>124</v>
      </c>
      <c r="BF102" s="26" t="s">
        <v>116</v>
      </c>
      <c r="BG102" s="26" t="s">
        <v>377</v>
      </c>
      <c r="BH102" s="26">
        <v>2</v>
      </c>
      <c r="BI102" s="26" t="s">
        <v>378</v>
      </c>
      <c r="BJ102" s="26" t="s">
        <v>123</v>
      </c>
      <c r="BK102" s="26" t="s">
        <v>124</v>
      </c>
      <c r="BL102" s="26" t="s">
        <v>116</v>
      </c>
      <c r="BM102" s="26" t="s">
        <v>379</v>
      </c>
      <c r="BN102" s="26">
        <v>3</v>
      </c>
      <c r="BO102" s="31" t="s">
        <v>719</v>
      </c>
      <c r="BP102" s="31" t="s">
        <v>429</v>
      </c>
      <c r="BQ102" s="31"/>
      <c r="BR102" s="31" t="s">
        <v>240</v>
      </c>
      <c r="BS102" s="31">
        <v>8.9255649999999999E-3</v>
      </c>
      <c r="BT102" s="31">
        <v>3.9610390000000002E-2</v>
      </c>
      <c r="BU102" s="31">
        <v>7.0295213999999995E-2</v>
      </c>
      <c r="BV102" s="31" t="s">
        <v>393</v>
      </c>
      <c r="BW102" s="31">
        <v>7</v>
      </c>
      <c r="BX102" s="31"/>
      <c r="BY102" s="31"/>
      <c r="BZ102" s="31"/>
      <c r="CA102" s="31"/>
      <c r="CB102" s="31"/>
      <c r="CC102" s="31" t="s">
        <v>381</v>
      </c>
      <c r="CD102" s="31"/>
      <c r="CE102" s="31">
        <v>3.0684823999999999E-2</v>
      </c>
    </row>
    <row r="103" spans="1:83" ht="87">
      <c r="A103" s="33">
        <v>14</v>
      </c>
      <c r="B103" s="26" t="s">
        <v>365</v>
      </c>
      <c r="C103" s="26">
        <v>2017</v>
      </c>
      <c r="D103" s="26" t="s">
        <v>366</v>
      </c>
      <c r="E103" s="30">
        <v>44714</v>
      </c>
      <c r="F103" s="31" t="s">
        <v>90</v>
      </c>
      <c r="G103" s="31" t="s">
        <v>360</v>
      </c>
      <c r="H103" s="31"/>
      <c r="I103" s="31" t="s">
        <v>368</v>
      </c>
      <c r="J103" s="26" t="s">
        <v>369</v>
      </c>
      <c r="K103" s="26" t="s">
        <v>97</v>
      </c>
      <c r="L103" s="26" t="s">
        <v>137</v>
      </c>
      <c r="M103" s="26" t="s">
        <v>95</v>
      </c>
      <c r="N103" s="26" t="s">
        <v>370</v>
      </c>
      <c r="O103" s="26" t="s">
        <v>97</v>
      </c>
      <c r="P103" s="26" t="s">
        <v>97</v>
      </c>
      <c r="S103" s="26" t="s">
        <v>90</v>
      </c>
      <c r="T103" s="26" t="s">
        <v>191</v>
      </c>
      <c r="U103" s="26" t="s">
        <v>99</v>
      </c>
      <c r="W103" s="26">
        <v>2</v>
      </c>
      <c r="X103" s="26">
        <v>1</v>
      </c>
      <c r="Y103" s="26" t="s">
        <v>371</v>
      </c>
      <c r="AA103" s="26" t="s">
        <v>319</v>
      </c>
      <c r="AB103" s="26" t="s">
        <v>105</v>
      </c>
      <c r="AC103" s="26" t="s">
        <v>372</v>
      </c>
      <c r="AD103" s="26" t="s">
        <v>373</v>
      </c>
      <c r="AE103" s="26" t="s">
        <v>197</v>
      </c>
      <c r="AF103" s="26">
        <v>4</v>
      </c>
      <c r="AG103" s="26" t="s">
        <v>90</v>
      </c>
      <c r="AH103" s="26" t="s">
        <v>374</v>
      </c>
      <c r="AI103" s="26" t="s">
        <v>150</v>
      </c>
      <c r="AJ103" s="26">
        <v>2</v>
      </c>
      <c r="AK103" s="26" t="s">
        <v>151</v>
      </c>
      <c r="AL103" s="26" t="s">
        <v>97</v>
      </c>
      <c r="AM103" s="26" t="s">
        <v>97</v>
      </c>
      <c r="AN103" s="26" t="s">
        <v>152</v>
      </c>
      <c r="AO103" s="26">
        <v>2</v>
      </c>
      <c r="AP103" s="26" t="s">
        <v>155</v>
      </c>
      <c r="AQ103" s="26" t="s">
        <v>119</v>
      </c>
      <c r="AR103" s="26" t="s">
        <v>114</v>
      </c>
      <c r="AS103" s="26" t="s">
        <v>120</v>
      </c>
      <c r="AT103" s="26" t="s">
        <v>116</v>
      </c>
      <c r="AU103" s="26" t="s">
        <v>375</v>
      </c>
      <c r="AV103" s="26">
        <v>2</v>
      </c>
      <c r="AW103" s="26" t="s">
        <v>184</v>
      </c>
      <c r="AX103" s="26" t="s">
        <v>113</v>
      </c>
      <c r="AY103" s="26" t="s">
        <v>115</v>
      </c>
      <c r="AZ103" s="26" t="s">
        <v>116</v>
      </c>
      <c r="BA103" s="26" t="s">
        <v>376</v>
      </c>
      <c r="BB103" s="26">
        <v>3</v>
      </c>
      <c r="BC103" s="26" t="s">
        <v>184</v>
      </c>
      <c r="BD103" s="26" t="s">
        <v>123</v>
      </c>
      <c r="BE103" s="26" t="s">
        <v>124</v>
      </c>
      <c r="BF103" s="26" t="s">
        <v>116</v>
      </c>
      <c r="BG103" s="26" t="s">
        <v>377</v>
      </c>
      <c r="BH103" s="26">
        <v>2</v>
      </c>
      <c r="BI103" s="26" t="s">
        <v>378</v>
      </c>
      <c r="BJ103" s="26" t="s">
        <v>123</v>
      </c>
      <c r="BK103" s="26" t="s">
        <v>124</v>
      </c>
      <c r="BL103" s="26" t="s">
        <v>116</v>
      </c>
      <c r="BM103" s="26" t="s">
        <v>379</v>
      </c>
      <c r="BN103" s="26">
        <v>3</v>
      </c>
      <c r="BO103" s="31" t="s">
        <v>719</v>
      </c>
      <c r="BP103" s="31" t="s">
        <v>435</v>
      </c>
      <c r="BQ103" s="31"/>
      <c r="BR103" s="31" t="s">
        <v>240</v>
      </c>
      <c r="BS103" s="31">
        <v>-7.5484150000000002E-3</v>
      </c>
      <c r="BT103" s="31">
        <v>1.0909090999999999E-2</v>
      </c>
      <c r="BU103" s="31">
        <v>2.9366597000000001E-2</v>
      </c>
      <c r="BV103" s="31" t="s">
        <v>393</v>
      </c>
      <c r="BW103" s="31">
        <v>7</v>
      </c>
      <c r="BX103" s="31"/>
      <c r="BY103" s="31"/>
      <c r="BZ103" s="31"/>
      <c r="CA103" s="31"/>
      <c r="CB103" s="31"/>
      <c r="CC103" s="31" t="s">
        <v>381</v>
      </c>
      <c r="CD103" s="31"/>
      <c r="CE103" s="31">
        <v>1.8457505999999999E-2</v>
      </c>
    </row>
    <row r="104" spans="1:83" ht="87">
      <c r="A104" s="33">
        <v>14</v>
      </c>
      <c r="B104" s="26" t="s">
        <v>365</v>
      </c>
      <c r="C104" s="26">
        <v>2017</v>
      </c>
      <c r="D104" s="26" t="s">
        <v>366</v>
      </c>
      <c r="E104" s="30">
        <v>44714</v>
      </c>
      <c r="F104" s="31" t="s">
        <v>90</v>
      </c>
      <c r="G104" s="31" t="s">
        <v>360</v>
      </c>
      <c r="H104" s="31"/>
      <c r="I104" s="31" t="s">
        <v>368</v>
      </c>
      <c r="J104" s="26" t="s">
        <v>369</v>
      </c>
      <c r="K104" s="26" t="s">
        <v>97</v>
      </c>
      <c r="L104" s="26" t="s">
        <v>137</v>
      </c>
      <c r="M104" s="26" t="s">
        <v>95</v>
      </c>
      <c r="N104" s="26" t="s">
        <v>370</v>
      </c>
      <c r="O104" s="26" t="s">
        <v>97</v>
      </c>
      <c r="P104" s="26" t="s">
        <v>97</v>
      </c>
      <c r="S104" s="26" t="s">
        <v>90</v>
      </c>
      <c r="T104" s="26" t="s">
        <v>191</v>
      </c>
      <c r="U104" s="26" t="s">
        <v>99</v>
      </c>
      <c r="W104" s="26">
        <v>2</v>
      </c>
      <c r="X104" s="26">
        <v>1</v>
      </c>
      <c r="Y104" s="26" t="s">
        <v>371</v>
      </c>
      <c r="AA104" s="26" t="s">
        <v>319</v>
      </c>
      <c r="AB104" s="26" t="s">
        <v>105</v>
      </c>
      <c r="AC104" s="26" t="s">
        <v>372</v>
      </c>
      <c r="AD104" s="26" t="s">
        <v>373</v>
      </c>
      <c r="AE104" s="26" t="s">
        <v>197</v>
      </c>
      <c r="AF104" s="26">
        <v>4</v>
      </c>
      <c r="AG104" s="26" t="s">
        <v>90</v>
      </c>
      <c r="AH104" s="26" t="s">
        <v>374</v>
      </c>
      <c r="AI104" s="26" t="s">
        <v>150</v>
      </c>
      <c r="AJ104" s="26">
        <v>2</v>
      </c>
      <c r="AK104" s="26" t="s">
        <v>151</v>
      </c>
      <c r="AL104" s="26" t="s">
        <v>97</v>
      </c>
      <c r="AM104" s="26" t="s">
        <v>97</v>
      </c>
      <c r="AN104" s="26" t="s">
        <v>152</v>
      </c>
      <c r="AO104" s="26">
        <v>2</v>
      </c>
      <c r="AP104" s="26" t="s">
        <v>155</v>
      </c>
      <c r="AQ104" s="26" t="s">
        <v>119</v>
      </c>
      <c r="AR104" s="26" t="s">
        <v>114</v>
      </c>
      <c r="AS104" s="26" t="s">
        <v>120</v>
      </c>
      <c r="AT104" s="26" t="s">
        <v>116</v>
      </c>
      <c r="AU104" s="26" t="s">
        <v>375</v>
      </c>
      <c r="AV104" s="26">
        <v>2</v>
      </c>
      <c r="AW104" s="26" t="s">
        <v>184</v>
      </c>
      <c r="AX104" s="26" t="s">
        <v>113</v>
      </c>
      <c r="AY104" s="26" t="s">
        <v>115</v>
      </c>
      <c r="AZ104" s="26" t="s">
        <v>116</v>
      </c>
      <c r="BA104" s="26" t="s">
        <v>376</v>
      </c>
      <c r="BB104" s="26">
        <v>3</v>
      </c>
      <c r="BC104" s="26" t="s">
        <v>184</v>
      </c>
      <c r="BD104" s="26" t="s">
        <v>123</v>
      </c>
      <c r="BE104" s="26" t="s">
        <v>124</v>
      </c>
      <c r="BF104" s="26" t="s">
        <v>116</v>
      </c>
      <c r="BG104" s="26" t="s">
        <v>377</v>
      </c>
      <c r="BH104" s="26">
        <v>2</v>
      </c>
      <c r="BI104" s="26" t="s">
        <v>378</v>
      </c>
      <c r="BJ104" s="26" t="s">
        <v>123</v>
      </c>
      <c r="BK104" s="26" t="s">
        <v>124</v>
      </c>
      <c r="BL104" s="26" t="s">
        <v>116</v>
      </c>
      <c r="BM104" s="26" t="s">
        <v>379</v>
      </c>
      <c r="BN104" s="26">
        <v>3</v>
      </c>
      <c r="BO104" s="31" t="s">
        <v>719</v>
      </c>
      <c r="BP104" s="31" t="s">
        <v>432</v>
      </c>
      <c r="BQ104" s="31"/>
      <c r="BR104" s="31" t="s">
        <v>240</v>
      </c>
      <c r="BS104" s="31">
        <v>-2.0089579999999999E-3</v>
      </c>
      <c r="BT104" s="31">
        <v>3.4848484999999998E-2</v>
      </c>
      <c r="BU104" s="31">
        <v>7.1705927000000003E-2</v>
      </c>
      <c r="BV104" s="31" t="s">
        <v>393</v>
      </c>
      <c r="BW104" s="31">
        <v>7</v>
      </c>
      <c r="BX104" s="31"/>
      <c r="BY104" s="31"/>
      <c r="BZ104" s="31"/>
      <c r="CA104" s="31"/>
      <c r="CB104" s="31"/>
      <c r="CC104" s="31" t="s">
        <v>381</v>
      </c>
      <c r="CD104" s="31"/>
      <c r="CE104" s="31">
        <v>3.6857442999999997E-2</v>
      </c>
    </row>
    <row r="105" spans="1:83" ht="101.5">
      <c r="A105" s="33">
        <v>14</v>
      </c>
      <c r="B105" s="26" t="s">
        <v>436</v>
      </c>
      <c r="C105" s="26">
        <v>2017</v>
      </c>
      <c r="D105" s="26" t="s">
        <v>437</v>
      </c>
      <c r="E105" s="30">
        <v>44707</v>
      </c>
      <c r="F105" s="31" t="s">
        <v>90</v>
      </c>
      <c r="G105" s="31" t="s">
        <v>360</v>
      </c>
      <c r="H105" s="31"/>
      <c r="I105" s="31" t="s">
        <v>368</v>
      </c>
      <c r="J105" s="26" t="s">
        <v>438</v>
      </c>
      <c r="K105" s="26" t="s">
        <v>97</v>
      </c>
      <c r="L105" s="26" t="s">
        <v>137</v>
      </c>
      <c r="M105" s="26" t="s">
        <v>138</v>
      </c>
      <c r="N105" s="26" t="s">
        <v>439</v>
      </c>
      <c r="O105" s="26" t="s">
        <v>97</v>
      </c>
      <c r="P105" s="26" t="s">
        <v>97</v>
      </c>
      <c r="S105" s="26" t="s">
        <v>90</v>
      </c>
      <c r="T105" s="26" t="s">
        <v>141</v>
      </c>
      <c r="U105" s="26" t="s">
        <v>99</v>
      </c>
      <c r="W105" s="26">
        <v>2</v>
      </c>
      <c r="X105" s="26">
        <v>1</v>
      </c>
      <c r="Y105" s="26" t="s">
        <v>102</v>
      </c>
      <c r="Z105" s="26">
        <v>1</v>
      </c>
      <c r="AA105" s="26" t="s">
        <v>440</v>
      </c>
      <c r="AB105" s="26" t="s">
        <v>105</v>
      </c>
      <c r="AC105" s="26" t="s">
        <v>441</v>
      </c>
      <c r="AD105" s="26" t="s">
        <v>442</v>
      </c>
      <c r="AE105" s="26" t="s">
        <v>148</v>
      </c>
      <c r="AF105" s="26">
        <v>2</v>
      </c>
      <c r="AG105" s="26" t="s">
        <v>97</v>
      </c>
      <c r="AH105" s="26" t="s">
        <v>443</v>
      </c>
      <c r="AI105" s="26" t="s">
        <v>150</v>
      </c>
      <c r="AJ105" s="26">
        <v>2</v>
      </c>
      <c r="AK105" s="26" t="s">
        <v>151</v>
      </c>
      <c r="AL105" s="26" t="s">
        <v>97</v>
      </c>
      <c r="AM105" s="26" t="s">
        <v>97</v>
      </c>
      <c r="AN105" s="26" t="s">
        <v>444</v>
      </c>
      <c r="AO105" s="26">
        <v>2</v>
      </c>
      <c r="AP105" s="26" t="s">
        <v>122</v>
      </c>
      <c r="AQ105" s="26" t="s">
        <v>123</v>
      </c>
      <c r="AR105" s="26" t="s">
        <v>114</v>
      </c>
      <c r="AS105" s="26" t="s">
        <v>124</v>
      </c>
      <c r="AT105" s="26" t="s">
        <v>116</v>
      </c>
      <c r="AU105" s="26" t="s">
        <v>445</v>
      </c>
      <c r="AV105" s="26">
        <v>2</v>
      </c>
      <c r="AW105" s="26" t="s">
        <v>290</v>
      </c>
      <c r="AX105" s="26" t="s">
        <v>119</v>
      </c>
      <c r="AY105" s="26" t="s">
        <v>120</v>
      </c>
      <c r="AZ105" s="26" t="s">
        <v>116</v>
      </c>
      <c r="BA105" s="26" t="s">
        <v>446</v>
      </c>
      <c r="BB105" s="26">
        <v>2</v>
      </c>
      <c r="BO105" s="31" t="s">
        <v>726</v>
      </c>
      <c r="BP105" s="31" t="s">
        <v>447</v>
      </c>
      <c r="BQ105" s="31"/>
      <c r="BR105" s="31" t="s">
        <v>448</v>
      </c>
      <c r="BS105" s="31">
        <v>8.0839999999999996</v>
      </c>
      <c r="BT105" s="31">
        <v>15.747</v>
      </c>
      <c r="BU105" s="31">
        <v>23.747</v>
      </c>
      <c r="BV105" s="31" t="s">
        <v>129</v>
      </c>
      <c r="BW105" s="31">
        <v>5</v>
      </c>
      <c r="BX105" s="31">
        <v>20.379000000000001</v>
      </c>
      <c r="BY105" s="31">
        <v>31.158000000000001</v>
      </c>
      <c r="BZ105" s="31">
        <v>42.189</v>
      </c>
      <c r="CA105" s="31" t="s">
        <v>129</v>
      </c>
      <c r="CB105" s="31">
        <v>10</v>
      </c>
      <c r="CC105" s="31" t="s">
        <v>449</v>
      </c>
      <c r="CD105" s="31" t="s">
        <v>450</v>
      </c>
      <c r="CE105" s="31" t="s">
        <v>451</v>
      </c>
    </row>
    <row r="106" spans="1:83" ht="101.5">
      <c r="A106" s="33">
        <v>14</v>
      </c>
      <c r="B106" s="26" t="s">
        <v>436</v>
      </c>
      <c r="C106" s="26">
        <v>2017</v>
      </c>
      <c r="D106" s="26" t="s">
        <v>437</v>
      </c>
      <c r="E106" s="30">
        <v>44707</v>
      </c>
      <c r="F106" s="31" t="s">
        <v>90</v>
      </c>
      <c r="G106" s="31" t="s">
        <v>360</v>
      </c>
      <c r="H106" s="31"/>
      <c r="I106" s="31" t="s">
        <v>368</v>
      </c>
      <c r="J106" s="26" t="s">
        <v>438</v>
      </c>
      <c r="K106" s="26" t="s">
        <v>97</v>
      </c>
      <c r="L106" s="26" t="s">
        <v>137</v>
      </c>
      <c r="M106" s="26" t="s">
        <v>138</v>
      </c>
      <c r="N106" s="26" t="s">
        <v>439</v>
      </c>
      <c r="O106" s="26" t="s">
        <v>97</v>
      </c>
      <c r="P106" s="26" t="s">
        <v>97</v>
      </c>
      <c r="S106" s="26" t="s">
        <v>90</v>
      </c>
      <c r="T106" s="26" t="s">
        <v>141</v>
      </c>
      <c r="U106" s="26" t="s">
        <v>99</v>
      </c>
      <c r="W106" s="26">
        <v>2</v>
      </c>
      <c r="X106" s="26">
        <v>1</v>
      </c>
      <c r="Y106" s="26" t="s">
        <v>102</v>
      </c>
      <c r="Z106" s="26">
        <v>1</v>
      </c>
      <c r="AA106" s="26" t="s">
        <v>440</v>
      </c>
      <c r="AB106" s="26" t="s">
        <v>105</v>
      </c>
      <c r="AC106" s="26" t="s">
        <v>441</v>
      </c>
      <c r="AD106" s="26" t="s">
        <v>442</v>
      </c>
      <c r="AE106" s="26" t="s">
        <v>148</v>
      </c>
      <c r="AF106" s="26">
        <v>2</v>
      </c>
      <c r="AG106" s="26" t="s">
        <v>97</v>
      </c>
      <c r="AH106" s="26" t="s">
        <v>443</v>
      </c>
      <c r="AI106" s="26" t="s">
        <v>150</v>
      </c>
      <c r="AJ106" s="26">
        <v>2</v>
      </c>
      <c r="AK106" s="26" t="s">
        <v>151</v>
      </c>
      <c r="AL106" s="26" t="s">
        <v>97</v>
      </c>
      <c r="AM106" s="26" t="s">
        <v>97</v>
      </c>
      <c r="AN106" s="26" t="s">
        <v>444</v>
      </c>
      <c r="AO106" s="26">
        <v>2</v>
      </c>
      <c r="AP106" s="26" t="s">
        <v>122</v>
      </c>
      <c r="AQ106" s="26" t="s">
        <v>123</v>
      </c>
      <c r="AR106" s="26" t="s">
        <v>114</v>
      </c>
      <c r="AS106" s="26" t="s">
        <v>124</v>
      </c>
      <c r="AT106" s="26" t="s">
        <v>116</v>
      </c>
      <c r="AU106" s="26" t="s">
        <v>445</v>
      </c>
      <c r="AV106" s="26">
        <v>2</v>
      </c>
      <c r="AW106" s="26" t="s">
        <v>290</v>
      </c>
      <c r="AX106" s="26" t="s">
        <v>119</v>
      </c>
      <c r="AY106" s="26" t="s">
        <v>120</v>
      </c>
      <c r="AZ106" s="26" t="s">
        <v>116</v>
      </c>
      <c r="BA106" s="26" t="s">
        <v>446</v>
      </c>
      <c r="BB106" s="26">
        <v>2</v>
      </c>
      <c r="BO106" s="31" t="s">
        <v>726</v>
      </c>
      <c r="BP106" s="31" t="s">
        <v>452</v>
      </c>
      <c r="BQ106" s="31"/>
      <c r="BR106" s="31" t="s">
        <v>448</v>
      </c>
      <c r="BS106" s="31">
        <v>11.031499999999999</v>
      </c>
      <c r="BT106" s="31">
        <v>17.010999999999999</v>
      </c>
      <c r="BU106" s="31">
        <v>22.989000000000001</v>
      </c>
      <c r="BV106" s="31" t="s">
        <v>129</v>
      </c>
      <c r="BW106" s="31">
        <v>5</v>
      </c>
      <c r="BX106" s="31">
        <v>20.379000000000001</v>
      </c>
      <c r="BY106" s="31">
        <v>31.158000000000001</v>
      </c>
      <c r="BZ106" s="31">
        <v>42.189</v>
      </c>
      <c r="CA106" s="31" t="s">
        <v>129</v>
      </c>
      <c r="CB106" s="31">
        <v>10</v>
      </c>
      <c r="CC106" s="31" t="s">
        <v>449</v>
      </c>
      <c r="CD106" s="31" t="s">
        <v>450</v>
      </c>
      <c r="CE106" s="31" t="s">
        <v>451</v>
      </c>
    </row>
    <row r="107" spans="1:83" ht="101.5">
      <c r="A107" s="33">
        <v>14</v>
      </c>
      <c r="B107" s="26" t="s">
        <v>436</v>
      </c>
      <c r="C107" s="26">
        <v>2017</v>
      </c>
      <c r="D107" s="26" t="s">
        <v>437</v>
      </c>
      <c r="E107" s="30">
        <v>44707</v>
      </c>
      <c r="F107" s="31" t="s">
        <v>90</v>
      </c>
      <c r="G107" s="31" t="s">
        <v>360</v>
      </c>
      <c r="H107" s="31"/>
      <c r="I107" s="31" t="s">
        <v>368</v>
      </c>
      <c r="J107" s="26" t="s">
        <v>438</v>
      </c>
      <c r="K107" s="26" t="s">
        <v>97</v>
      </c>
      <c r="L107" s="26" t="s">
        <v>137</v>
      </c>
      <c r="M107" s="26" t="s">
        <v>138</v>
      </c>
      <c r="N107" s="26" t="s">
        <v>439</v>
      </c>
      <c r="O107" s="26" t="s">
        <v>97</v>
      </c>
      <c r="P107" s="26" t="s">
        <v>97</v>
      </c>
      <c r="S107" s="26" t="s">
        <v>90</v>
      </c>
      <c r="T107" s="26" t="s">
        <v>141</v>
      </c>
      <c r="U107" s="26" t="s">
        <v>99</v>
      </c>
      <c r="W107" s="26">
        <v>2</v>
      </c>
      <c r="X107" s="26">
        <v>1</v>
      </c>
      <c r="Y107" s="26" t="s">
        <v>102</v>
      </c>
      <c r="Z107" s="26">
        <v>1</v>
      </c>
      <c r="AA107" s="26" t="s">
        <v>440</v>
      </c>
      <c r="AB107" s="26" t="s">
        <v>105</v>
      </c>
      <c r="AC107" s="26" t="s">
        <v>441</v>
      </c>
      <c r="AD107" s="26" t="s">
        <v>442</v>
      </c>
      <c r="AE107" s="26" t="s">
        <v>148</v>
      </c>
      <c r="AF107" s="26">
        <v>2</v>
      </c>
      <c r="AG107" s="26" t="s">
        <v>97</v>
      </c>
      <c r="AH107" s="26" t="s">
        <v>443</v>
      </c>
      <c r="AI107" s="26" t="s">
        <v>150</v>
      </c>
      <c r="AJ107" s="26">
        <v>2</v>
      </c>
      <c r="AK107" s="26" t="s">
        <v>151</v>
      </c>
      <c r="AL107" s="26" t="s">
        <v>97</v>
      </c>
      <c r="AM107" s="26" t="s">
        <v>97</v>
      </c>
      <c r="AN107" s="26" t="s">
        <v>444</v>
      </c>
      <c r="AO107" s="26">
        <v>2</v>
      </c>
      <c r="AP107" s="26" t="s">
        <v>122</v>
      </c>
      <c r="AQ107" s="26" t="s">
        <v>123</v>
      </c>
      <c r="AR107" s="26" t="s">
        <v>114</v>
      </c>
      <c r="AS107" s="26" t="s">
        <v>124</v>
      </c>
      <c r="AT107" s="26" t="s">
        <v>116</v>
      </c>
      <c r="AU107" s="26" t="s">
        <v>445</v>
      </c>
      <c r="AV107" s="26">
        <v>2</v>
      </c>
      <c r="AW107" s="26" t="s">
        <v>290</v>
      </c>
      <c r="AX107" s="26" t="s">
        <v>119</v>
      </c>
      <c r="AY107" s="26" t="s">
        <v>120</v>
      </c>
      <c r="AZ107" s="26" t="s">
        <v>116</v>
      </c>
      <c r="BA107" s="26" t="s">
        <v>446</v>
      </c>
      <c r="BB107" s="26">
        <v>2</v>
      </c>
      <c r="BO107" s="31" t="s">
        <v>726</v>
      </c>
      <c r="BP107" s="31" t="s">
        <v>453</v>
      </c>
      <c r="BQ107" s="31"/>
      <c r="BR107" s="31" t="s">
        <v>448</v>
      </c>
      <c r="BS107" s="31">
        <v>8.4209000000000006E-2</v>
      </c>
      <c r="BT107" s="31">
        <v>5.1368</v>
      </c>
      <c r="BU107" s="31">
        <v>10.526</v>
      </c>
      <c r="BV107" s="31" t="s">
        <v>129</v>
      </c>
      <c r="BW107" s="31">
        <v>5</v>
      </c>
      <c r="BX107" s="31">
        <v>3.8736999999999999</v>
      </c>
      <c r="BY107" s="31">
        <v>8.8421000000000003</v>
      </c>
      <c r="BZ107" s="31">
        <v>14.147</v>
      </c>
      <c r="CA107" s="31" t="s">
        <v>129</v>
      </c>
      <c r="CB107" s="31">
        <v>10</v>
      </c>
      <c r="CC107" s="31" t="s">
        <v>449</v>
      </c>
      <c r="CD107" s="31" t="s">
        <v>450</v>
      </c>
      <c r="CE107" s="31" t="s">
        <v>451</v>
      </c>
    </row>
    <row r="108" spans="1:83" ht="101.5">
      <c r="A108" s="33">
        <v>14</v>
      </c>
      <c r="B108" s="26" t="s">
        <v>436</v>
      </c>
      <c r="C108" s="26">
        <v>2017</v>
      </c>
      <c r="D108" s="26" t="s">
        <v>437</v>
      </c>
      <c r="E108" s="30">
        <v>44707</v>
      </c>
      <c r="F108" s="31" t="s">
        <v>90</v>
      </c>
      <c r="G108" s="31" t="s">
        <v>360</v>
      </c>
      <c r="H108" s="31"/>
      <c r="I108" s="31" t="s">
        <v>368</v>
      </c>
      <c r="J108" s="26" t="s">
        <v>438</v>
      </c>
      <c r="K108" s="26" t="s">
        <v>97</v>
      </c>
      <c r="L108" s="26" t="s">
        <v>137</v>
      </c>
      <c r="M108" s="26" t="s">
        <v>138</v>
      </c>
      <c r="N108" s="26" t="s">
        <v>439</v>
      </c>
      <c r="O108" s="26" t="s">
        <v>97</v>
      </c>
      <c r="P108" s="26" t="s">
        <v>97</v>
      </c>
      <c r="S108" s="26" t="s">
        <v>90</v>
      </c>
      <c r="T108" s="26" t="s">
        <v>141</v>
      </c>
      <c r="U108" s="26" t="s">
        <v>99</v>
      </c>
      <c r="W108" s="26">
        <v>2</v>
      </c>
      <c r="X108" s="26">
        <v>1</v>
      </c>
      <c r="Y108" s="26" t="s">
        <v>102</v>
      </c>
      <c r="Z108" s="26">
        <v>1</v>
      </c>
      <c r="AA108" s="26" t="s">
        <v>440</v>
      </c>
      <c r="AB108" s="26" t="s">
        <v>105</v>
      </c>
      <c r="AC108" s="26" t="s">
        <v>441</v>
      </c>
      <c r="AD108" s="26" t="s">
        <v>442</v>
      </c>
      <c r="AE108" s="26" t="s">
        <v>148</v>
      </c>
      <c r="AF108" s="26">
        <v>2</v>
      </c>
      <c r="AG108" s="26" t="s">
        <v>97</v>
      </c>
      <c r="AH108" s="26" t="s">
        <v>443</v>
      </c>
      <c r="AI108" s="26" t="s">
        <v>150</v>
      </c>
      <c r="AJ108" s="26">
        <v>2</v>
      </c>
      <c r="AK108" s="26" t="s">
        <v>151</v>
      </c>
      <c r="AL108" s="26" t="s">
        <v>97</v>
      </c>
      <c r="AM108" s="26" t="s">
        <v>97</v>
      </c>
      <c r="AN108" s="26" t="s">
        <v>444</v>
      </c>
      <c r="AO108" s="26">
        <v>2</v>
      </c>
      <c r="AP108" s="26" t="s">
        <v>122</v>
      </c>
      <c r="AQ108" s="26" t="s">
        <v>123</v>
      </c>
      <c r="AR108" s="26" t="s">
        <v>114</v>
      </c>
      <c r="AS108" s="26" t="s">
        <v>124</v>
      </c>
      <c r="AT108" s="26" t="s">
        <v>116</v>
      </c>
      <c r="AU108" s="26" t="s">
        <v>445</v>
      </c>
      <c r="AV108" s="26">
        <v>2</v>
      </c>
      <c r="AW108" s="26" t="s">
        <v>290</v>
      </c>
      <c r="AX108" s="26" t="s">
        <v>119</v>
      </c>
      <c r="AY108" s="26" t="s">
        <v>120</v>
      </c>
      <c r="AZ108" s="26" t="s">
        <v>116</v>
      </c>
      <c r="BA108" s="26" t="s">
        <v>446</v>
      </c>
      <c r="BB108" s="26">
        <v>2</v>
      </c>
      <c r="BO108" s="31" t="s">
        <v>726</v>
      </c>
      <c r="BP108" s="31" t="s">
        <v>454</v>
      </c>
      <c r="BQ108" s="31"/>
      <c r="BR108" s="31" t="s">
        <v>448</v>
      </c>
      <c r="BS108" s="31">
        <v>6.8210499999999996</v>
      </c>
      <c r="BT108" s="31">
        <v>8.6737000000000002</v>
      </c>
      <c r="BU108" s="31">
        <v>10.526</v>
      </c>
      <c r="BV108" s="31" t="s">
        <v>129</v>
      </c>
      <c r="BW108" s="31">
        <v>5</v>
      </c>
      <c r="BX108" s="31">
        <v>3.8736999999999999</v>
      </c>
      <c r="BY108" s="31">
        <v>8.8421000000000003</v>
      </c>
      <c r="BZ108" s="31">
        <v>14.147</v>
      </c>
      <c r="CA108" s="31" t="s">
        <v>129</v>
      </c>
      <c r="CB108" s="31">
        <v>10</v>
      </c>
      <c r="CC108" s="31" t="s">
        <v>449</v>
      </c>
      <c r="CD108" s="31" t="s">
        <v>450</v>
      </c>
      <c r="CE108" s="31" t="s">
        <v>451</v>
      </c>
    </row>
    <row r="109" spans="1:83" ht="72.5">
      <c r="A109" s="33">
        <v>14</v>
      </c>
      <c r="B109" s="26" t="s">
        <v>455</v>
      </c>
      <c r="C109" s="26">
        <v>2017</v>
      </c>
      <c r="D109" s="26" t="s">
        <v>456</v>
      </c>
      <c r="E109" s="57">
        <v>45078</v>
      </c>
      <c r="F109" s="31" t="s">
        <v>90</v>
      </c>
      <c r="G109" s="31" t="s">
        <v>360</v>
      </c>
      <c r="H109" s="31"/>
      <c r="I109" s="31" t="s">
        <v>457</v>
      </c>
      <c r="J109" s="26" t="s">
        <v>458</v>
      </c>
      <c r="K109" s="26" t="s">
        <v>97</v>
      </c>
      <c r="L109" s="26" t="s">
        <v>90</v>
      </c>
      <c r="M109" s="26" t="s">
        <v>95</v>
      </c>
      <c r="N109" s="26" t="s">
        <v>459</v>
      </c>
      <c r="O109" s="26" t="s">
        <v>97</v>
      </c>
      <c r="P109" s="26" t="s">
        <v>97</v>
      </c>
      <c r="S109" s="26" t="s">
        <v>90</v>
      </c>
      <c r="T109" s="26" t="s">
        <v>98</v>
      </c>
      <c r="U109" s="26" t="s">
        <v>99</v>
      </c>
      <c r="W109" s="26">
        <v>1</v>
      </c>
      <c r="X109" s="26">
        <v>2</v>
      </c>
      <c r="Y109" s="26" t="s">
        <v>102</v>
      </c>
      <c r="AA109" s="26" t="s">
        <v>300</v>
      </c>
      <c r="AB109" s="26" t="s">
        <v>105</v>
      </c>
      <c r="AC109" s="26" t="s">
        <v>460</v>
      </c>
      <c r="AD109" s="26" t="s">
        <v>461</v>
      </c>
      <c r="AE109" s="26" t="s">
        <v>462</v>
      </c>
      <c r="AF109" s="26">
        <v>2</v>
      </c>
      <c r="AG109" s="26" t="s">
        <v>90</v>
      </c>
      <c r="AH109" s="26" t="s">
        <v>463</v>
      </c>
      <c r="AI109" s="26" t="s">
        <v>150</v>
      </c>
      <c r="AJ109" s="26">
        <v>2</v>
      </c>
      <c r="AK109" s="26" t="s">
        <v>151</v>
      </c>
      <c r="AL109" s="26" t="s">
        <v>97</v>
      </c>
      <c r="AM109" s="26" t="s">
        <v>97</v>
      </c>
      <c r="AN109" s="26" t="s">
        <v>152</v>
      </c>
      <c r="AO109" s="26">
        <v>2</v>
      </c>
      <c r="AP109" s="26" t="s">
        <v>155</v>
      </c>
      <c r="AQ109" s="26" t="s">
        <v>119</v>
      </c>
      <c r="AR109" s="26" t="s">
        <v>114</v>
      </c>
      <c r="AS109" s="26" t="s">
        <v>120</v>
      </c>
      <c r="AT109" s="26" t="s">
        <v>116</v>
      </c>
      <c r="AU109" s="26" t="s">
        <v>464</v>
      </c>
      <c r="AV109" s="26">
        <v>2</v>
      </c>
      <c r="AW109" s="26" t="s">
        <v>465</v>
      </c>
      <c r="AX109" s="26" t="s">
        <v>119</v>
      </c>
      <c r="AY109" s="26" t="s">
        <v>120</v>
      </c>
      <c r="AZ109" s="26" t="s">
        <v>116</v>
      </c>
      <c r="BA109" s="26" t="s">
        <v>464</v>
      </c>
      <c r="BB109" s="26">
        <v>2</v>
      </c>
      <c r="BO109" s="31" t="s">
        <v>727</v>
      </c>
      <c r="BP109" s="31" t="s">
        <v>466</v>
      </c>
      <c r="BQ109" s="31"/>
      <c r="BR109" s="31" t="s">
        <v>355</v>
      </c>
      <c r="BS109" s="31">
        <v>0.13813</v>
      </c>
      <c r="BT109" s="31">
        <v>0.18453</v>
      </c>
      <c r="BU109" s="31">
        <v>0.23200999999999999</v>
      </c>
      <c r="BV109" s="31" t="s">
        <v>129</v>
      </c>
      <c r="BW109" s="31">
        <v>8</v>
      </c>
      <c r="BX109" s="31">
        <v>0.19101000000000001</v>
      </c>
      <c r="BY109" s="31">
        <v>0.22770000000000001</v>
      </c>
      <c r="BZ109" s="31">
        <v>0.26655000000000001</v>
      </c>
      <c r="CA109" s="31" t="s">
        <v>129</v>
      </c>
      <c r="CB109" s="31">
        <v>8</v>
      </c>
      <c r="CC109" s="31" t="s">
        <v>467</v>
      </c>
      <c r="CD109" s="31" t="s">
        <v>468</v>
      </c>
      <c r="CE109" s="31"/>
    </row>
    <row r="110" spans="1:83" ht="72.5">
      <c r="A110" s="33">
        <v>14</v>
      </c>
      <c r="B110" s="26" t="s">
        <v>455</v>
      </c>
      <c r="C110" s="26">
        <v>2017</v>
      </c>
      <c r="D110" s="26" t="s">
        <v>456</v>
      </c>
      <c r="E110" s="57">
        <v>45078</v>
      </c>
      <c r="F110" s="31" t="s">
        <v>90</v>
      </c>
      <c r="G110" s="31" t="s">
        <v>360</v>
      </c>
      <c r="H110" s="31"/>
      <c r="I110" s="31" t="s">
        <v>457</v>
      </c>
      <c r="J110" s="26" t="s">
        <v>458</v>
      </c>
      <c r="K110" s="26" t="s">
        <v>97</v>
      </c>
      <c r="L110" s="26" t="s">
        <v>90</v>
      </c>
      <c r="M110" s="26" t="s">
        <v>95</v>
      </c>
      <c r="N110" s="26" t="s">
        <v>459</v>
      </c>
      <c r="O110" s="26" t="s">
        <v>97</v>
      </c>
      <c r="P110" s="26" t="s">
        <v>97</v>
      </c>
      <c r="S110" s="26" t="s">
        <v>90</v>
      </c>
      <c r="T110" s="26" t="s">
        <v>98</v>
      </c>
      <c r="U110" s="26" t="s">
        <v>99</v>
      </c>
      <c r="W110" s="26">
        <v>1</v>
      </c>
      <c r="X110" s="26">
        <v>2</v>
      </c>
      <c r="Y110" s="26" t="s">
        <v>102</v>
      </c>
      <c r="AA110" s="26" t="s">
        <v>300</v>
      </c>
      <c r="AB110" s="26" t="s">
        <v>105</v>
      </c>
      <c r="AC110" s="26" t="s">
        <v>460</v>
      </c>
      <c r="AD110" s="26" t="s">
        <v>461</v>
      </c>
      <c r="AE110" s="26" t="s">
        <v>462</v>
      </c>
      <c r="AF110" s="26">
        <v>2</v>
      </c>
      <c r="AG110" s="26" t="s">
        <v>90</v>
      </c>
      <c r="AH110" s="26" t="s">
        <v>463</v>
      </c>
      <c r="AI110" s="26" t="s">
        <v>150</v>
      </c>
      <c r="AJ110" s="26">
        <v>2</v>
      </c>
      <c r="AK110" s="26" t="s">
        <v>151</v>
      </c>
      <c r="AL110" s="26" t="s">
        <v>97</v>
      </c>
      <c r="AM110" s="26" t="s">
        <v>97</v>
      </c>
      <c r="AN110" s="26" t="s">
        <v>152</v>
      </c>
      <c r="AO110" s="26">
        <v>2</v>
      </c>
      <c r="AP110" s="26" t="s">
        <v>155</v>
      </c>
      <c r="AQ110" s="26" t="s">
        <v>119</v>
      </c>
      <c r="AR110" s="26" t="s">
        <v>114</v>
      </c>
      <c r="AS110" s="26" t="s">
        <v>120</v>
      </c>
      <c r="AT110" s="26" t="s">
        <v>116</v>
      </c>
      <c r="AU110" s="26" t="s">
        <v>464</v>
      </c>
      <c r="AV110" s="26">
        <v>2</v>
      </c>
      <c r="AW110" s="26" t="s">
        <v>465</v>
      </c>
      <c r="AX110" s="26" t="s">
        <v>119</v>
      </c>
      <c r="AY110" s="26" t="s">
        <v>120</v>
      </c>
      <c r="AZ110" s="26" t="s">
        <v>116</v>
      </c>
      <c r="BA110" s="26" t="s">
        <v>464</v>
      </c>
      <c r="BB110" s="26">
        <v>2</v>
      </c>
      <c r="BO110" s="31" t="s">
        <v>727</v>
      </c>
      <c r="BP110" s="31" t="s">
        <v>469</v>
      </c>
      <c r="BQ110" s="31"/>
      <c r="BR110" s="31" t="s">
        <v>355</v>
      </c>
      <c r="BS110" s="31">
        <v>7.3381000000000002E-2</v>
      </c>
      <c r="BT110" s="31">
        <v>0.11007</v>
      </c>
      <c r="BU110" s="31">
        <v>0.14784</v>
      </c>
      <c r="BV110" s="31" t="s">
        <v>129</v>
      </c>
      <c r="BW110" s="31">
        <v>8</v>
      </c>
      <c r="BX110" s="31">
        <v>0.24928</v>
      </c>
      <c r="BY110" s="31">
        <v>0.30431999999999998</v>
      </c>
      <c r="BZ110" s="31">
        <v>0.36042999999999997</v>
      </c>
      <c r="CA110" s="31" t="s">
        <v>129</v>
      </c>
      <c r="CB110" s="31">
        <v>8</v>
      </c>
      <c r="CC110" s="31" t="s">
        <v>467</v>
      </c>
      <c r="CD110" s="31" t="s">
        <v>470</v>
      </c>
      <c r="CE110" s="31"/>
    </row>
    <row r="111" spans="1:83" ht="72.5">
      <c r="A111" s="33">
        <v>14</v>
      </c>
      <c r="B111" s="26" t="s">
        <v>455</v>
      </c>
      <c r="C111" s="26">
        <v>2017</v>
      </c>
      <c r="D111" s="26" t="s">
        <v>456</v>
      </c>
      <c r="E111" s="57">
        <v>45078</v>
      </c>
      <c r="F111" s="31" t="s">
        <v>90</v>
      </c>
      <c r="G111" s="31" t="s">
        <v>360</v>
      </c>
      <c r="H111" s="31"/>
      <c r="I111" s="31" t="s">
        <v>457</v>
      </c>
      <c r="J111" s="26" t="s">
        <v>458</v>
      </c>
      <c r="K111" s="26" t="s">
        <v>97</v>
      </c>
      <c r="L111" s="26" t="s">
        <v>90</v>
      </c>
      <c r="M111" s="26" t="s">
        <v>95</v>
      </c>
      <c r="N111" s="26" t="s">
        <v>459</v>
      </c>
      <c r="O111" s="26" t="s">
        <v>97</v>
      </c>
      <c r="P111" s="26" t="s">
        <v>97</v>
      </c>
      <c r="S111" s="26" t="s">
        <v>90</v>
      </c>
      <c r="T111" s="26" t="s">
        <v>98</v>
      </c>
      <c r="U111" s="26" t="s">
        <v>99</v>
      </c>
      <c r="W111" s="26">
        <v>1</v>
      </c>
      <c r="X111" s="26">
        <v>2</v>
      </c>
      <c r="Y111" s="26" t="s">
        <v>102</v>
      </c>
      <c r="AA111" s="26" t="s">
        <v>300</v>
      </c>
      <c r="AB111" s="26" t="s">
        <v>105</v>
      </c>
      <c r="AC111" s="26" t="s">
        <v>460</v>
      </c>
      <c r="AD111" s="26" t="s">
        <v>461</v>
      </c>
      <c r="AE111" s="26" t="s">
        <v>462</v>
      </c>
      <c r="AF111" s="26">
        <v>2</v>
      </c>
      <c r="AG111" s="26" t="s">
        <v>90</v>
      </c>
      <c r="AH111" s="26" t="s">
        <v>463</v>
      </c>
      <c r="AI111" s="26" t="s">
        <v>150</v>
      </c>
      <c r="AJ111" s="26">
        <v>2</v>
      </c>
      <c r="AK111" s="26" t="s">
        <v>151</v>
      </c>
      <c r="AL111" s="26" t="s">
        <v>97</v>
      </c>
      <c r="AM111" s="26" t="s">
        <v>97</v>
      </c>
      <c r="AN111" s="26" t="s">
        <v>152</v>
      </c>
      <c r="AO111" s="26">
        <v>2</v>
      </c>
      <c r="AP111" s="26" t="s">
        <v>155</v>
      </c>
      <c r="AQ111" s="26" t="s">
        <v>119</v>
      </c>
      <c r="AR111" s="26" t="s">
        <v>114</v>
      </c>
      <c r="AS111" s="26" t="s">
        <v>120</v>
      </c>
      <c r="AT111" s="26" t="s">
        <v>116</v>
      </c>
      <c r="AU111" s="26" t="s">
        <v>464</v>
      </c>
      <c r="AV111" s="26">
        <v>2</v>
      </c>
      <c r="AW111" s="26" t="s">
        <v>465</v>
      </c>
      <c r="AX111" s="26" t="s">
        <v>119</v>
      </c>
      <c r="AY111" s="26" t="s">
        <v>120</v>
      </c>
      <c r="AZ111" s="26" t="s">
        <v>116</v>
      </c>
      <c r="BA111" s="26" t="s">
        <v>464</v>
      </c>
      <c r="BB111" s="26">
        <v>2</v>
      </c>
      <c r="BO111" s="31" t="s">
        <v>727</v>
      </c>
      <c r="BP111" s="31" t="s">
        <v>471</v>
      </c>
      <c r="BQ111" s="31"/>
      <c r="BR111" s="31" t="s">
        <v>355</v>
      </c>
      <c r="BS111" s="31">
        <v>4.7727000000000004E-3</v>
      </c>
      <c r="BT111" s="31">
        <v>2.0681999999999999E-2</v>
      </c>
      <c r="BU111" s="31">
        <v>3.6136000000000001E-2</v>
      </c>
      <c r="BV111" s="31" t="s">
        <v>129</v>
      </c>
      <c r="BW111" s="31">
        <v>8</v>
      </c>
      <c r="BX111" s="31">
        <v>4.1591000000000003E-2</v>
      </c>
      <c r="BY111" s="31">
        <v>5.2045000000000001E-2</v>
      </c>
      <c r="BZ111" s="31">
        <v>6.3182000000000002E-2</v>
      </c>
      <c r="CA111" s="31" t="s">
        <v>129</v>
      </c>
      <c r="CB111" s="31">
        <v>8</v>
      </c>
      <c r="CC111" s="31" t="s">
        <v>472</v>
      </c>
      <c r="CD111" s="31" t="s">
        <v>473</v>
      </c>
      <c r="CE111" s="31"/>
    </row>
    <row r="112" spans="1:83" ht="72.5">
      <c r="A112" s="33">
        <v>14</v>
      </c>
      <c r="B112" s="26" t="s">
        <v>455</v>
      </c>
      <c r="C112" s="26">
        <v>2017</v>
      </c>
      <c r="D112" s="26" t="s">
        <v>456</v>
      </c>
      <c r="E112" s="57">
        <v>45078</v>
      </c>
      <c r="F112" s="31" t="s">
        <v>90</v>
      </c>
      <c r="G112" s="31" t="s">
        <v>360</v>
      </c>
      <c r="H112" s="31"/>
      <c r="I112" s="31" t="s">
        <v>457</v>
      </c>
      <c r="J112" s="26" t="s">
        <v>458</v>
      </c>
      <c r="K112" s="26" t="s">
        <v>97</v>
      </c>
      <c r="L112" s="26" t="s">
        <v>90</v>
      </c>
      <c r="M112" s="26" t="s">
        <v>95</v>
      </c>
      <c r="N112" s="26" t="s">
        <v>459</v>
      </c>
      <c r="O112" s="26" t="s">
        <v>97</v>
      </c>
      <c r="P112" s="26" t="s">
        <v>97</v>
      </c>
      <c r="S112" s="26" t="s">
        <v>90</v>
      </c>
      <c r="T112" s="26" t="s">
        <v>98</v>
      </c>
      <c r="U112" s="26" t="s">
        <v>99</v>
      </c>
      <c r="W112" s="26">
        <v>1</v>
      </c>
      <c r="X112" s="26">
        <v>2</v>
      </c>
      <c r="Y112" s="26" t="s">
        <v>102</v>
      </c>
      <c r="AA112" s="26" t="s">
        <v>300</v>
      </c>
      <c r="AB112" s="26" t="s">
        <v>105</v>
      </c>
      <c r="AC112" s="26" t="s">
        <v>460</v>
      </c>
      <c r="AD112" s="26" t="s">
        <v>461</v>
      </c>
      <c r="AE112" s="26" t="s">
        <v>462</v>
      </c>
      <c r="AF112" s="26">
        <v>2</v>
      </c>
      <c r="AG112" s="26" t="s">
        <v>90</v>
      </c>
      <c r="AH112" s="26" t="s">
        <v>463</v>
      </c>
      <c r="AI112" s="26" t="s">
        <v>150</v>
      </c>
      <c r="AJ112" s="26">
        <v>2</v>
      </c>
      <c r="AK112" s="26" t="s">
        <v>151</v>
      </c>
      <c r="AL112" s="26" t="s">
        <v>97</v>
      </c>
      <c r="AM112" s="26" t="s">
        <v>97</v>
      </c>
      <c r="AN112" s="26" t="s">
        <v>152</v>
      </c>
      <c r="AO112" s="26">
        <v>2</v>
      </c>
      <c r="AP112" s="26" t="s">
        <v>155</v>
      </c>
      <c r="AQ112" s="26" t="s">
        <v>119</v>
      </c>
      <c r="AR112" s="26" t="s">
        <v>114</v>
      </c>
      <c r="AS112" s="26" t="s">
        <v>120</v>
      </c>
      <c r="AT112" s="26" t="s">
        <v>116</v>
      </c>
      <c r="AU112" s="26" t="s">
        <v>464</v>
      </c>
      <c r="AV112" s="26">
        <v>2</v>
      </c>
      <c r="AW112" s="26" t="s">
        <v>465</v>
      </c>
      <c r="AX112" s="26" t="s">
        <v>119</v>
      </c>
      <c r="AY112" s="26" t="s">
        <v>120</v>
      </c>
      <c r="AZ112" s="26" t="s">
        <v>116</v>
      </c>
      <c r="BA112" s="26" t="s">
        <v>464</v>
      </c>
      <c r="BB112" s="26">
        <v>2</v>
      </c>
      <c r="BO112" s="31" t="s">
        <v>727</v>
      </c>
      <c r="BP112" s="31" t="s">
        <v>474</v>
      </c>
      <c r="BQ112" s="31"/>
      <c r="BR112" s="31" t="s">
        <v>355</v>
      </c>
      <c r="BS112" s="31">
        <v>0.25252000000000002</v>
      </c>
      <c r="BT112" s="31">
        <v>0.28813</v>
      </c>
      <c r="BU112" s="31">
        <v>0.32590000000000002</v>
      </c>
      <c r="BV112" s="31" t="s">
        <v>129</v>
      </c>
      <c r="BW112" s="31">
        <v>8</v>
      </c>
      <c r="BX112" s="31">
        <v>0.24173</v>
      </c>
      <c r="BY112" s="31">
        <v>0.30215999999999998</v>
      </c>
      <c r="BZ112" s="31">
        <v>0.36475000000000002</v>
      </c>
      <c r="CA112" s="31" t="s">
        <v>129</v>
      </c>
      <c r="CB112" s="31">
        <v>8</v>
      </c>
      <c r="CC112" s="31" t="s">
        <v>467</v>
      </c>
      <c r="CD112" s="31" t="s">
        <v>468</v>
      </c>
      <c r="CE112" s="31"/>
    </row>
    <row r="113" spans="1:83" ht="72.5">
      <c r="A113" s="33">
        <v>14</v>
      </c>
      <c r="B113" s="26" t="s">
        <v>455</v>
      </c>
      <c r="C113" s="26">
        <v>2017</v>
      </c>
      <c r="D113" s="26" t="s">
        <v>456</v>
      </c>
      <c r="E113" s="57">
        <v>45078</v>
      </c>
      <c r="F113" s="31" t="s">
        <v>90</v>
      </c>
      <c r="G113" s="31" t="s">
        <v>360</v>
      </c>
      <c r="H113" s="31"/>
      <c r="I113" s="31" t="s">
        <v>457</v>
      </c>
      <c r="J113" s="26" t="s">
        <v>458</v>
      </c>
      <c r="K113" s="26" t="s">
        <v>97</v>
      </c>
      <c r="L113" s="26" t="s">
        <v>90</v>
      </c>
      <c r="M113" s="26" t="s">
        <v>95</v>
      </c>
      <c r="N113" s="26" t="s">
        <v>459</v>
      </c>
      <c r="O113" s="26" t="s">
        <v>97</v>
      </c>
      <c r="P113" s="26" t="s">
        <v>97</v>
      </c>
      <c r="S113" s="26" t="s">
        <v>90</v>
      </c>
      <c r="T113" s="26" t="s">
        <v>98</v>
      </c>
      <c r="U113" s="26" t="s">
        <v>99</v>
      </c>
      <c r="W113" s="26">
        <v>1</v>
      </c>
      <c r="X113" s="26">
        <v>2</v>
      </c>
      <c r="Y113" s="26" t="s">
        <v>102</v>
      </c>
      <c r="AA113" s="26" t="s">
        <v>300</v>
      </c>
      <c r="AB113" s="26" t="s">
        <v>105</v>
      </c>
      <c r="AC113" s="26" t="s">
        <v>460</v>
      </c>
      <c r="AD113" s="26" t="s">
        <v>461</v>
      </c>
      <c r="AE113" s="26" t="s">
        <v>462</v>
      </c>
      <c r="AF113" s="26">
        <v>2</v>
      </c>
      <c r="AG113" s="26" t="s">
        <v>90</v>
      </c>
      <c r="AH113" s="26" t="s">
        <v>463</v>
      </c>
      <c r="AI113" s="26" t="s">
        <v>150</v>
      </c>
      <c r="AJ113" s="26">
        <v>2</v>
      </c>
      <c r="AK113" s="26" t="s">
        <v>151</v>
      </c>
      <c r="AL113" s="26" t="s">
        <v>97</v>
      </c>
      <c r="AM113" s="26" t="s">
        <v>97</v>
      </c>
      <c r="AN113" s="26" t="s">
        <v>152</v>
      </c>
      <c r="AO113" s="26">
        <v>2</v>
      </c>
      <c r="AP113" s="26" t="s">
        <v>155</v>
      </c>
      <c r="AQ113" s="26" t="s">
        <v>119</v>
      </c>
      <c r="AR113" s="26" t="s">
        <v>114</v>
      </c>
      <c r="AS113" s="26" t="s">
        <v>120</v>
      </c>
      <c r="AT113" s="26" t="s">
        <v>116</v>
      </c>
      <c r="AU113" s="26" t="s">
        <v>464</v>
      </c>
      <c r="AV113" s="26">
        <v>2</v>
      </c>
      <c r="AW113" s="26" t="s">
        <v>465</v>
      </c>
      <c r="AX113" s="26" t="s">
        <v>119</v>
      </c>
      <c r="AY113" s="26" t="s">
        <v>120</v>
      </c>
      <c r="AZ113" s="26" t="s">
        <v>116</v>
      </c>
      <c r="BA113" s="26" t="s">
        <v>464</v>
      </c>
      <c r="BB113" s="26">
        <v>2</v>
      </c>
      <c r="BO113" s="31" t="s">
        <v>727</v>
      </c>
      <c r="BP113" s="31" t="s">
        <v>475</v>
      </c>
      <c r="BQ113" s="31"/>
      <c r="BR113" s="31" t="s">
        <v>355</v>
      </c>
      <c r="BS113" s="31">
        <v>9.3884999999999996E-2</v>
      </c>
      <c r="BT113" s="31">
        <v>0.11871</v>
      </c>
      <c r="BU113" s="31">
        <v>0.14460000000000001</v>
      </c>
      <c r="BV113" s="31" t="s">
        <v>129</v>
      </c>
      <c r="BW113" s="31">
        <v>8</v>
      </c>
      <c r="BX113" s="31">
        <v>0.21690999999999999</v>
      </c>
      <c r="BY113" s="31">
        <v>0.26330999999999999</v>
      </c>
      <c r="BZ113" s="31">
        <v>0.30863000000000002</v>
      </c>
      <c r="CA113" s="31" t="s">
        <v>129</v>
      </c>
      <c r="CB113" s="31">
        <v>8</v>
      </c>
      <c r="CC113" s="31" t="s">
        <v>467</v>
      </c>
      <c r="CD113" s="31" t="s">
        <v>470</v>
      </c>
      <c r="CE113" s="31"/>
    </row>
    <row r="114" spans="1:83" ht="72.5">
      <c r="A114" s="33">
        <v>14</v>
      </c>
      <c r="B114" s="26" t="s">
        <v>455</v>
      </c>
      <c r="C114" s="26">
        <v>2017</v>
      </c>
      <c r="D114" s="26" t="s">
        <v>456</v>
      </c>
      <c r="E114" s="57">
        <v>45078</v>
      </c>
      <c r="F114" s="31" t="s">
        <v>90</v>
      </c>
      <c r="G114" s="31" t="s">
        <v>360</v>
      </c>
      <c r="H114" s="31"/>
      <c r="I114" s="31" t="s">
        <v>457</v>
      </c>
      <c r="J114" s="26" t="s">
        <v>458</v>
      </c>
      <c r="K114" s="26" t="s">
        <v>97</v>
      </c>
      <c r="L114" s="26" t="s">
        <v>90</v>
      </c>
      <c r="M114" s="26" t="s">
        <v>95</v>
      </c>
      <c r="N114" s="26" t="s">
        <v>459</v>
      </c>
      <c r="O114" s="26" t="s">
        <v>97</v>
      </c>
      <c r="P114" s="26" t="s">
        <v>97</v>
      </c>
      <c r="S114" s="26" t="s">
        <v>90</v>
      </c>
      <c r="T114" s="26" t="s">
        <v>98</v>
      </c>
      <c r="U114" s="26" t="s">
        <v>99</v>
      </c>
      <c r="W114" s="26">
        <v>1</v>
      </c>
      <c r="X114" s="26">
        <v>2</v>
      </c>
      <c r="Y114" s="26" t="s">
        <v>102</v>
      </c>
      <c r="AA114" s="26" t="s">
        <v>300</v>
      </c>
      <c r="AB114" s="26" t="s">
        <v>105</v>
      </c>
      <c r="AC114" s="26" t="s">
        <v>460</v>
      </c>
      <c r="AD114" s="26" t="s">
        <v>461</v>
      </c>
      <c r="AE114" s="26" t="s">
        <v>462</v>
      </c>
      <c r="AF114" s="26">
        <v>2</v>
      </c>
      <c r="AG114" s="26" t="s">
        <v>90</v>
      </c>
      <c r="AH114" s="26" t="s">
        <v>463</v>
      </c>
      <c r="AI114" s="26" t="s">
        <v>150</v>
      </c>
      <c r="AJ114" s="26">
        <v>2</v>
      </c>
      <c r="AK114" s="26" t="s">
        <v>151</v>
      </c>
      <c r="AL114" s="26" t="s">
        <v>97</v>
      </c>
      <c r="AM114" s="26" t="s">
        <v>97</v>
      </c>
      <c r="AN114" s="26" t="s">
        <v>152</v>
      </c>
      <c r="AO114" s="26">
        <v>2</v>
      </c>
      <c r="AP114" s="26" t="s">
        <v>155</v>
      </c>
      <c r="AQ114" s="26" t="s">
        <v>119</v>
      </c>
      <c r="AR114" s="26" t="s">
        <v>114</v>
      </c>
      <c r="AS114" s="26" t="s">
        <v>120</v>
      </c>
      <c r="AT114" s="26" t="s">
        <v>116</v>
      </c>
      <c r="AU114" s="26" t="s">
        <v>464</v>
      </c>
      <c r="AV114" s="26">
        <v>2</v>
      </c>
      <c r="AW114" s="26" t="s">
        <v>465</v>
      </c>
      <c r="AX114" s="26" t="s">
        <v>119</v>
      </c>
      <c r="AY114" s="26" t="s">
        <v>120</v>
      </c>
      <c r="AZ114" s="26" t="s">
        <v>116</v>
      </c>
      <c r="BA114" s="26" t="s">
        <v>464</v>
      </c>
      <c r="BB114" s="26">
        <v>2</v>
      </c>
      <c r="BO114" s="31" t="s">
        <v>727</v>
      </c>
      <c r="BP114" s="31" t="s">
        <v>476</v>
      </c>
      <c r="BQ114" s="31"/>
      <c r="BR114" s="31" t="s">
        <v>355</v>
      </c>
      <c r="BS114" s="31">
        <v>5.2499999999999998E-2</v>
      </c>
      <c r="BT114" s="31">
        <v>6.8408999999999998E-2</v>
      </c>
      <c r="BU114" s="31">
        <v>8.5681999999999994E-2</v>
      </c>
      <c r="BV114" s="31" t="s">
        <v>129</v>
      </c>
      <c r="BW114" s="31">
        <v>8</v>
      </c>
      <c r="BX114" s="31">
        <v>8.5000000000000006E-2</v>
      </c>
      <c r="BY114" s="31">
        <v>0.11136</v>
      </c>
      <c r="BZ114" s="31">
        <v>0.13705000000000001</v>
      </c>
      <c r="CA114" s="31" t="s">
        <v>129</v>
      </c>
      <c r="CB114" s="31">
        <v>8</v>
      </c>
      <c r="CC114" s="31" t="s">
        <v>472</v>
      </c>
      <c r="CD114" s="31" t="s">
        <v>473</v>
      </c>
      <c r="CE114" s="31"/>
    </row>
    <row r="115" spans="1:83" ht="72.5">
      <c r="A115" s="33">
        <v>14</v>
      </c>
      <c r="B115" s="26" t="s">
        <v>455</v>
      </c>
      <c r="C115" s="26">
        <v>2017</v>
      </c>
      <c r="D115" s="26" t="s">
        <v>456</v>
      </c>
      <c r="E115" s="57">
        <v>45078</v>
      </c>
      <c r="F115" s="31" t="s">
        <v>90</v>
      </c>
      <c r="G115" s="31" t="s">
        <v>360</v>
      </c>
      <c r="H115" s="31"/>
      <c r="I115" s="31" t="s">
        <v>457</v>
      </c>
      <c r="J115" s="26" t="s">
        <v>458</v>
      </c>
      <c r="K115" s="26" t="s">
        <v>97</v>
      </c>
      <c r="L115" s="26" t="s">
        <v>90</v>
      </c>
      <c r="M115" s="26" t="s">
        <v>95</v>
      </c>
      <c r="N115" s="26" t="s">
        <v>459</v>
      </c>
      <c r="O115" s="26" t="s">
        <v>97</v>
      </c>
      <c r="P115" s="26" t="s">
        <v>97</v>
      </c>
      <c r="S115" s="26" t="s">
        <v>90</v>
      </c>
      <c r="T115" s="26" t="s">
        <v>98</v>
      </c>
      <c r="U115" s="26" t="s">
        <v>99</v>
      </c>
      <c r="W115" s="26">
        <v>1</v>
      </c>
      <c r="X115" s="26">
        <v>2</v>
      </c>
      <c r="Y115" s="26" t="s">
        <v>102</v>
      </c>
      <c r="AA115" s="26" t="s">
        <v>300</v>
      </c>
      <c r="AB115" s="26" t="s">
        <v>105</v>
      </c>
      <c r="AC115" s="26" t="s">
        <v>460</v>
      </c>
      <c r="AD115" s="26" t="s">
        <v>461</v>
      </c>
      <c r="AE115" s="26" t="s">
        <v>462</v>
      </c>
      <c r="AF115" s="26">
        <v>2</v>
      </c>
      <c r="AG115" s="26" t="s">
        <v>90</v>
      </c>
      <c r="AH115" s="26" t="s">
        <v>463</v>
      </c>
      <c r="AI115" s="26" t="s">
        <v>150</v>
      </c>
      <c r="AJ115" s="26">
        <v>2</v>
      </c>
      <c r="AK115" s="26" t="s">
        <v>151</v>
      </c>
      <c r="AL115" s="26" t="s">
        <v>97</v>
      </c>
      <c r="AM115" s="26" t="s">
        <v>97</v>
      </c>
      <c r="AN115" s="26" t="s">
        <v>152</v>
      </c>
      <c r="AO115" s="26">
        <v>2</v>
      </c>
      <c r="AP115" s="26" t="s">
        <v>155</v>
      </c>
      <c r="AQ115" s="26" t="s">
        <v>119</v>
      </c>
      <c r="AR115" s="26" t="s">
        <v>114</v>
      </c>
      <c r="AS115" s="26" t="s">
        <v>120</v>
      </c>
      <c r="AT115" s="26" t="s">
        <v>116</v>
      </c>
      <c r="AU115" s="26" t="s">
        <v>464</v>
      </c>
      <c r="AV115" s="26">
        <v>2</v>
      </c>
      <c r="AW115" s="26" t="s">
        <v>465</v>
      </c>
      <c r="AX115" s="26" t="s">
        <v>119</v>
      </c>
      <c r="AY115" s="26" t="s">
        <v>120</v>
      </c>
      <c r="AZ115" s="26" t="s">
        <v>116</v>
      </c>
      <c r="BA115" s="26" t="s">
        <v>464</v>
      </c>
      <c r="BB115" s="26">
        <v>2</v>
      </c>
      <c r="BO115" s="31" t="s">
        <v>727</v>
      </c>
      <c r="BP115" s="31" t="s">
        <v>477</v>
      </c>
      <c r="BQ115" s="31"/>
      <c r="BR115" s="31" t="s">
        <v>355</v>
      </c>
      <c r="BS115" s="31">
        <v>0.17266000000000001</v>
      </c>
      <c r="BT115" s="31">
        <v>0.21367</v>
      </c>
      <c r="BU115" s="31">
        <v>0.25790999999999997</v>
      </c>
      <c r="BV115" s="31" t="s">
        <v>129</v>
      </c>
      <c r="BW115" s="31">
        <v>8</v>
      </c>
      <c r="BX115" s="31">
        <v>0.28597</v>
      </c>
      <c r="BY115" s="31">
        <v>0.34316999999999998</v>
      </c>
      <c r="BZ115" s="31">
        <v>0.40035999999999999</v>
      </c>
      <c r="CA115" s="31" t="s">
        <v>129</v>
      </c>
      <c r="CB115" s="31">
        <v>8</v>
      </c>
      <c r="CC115" s="31" t="s">
        <v>467</v>
      </c>
      <c r="CD115" s="31" t="s">
        <v>468</v>
      </c>
      <c r="CE115" s="31"/>
    </row>
    <row r="116" spans="1:83" ht="72.5">
      <c r="A116" s="33">
        <v>14</v>
      </c>
      <c r="B116" s="26" t="s">
        <v>455</v>
      </c>
      <c r="C116" s="26">
        <v>2017</v>
      </c>
      <c r="D116" s="26" t="s">
        <v>456</v>
      </c>
      <c r="E116" s="57">
        <v>45078</v>
      </c>
      <c r="F116" s="31" t="s">
        <v>90</v>
      </c>
      <c r="G116" s="31" t="s">
        <v>360</v>
      </c>
      <c r="H116" s="31"/>
      <c r="I116" s="31" t="s">
        <v>457</v>
      </c>
      <c r="J116" s="26" t="s">
        <v>458</v>
      </c>
      <c r="K116" s="26" t="s">
        <v>97</v>
      </c>
      <c r="L116" s="26" t="s">
        <v>90</v>
      </c>
      <c r="M116" s="26" t="s">
        <v>95</v>
      </c>
      <c r="N116" s="26" t="s">
        <v>459</v>
      </c>
      <c r="O116" s="26" t="s">
        <v>97</v>
      </c>
      <c r="P116" s="26" t="s">
        <v>97</v>
      </c>
      <c r="S116" s="26" t="s">
        <v>90</v>
      </c>
      <c r="T116" s="26" t="s">
        <v>98</v>
      </c>
      <c r="U116" s="26" t="s">
        <v>99</v>
      </c>
      <c r="W116" s="26">
        <v>1</v>
      </c>
      <c r="X116" s="26">
        <v>2</v>
      </c>
      <c r="Y116" s="26" t="s">
        <v>102</v>
      </c>
      <c r="AA116" s="26" t="s">
        <v>300</v>
      </c>
      <c r="AB116" s="26" t="s">
        <v>105</v>
      </c>
      <c r="AC116" s="26" t="s">
        <v>460</v>
      </c>
      <c r="AD116" s="26" t="s">
        <v>461</v>
      </c>
      <c r="AE116" s="26" t="s">
        <v>462</v>
      </c>
      <c r="AF116" s="26">
        <v>2</v>
      </c>
      <c r="AG116" s="26" t="s">
        <v>90</v>
      </c>
      <c r="AH116" s="26" t="s">
        <v>463</v>
      </c>
      <c r="AI116" s="26" t="s">
        <v>150</v>
      </c>
      <c r="AJ116" s="26">
        <v>2</v>
      </c>
      <c r="AK116" s="26" t="s">
        <v>151</v>
      </c>
      <c r="AL116" s="26" t="s">
        <v>97</v>
      </c>
      <c r="AM116" s="26" t="s">
        <v>97</v>
      </c>
      <c r="AN116" s="26" t="s">
        <v>152</v>
      </c>
      <c r="AO116" s="26">
        <v>2</v>
      </c>
      <c r="AP116" s="26" t="s">
        <v>155</v>
      </c>
      <c r="AQ116" s="26" t="s">
        <v>119</v>
      </c>
      <c r="AR116" s="26" t="s">
        <v>114</v>
      </c>
      <c r="AS116" s="26" t="s">
        <v>120</v>
      </c>
      <c r="AT116" s="26" t="s">
        <v>116</v>
      </c>
      <c r="AU116" s="26" t="s">
        <v>464</v>
      </c>
      <c r="AV116" s="26">
        <v>2</v>
      </c>
      <c r="AW116" s="26" t="s">
        <v>465</v>
      </c>
      <c r="AX116" s="26" t="s">
        <v>119</v>
      </c>
      <c r="AY116" s="26" t="s">
        <v>120</v>
      </c>
      <c r="AZ116" s="26" t="s">
        <v>116</v>
      </c>
      <c r="BA116" s="26" t="s">
        <v>464</v>
      </c>
      <c r="BB116" s="26">
        <v>2</v>
      </c>
      <c r="BO116" s="31" t="s">
        <v>727</v>
      </c>
      <c r="BP116" s="31" t="s">
        <v>478</v>
      </c>
      <c r="BQ116" s="31"/>
      <c r="BR116" s="31" t="s">
        <v>355</v>
      </c>
      <c r="BS116" s="31">
        <v>4.7482000000000003E-2</v>
      </c>
      <c r="BT116" s="31">
        <v>7.3381000000000002E-2</v>
      </c>
      <c r="BU116" s="31">
        <v>9.7122E-2</v>
      </c>
      <c r="BV116" s="31" t="s">
        <v>129</v>
      </c>
      <c r="BW116" s="31">
        <v>8</v>
      </c>
      <c r="BX116" s="31">
        <v>0.24712000000000001</v>
      </c>
      <c r="BY116" s="31">
        <v>0.29783999999999999</v>
      </c>
      <c r="BZ116" s="31">
        <v>0.34964000000000001</v>
      </c>
      <c r="CA116" s="31" t="s">
        <v>129</v>
      </c>
      <c r="CB116" s="31">
        <v>8</v>
      </c>
      <c r="CC116" s="31" t="s">
        <v>467</v>
      </c>
      <c r="CD116" s="31" t="s">
        <v>470</v>
      </c>
      <c r="CE116" s="31"/>
    </row>
    <row r="117" spans="1:83" ht="72.5">
      <c r="A117" s="33">
        <v>14</v>
      </c>
      <c r="B117" s="26" t="s">
        <v>455</v>
      </c>
      <c r="C117" s="26">
        <v>2017</v>
      </c>
      <c r="D117" s="26" t="s">
        <v>456</v>
      </c>
      <c r="E117" s="57">
        <v>45078</v>
      </c>
      <c r="F117" s="31" t="s">
        <v>90</v>
      </c>
      <c r="G117" s="31" t="s">
        <v>360</v>
      </c>
      <c r="H117" s="31"/>
      <c r="I117" s="31" t="s">
        <v>457</v>
      </c>
      <c r="J117" s="26" t="s">
        <v>458</v>
      </c>
      <c r="K117" s="26" t="s">
        <v>97</v>
      </c>
      <c r="L117" s="26" t="s">
        <v>90</v>
      </c>
      <c r="M117" s="26" t="s">
        <v>95</v>
      </c>
      <c r="N117" s="26" t="s">
        <v>459</v>
      </c>
      <c r="O117" s="26" t="s">
        <v>97</v>
      </c>
      <c r="P117" s="26" t="s">
        <v>97</v>
      </c>
      <c r="S117" s="26" t="s">
        <v>90</v>
      </c>
      <c r="T117" s="26" t="s">
        <v>98</v>
      </c>
      <c r="U117" s="26" t="s">
        <v>99</v>
      </c>
      <c r="W117" s="26">
        <v>1</v>
      </c>
      <c r="X117" s="26">
        <v>2</v>
      </c>
      <c r="Y117" s="26" t="s">
        <v>102</v>
      </c>
      <c r="AA117" s="26" t="s">
        <v>300</v>
      </c>
      <c r="AB117" s="26" t="s">
        <v>105</v>
      </c>
      <c r="AC117" s="26" t="s">
        <v>460</v>
      </c>
      <c r="AD117" s="26" t="s">
        <v>461</v>
      </c>
      <c r="AE117" s="26" t="s">
        <v>462</v>
      </c>
      <c r="AF117" s="26">
        <v>2</v>
      </c>
      <c r="AG117" s="26" t="s">
        <v>90</v>
      </c>
      <c r="AH117" s="26" t="s">
        <v>463</v>
      </c>
      <c r="AI117" s="26" t="s">
        <v>150</v>
      </c>
      <c r="AJ117" s="26">
        <v>2</v>
      </c>
      <c r="AK117" s="26" t="s">
        <v>151</v>
      </c>
      <c r="AL117" s="26" t="s">
        <v>97</v>
      </c>
      <c r="AM117" s="26" t="s">
        <v>97</v>
      </c>
      <c r="AN117" s="26" t="s">
        <v>152</v>
      </c>
      <c r="AO117" s="26">
        <v>2</v>
      </c>
      <c r="AP117" s="26" t="s">
        <v>155</v>
      </c>
      <c r="AQ117" s="26" t="s">
        <v>119</v>
      </c>
      <c r="AR117" s="26" t="s">
        <v>114</v>
      </c>
      <c r="AS117" s="26" t="s">
        <v>120</v>
      </c>
      <c r="AT117" s="26" t="s">
        <v>116</v>
      </c>
      <c r="AU117" s="26" t="s">
        <v>464</v>
      </c>
      <c r="AV117" s="26">
        <v>2</v>
      </c>
      <c r="AW117" s="26" t="s">
        <v>465</v>
      </c>
      <c r="AX117" s="26" t="s">
        <v>119</v>
      </c>
      <c r="AY117" s="26" t="s">
        <v>120</v>
      </c>
      <c r="AZ117" s="26" t="s">
        <v>116</v>
      </c>
      <c r="BA117" s="26" t="s">
        <v>464</v>
      </c>
      <c r="BB117" s="26">
        <v>2</v>
      </c>
      <c r="BO117" s="31" t="s">
        <v>727</v>
      </c>
      <c r="BP117" s="31" t="s">
        <v>479</v>
      </c>
      <c r="BQ117" s="31"/>
      <c r="BR117" s="31" t="s">
        <v>355</v>
      </c>
      <c r="BS117" s="31">
        <v>3.1364000000000003E-2</v>
      </c>
      <c r="BT117" s="31">
        <v>4.8409000000000001E-2</v>
      </c>
      <c r="BU117" s="31">
        <v>6.5908999999999995E-2</v>
      </c>
      <c r="BV117" s="31" t="s">
        <v>129</v>
      </c>
      <c r="BW117" s="31">
        <v>8</v>
      </c>
      <c r="BX117" s="31">
        <v>7.2727E-2</v>
      </c>
      <c r="BY117" s="31">
        <v>8.9317999999999995E-2</v>
      </c>
      <c r="BZ117" s="31">
        <v>0.10659</v>
      </c>
      <c r="CA117" s="31" t="s">
        <v>129</v>
      </c>
      <c r="CB117" s="31">
        <v>8</v>
      </c>
      <c r="CC117" s="31" t="s">
        <v>472</v>
      </c>
      <c r="CD117" s="31" t="s">
        <v>473</v>
      </c>
      <c r="CE117" s="31"/>
    </row>
    <row r="118" spans="1:83" ht="72.5">
      <c r="A118" s="33">
        <v>14</v>
      </c>
      <c r="B118" s="26" t="s">
        <v>455</v>
      </c>
      <c r="C118" s="26">
        <v>2017</v>
      </c>
      <c r="D118" s="26" t="s">
        <v>456</v>
      </c>
      <c r="E118" s="57">
        <v>45078</v>
      </c>
      <c r="F118" s="31" t="s">
        <v>90</v>
      </c>
      <c r="G118" s="31" t="s">
        <v>360</v>
      </c>
      <c r="H118" s="31"/>
      <c r="I118" s="31" t="s">
        <v>457</v>
      </c>
      <c r="J118" s="26" t="s">
        <v>458</v>
      </c>
      <c r="K118" s="26" t="s">
        <v>97</v>
      </c>
      <c r="L118" s="26" t="s">
        <v>90</v>
      </c>
      <c r="M118" s="26" t="s">
        <v>95</v>
      </c>
      <c r="N118" s="26" t="s">
        <v>459</v>
      </c>
      <c r="O118" s="26" t="s">
        <v>97</v>
      </c>
      <c r="P118" s="26" t="s">
        <v>97</v>
      </c>
      <c r="S118" s="26" t="s">
        <v>90</v>
      </c>
      <c r="T118" s="26" t="s">
        <v>98</v>
      </c>
      <c r="U118" s="26" t="s">
        <v>99</v>
      </c>
      <c r="W118" s="26">
        <v>1</v>
      </c>
      <c r="X118" s="26">
        <v>2</v>
      </c>
      <c r="Y118" s="26" t="s">
        <v>102</v>
      </c>
      <c r="AA118" s="26" t="s">
        <v>300</v>
      </c>
      <c r="AB118" s="26" t="s">
        <v>105</v>
      </c>
      <c r="AC118" s="26" t="s">
        <v>460</v>
      </c>
      <c r="AD118" s="26" t="s">
        <v>461</v>
      </c>
      <c r="AE118" s="26" t="s">
        <v>462</v>
      </c>
      <c r="AF118" s="26">
        <v>2</v>
      </c>
      <c r="AG118" s="26" t="s">
        <v>90</v>
      </c>
      <c r="AH118" s="26" t="s">
        <v>463</v>
      </c>
      <c r="AI118" s="26" t="s">
        <v>150</v>
      </c>
      <c r="AJ118" s="26">
        <v>2</v>
      </c>
      <c r="AK118" s="26" t="s">
        <v>151</v>
      </c>
      <c r="AL118" s="26" t="s">
        <v>97</v>
      </c>
      <c r="AM118" s="26" t="s">
        <v>97</v>
      </c>
      <c r="AN118" s="26" t="s">
        <v>152</v>
      </c>
      <c r="AO118" s="26">
        <v>2</v>
      </c>
      <c r="AP118" s="26" t="s">
        <v>155</v>
      </c>
      <c r="AQ118" s="26" t="s">
        <v>119</v>
      </c>
      <c r="AR118" s="26" t="s">
        <v>114</v>
      </c>
      <c r="AS118" s="26" t="s">
        <v>120</v>
      </c>
      <c r="AT118" s="26" t="s">
        <v>116</v>
      </c>
      <c r="AU118" s="26" t="s">
        <v>464</v>
      </c>
      <c r="AV118" s="26">
        <v>2</v>
      </c>
      <c r="AW118" s="26" t="s">
        <v>465</v>
      </c>
      <c r="AX118" s="26" t="s">
        <v>119</v>
      </c>
      <c r="AY118" s="26" t="s">
        <v>120</v>
      </c>
      <c r="AZ118" s="26" t="s">
        <v>116</v>
      </c>
      <c r="BA118" s="26" t="s">
        <v>464</v>
      </c>
      <c r="BB118" s="26">
        <v>2</v>
      </c>
      <c r="BO118" s="31" t="s">
        <v>727</v>
      </c>
      <c r="BP118" s="31" t="s">
        <v>480</v>
      </c>
      <c r="BQ118" s="31"/>
      <c r="BR118" s="31" t="s">
        <v>355</v>
      </c>
      <c r="BS118" s="31">
        <v>0.10036</v>
      </c>
      <c r="BT118" s="31">
        <v>0.13705000000000001</v>
      </c>
      <c r="BU118" s="31">
        <v>0.17482</v>
      </c>
      <c r="BV118" s="31" t="s">
        <v>129</v>
      </c>
      <c r="BW118" s="31">
        <v>8</v>
      </c>
      <c r="BX118" s="31">
        <v>0.19747999999999999</v>
      </c>
      <c r="BY118" s="31">
        <v>0.23633000000000001</v>
      </c>
      <c r="BZ118" s="31">
        <v>0.27301999999999998</v>
      </c>
      <c r="CA118" s="31" t="s">
        <v>129</v>
      </c>
      <c r="CB118" s="31">
        <v>8</v>
      </c>
      <c r="CC118" s="31" t="s">
        <v>467</v>
      </c>
      <c r="CD118" s="31" t="s">
        <v>468</v>
      </c>
      <c r="CE118" s="31"/>
    </row>
    <row r="119" spans="1:83" ht="72.5">
      <c r="A119" s="33">
        <v>14</v>
      </c>
      <c r="B119" s="26" t="s">
        <v>455</v>
      </c>
      <c r="C119" s="26">
        <v>2017</v>
      </c>
      <c r="D119" s="26" t="s">
        <v>456</v>
      </c>
      <c r="E119" s="57">
        <v>45078</v>
      </c>
      <c r="F119" s="31" t="s">
        <v>90</v>
      </c>
      <c r="G119" s="31" t="s">
        <v>360</v>
      </c>
      <c r="H119" s="31"/>
      <c r="I119" s="31" t="s">
        <v>457</v>
      </c>
      <c r="J119" s="26" t="s">
        <v>458</v>
      </c>
      <c r="K119" s="26" t="s">
        <v>97</v>
      </c>
      <c r="L119" s="26" t="s">
        <v>90</v>
      </c>
      <c r="M119" s="26" t="s">
        <v>95</v>
      </c>
      <c r="N119" s="26" t="s">
        <v>459</v>
      </c>
      <c r="O119" s="26" t="s">
        <v>97</v>
      </c>
      <c r="P119" s="26" t="s">
        <v>97</v>
      </c>
      <c r="S119" s="26" t="s">
        <v>90</v>
      </c>
      <c r="T119" s="26" t="s">
        <v>98</v>
      </c>
      <c r="U119" s="26" t="s">
        <v>99</v>
      </c>
      <c r="W119" s="26">
        <v>1</v>
      </c>
      <c r="X119" s="26">
        <v>2</v>
      </c>
      <c r="Y119" s="26" t="s">
        <v>102</v>
      </c>
      <c r="AA119" s="26" t="s">
        <v>300</v>
      </c>
      <c r="AB119" s="26" t="s">
        <v>105</v>
      </c>
      <c r="AC119" s="26" t="s">
        <v>460</v>
      </c>
      <c r="AD119" s="26" t="s">
        <v>461</v>
      </c>
      <c r="AE119" s="26" t="s">
        <v>462</v>
      </c>
      <c r="AF119" s="26">
        <v>2</v>
      </c>
      <c r="AG119" s="26" t="s">
        <v>90</v>
      </c>
      <c r="AH119" s="26" t="s">
        <v>463</v>
      </c>
      <c r="AI119" s="26" t="s">
        <v>150</v>
      </c>
      <c r="AJ119" s="26">
        <v>2</v>
      </c>
      <c r="AK119" s="26" t="s">
        <v>151</v>
      </c>
      <c r="AL119" s="26" t="s">
        <v>97</v>
      </c>
      <c r="AM119" s="26" t="s">
        <v>97</v>
      </c>
      <c r="AN119" s="26" t="s">
        <v>152</v>
      </c>
      <c r="AO119" s="26">
        <v>2</v>
      </c>
      <c r="AP119" s="26" t="s">
        <v>155</v>
      </c>
      <c r="AQ119" s="26" t="s">
        <v>119</v>
      </c>
      <c r="AR119" s="26" t="s">
        <v>114</v>
      </c>
      <c r="AS119" s="26" t="s">
        <v>120</v>
      </c>
      <c r="AT119" s="26" t="s">
        <v>116</v>
      </c>
      <c r="AU119" s="26" t="s">
        <v>464</v>
      </c>
      <c r="AV119" s="26">
        <v>2</v>
      </c>
      <c r="AW119" s="26" t="s">
        <v>465</v>
      </c>
      <c r="AX119" s="26" t="s">
        <v>119</v>
      </c>
      <c r="AY119" s="26" t="s">
        <v>120</v>
      </c>
      <c r="AZ119" s="26" t="s">
        <v>116</v>
      </c>
      <c r="BA119" s="26" t="s">
        <v>464</v>
      </c>
      <c r="BB119" s="26">
        <v>2</v>
      </c>
      <c r="BO119" s="31" t="s">
        <v>727</v>
      </c>
      <c r="BP119" s="31" t="s">
        <v>481</v>
      </c>
      <c r="BQ119" s="31"/>
      <c r="BR119" s="31" t="s">
        <v>355</v>
      </c>
      <c r="BS119" s="31">
        <v>4.3166000000000003E-3</v>
      </c>
      <c r="BT119" s="31">
        <v>1.8345E-2</v>
      </c>
      <c r="BU119" s="31">
        <v>3.3450000000000001E-2</v>
      </c>
      <c r="BV119" s="31" t="s">
        <v>129</v>
      </c>
      <c r="BW119" s="31">
        <v>8</v>
      </c>
      <c r="BX119" s="31">
        <v>0.29568</v>
      </c>
      <c r="BY119" s="31">
        <v>0.34639999999999999</v>
      </c>
      <c r="BZ119" s="31">
        <v>0.3982</v>
      </c>
      <c r="CA119" s="31" t="s">
        <v>129</v>
      </c>
      <c r="CB119" s="31">
        <v>8</v>
      </c>
      <c r="CC119" s="31" t="s">
        <v>467</v>
      </c>
      <c r="CD119" s="31" t="s">
        <v>470</v>
      </c>
      <c r="CE119" s="31"/>
    </row>
    <row r="120" spans="1:83" ht="72.5">
      <c r="A120" s="33">
        <v>14</v>
      </c>
      <c r="B120" s="26" t="s">
        <v>455</v>
      </c>
      <c r="C120" s="26">
        <v>2017</v>
      </c>
      <c r="D120" s="26" t="s">
        <v>456</v>
      </c>
      <c r="E120" s="57">
        <v>45078</v>
      </c>
      <c r="F120" s="31" t="s">
        <v>90</v>
      </c>
      <c r="G120" s="31" t="s">
        <v>360</v>
      </c>
      <c r="H120" s="31"/>
      <c r="I120" s="31" t="s">
        <v>457</v>
      </c>
      <c r="J120" s="26" t="s">
        <v>458</v>
      </c>
      <c r="K120" s="26" t="s">
        <v>97</v>
      </c>
      <c r="L120" s="26" t="s">
        <v>90</v>
      </c>
      <c r="M120" s="26" t="s">
        <v>95</v>
      </c>
      <c r="N120" s="26" t="s">
        <v>459</v>
      </c>
      <c r="O120" s="26" t="s">
        <v>97</v>
      </c>
      <c r="P120" s="26" t="s">
        <v>97</v>
      </c>
      <c r="S120" s="26" t="s">
        <v>90</v>
      </c>
      <c r="T120" s="26" t="s">
        <v>98</v>
      </c>
      <c r="U120" s="26" t="s">
        <v>99</v>
      </c>
      <c r="W120" s="26">
        <v>1</v>
      </c>
      <c r="X120" s="26">
        <v>2</v>
      </c>
      <c r="Y120" s="26" t="s">
        <v>102</v>
      </c>
      <c r="AA120" s="26" t="s">
        <v>300</v>
      </c>
      <c r="AB120" s="26" t="s">
        <v>105</v>
      </c>
      <c r="AC120" s="26" t="s">
        <v>460</v>
      </c>
      <c r="AD120" s="26" t="s">
        <v>461</v>
      </c>
      <c r="AE120" s="26" t="s">
        <v>462</v>
      </c>
      <c r="AF120" s="26">
        <v>2</v>
      </c>
      <c r="AG120" s="26" t="s">
        <v>90</v>
      </c>
      <c r="AH120" s="26" t="s">
        <v>463</v>
      </c>
      <c r="AI120" s="26" t="s">
        <v>150</v>
      </c>
      <c r="AJ120" s="26">
        <v>2</v>
      </c>
      <c r="AK120" s="26" t="s">
        <v>151</v>
      </c>
      <c r="AL120" s="26" t="s">
        <v>97</v>
      </c>
      <c r="AM120" s="26" t="s">
        <v>97</v>
      </c>
      <c r="AN120" s="26" t="s">
        <v>152</v>
      </c>
      <c r="AO120" s="26">
        <v>2</v>
      </c>
      <c r="AP120" s="26" t="s">
        <v>155</v>
      </c>
      <c r="AQ120" s="26" t="s">
        <v>119</v>
      </c>
      <c r="AR120" s="26" t="s">
        <v>114</v>
      </c>
      <c r="AS120" s="26" t="s">
        <v>120</v>
      </c>
      <c r="AT120" s="26" t="s">
        <v>116</v>
      </c>
      <c r="AU120" s="26" t="s">
        <v>464</v>
      </c>
      <c r="AV120" s="26">
        <v>2</v>
      </c>
      <c r="AW120" s="26" t="s">
        <v>465</v>
      </c>
      <c r="AX120" s="26" t="s">
        <v>119</v>
      </c>
      <c r="AY120" s="26" t="s">
        <v>120</v>
      </c>
      <c r="AZ120" s="26" t="s">
        <v>116</v>
      </c>
      <c r="BA120" s="26" t="s">
        <v>464</v>
      </c>
      <c r="BB120" s="26">
        <v>2</v>
      </c>
      <c r="BO120" s="31" t="s">
        <v>727</v>
      </c>
      <c r="BP120" s="31" t="s">
        <v>482</v>
      </c>
      <c r="BQ120" s="31"/>
      <c r="BR120" s="31" t="s">
        <v>355</v>
      </c>
      <c r="BS120" s="31">
        <v>0</v>
      </c>
      <c r="BT120" s="31">
        <v>8.1817999999999995E-3</v>
      </c>
      <c r="BU120" s="31">
        <v>1.6364E-2</v>
      </c>
      <c r="BV120" s="31" t="s">
        <v>129</v>
      </c>
      <c r="BW120" s="31">
        <v>8</v>
      </c>
      <c r="BX120" s="31">
        <v>5.4091E-2</v>
      </c>
      <c r="BY120" s="31">
        <v>7.3181999999999997E-2</v>
      </c>
      <c r="BZ120" s="31">
        <v>9.3182000000000001E-2</v>
      </c>
      <c r="CA120" s="31" t="s">
        <v>129</v>
      </c>
      <c r="CB120" s="31">
        <v>8</v>
      </c>
      <c r="CC120" s="31" t="s">
        <v>472</v>
      </c>
      <c r="CD120" s="31" t="s">
        <v>473</v>
      </c>
      <c r="CE120" s="31"/>
    </row>
    <row r="121" spans="1:83" ht="116">
      <c r="A121" s="26">
        <v>2</v>
      </c>
      <c r="B121" s="47">
        <v>2.006E+26</v>
      </c>
      <c r="C121" s="26">
        <v>2006</v>
      </c>
      <c r="D121" s="26" t="s">
        <v>283</v>
      </c>
      <c r="E121" s="30">
        <v>44704</v>
      </c>
      <c r="F121" s="31" t="s">
        <v>97</v>
      </c>
      <c r="G121" s="31" t="s">
        <v>135</v>
      </c>
      <c r="H121" s="31">
        <v>1</v>
      </c>
      <c r="I121" s="31" t="s">
        <v>728</v>
      </c>
      <c r="J121" s="26" t="s">
        <v>285</v>
      </c>
      <c r="K121" s="26" t="s">
        <v>97</v>
      </c>
      <c r="L121" s="26" t="s">
        <v>90</v>
      </c>
      <c r="M121" s="26" t="s">
        <v>95</v>
      </c>
      <c r="N121" s="26" t="s">
        <v>286</v>
      </c>
      <c r="O121" s="26" t="s">
        <v>97</v>
      </c>
      <c r="P121" s="26" t="s">
        <v>97</v>
      </c>
      <c r="S121" s="26" t="s">
        <v>90</v>
      </c>
      <c r="T121" s="26" t="s">
        <v>191</v>
      </c>
      <c r="U121" s="26" t="s">
        <v>99</v>
      </c>
      <c r="W121" s="26">
        <v>2</v>
      </c>
      <c r="X121" s="26">
        <v>2</v>
      </c>
      <c r="Y121" s="26" t="s">
        <v>102</v>
      </c>
      <c r="AA121" s="26" t="s">
        <v>287</v>
      </c>
      <c r="AB121" s="26" t="s">
        <v>105</v>
      </c>
      <c r="AC121" s="26" t="s">
        <v>288</v>
      </c>
      <c r="AD121" s="26" t="s">
        <v>289</v>
      </c>
      <c r="AE121" s="26" t="s">
        <v>148</v>
      </c>
      <c r="AF121" s="26">
        <v>1</v>
      </c>
      <c r="AG121" s="26" t="s">
        <v>160</v>
      </c>
      <c r="AH121" s="26" t="s">
        <v>155</v>
      </c>
      <c r="AI121" s="26" t="s">
        <v>110</v>
      </c>
      <c r="AJ121" s="26">
        <v>2</v>
      </c>
      <c r="AK121" s="26" t="s">
        <v>151</v>
      </c>
      <c r="AL121" s="26" t="s">
        <v>97</v>
      </c>
      <c r="AM121" s="26" t="s">
        <v>97</v>
      </c>
      <c r="AN121" s="26" t="s">
        <v>152</v>
      </c>
      <c r="AO121" s="26">
        <v>2</v>
      </c>
      <c r="AP121" s="26" t="s">
        <v>290</v>
      </c>
      <c r="AQ121" s="26" t="s">
        <v>119</v>
      </c>
      <c r="AR121" s="26" t="s">
        <v>114</v>
      </c>
      <c r="AS121" s="26" t="s">
        <v>120</v>
      </c>
      <c r="AT121" s="26" t="s">
        <v>116</v>
      </c>
      <c r="AU121" s="26" t="s">
        <v>291</v>
      </c>
      <c r="AV121" s="26">
        <v>3</v>
      </c>
      <c r="BO121" s="31"/>
      <c r="BP121" s="31"/>
      <c r="BQ121" s="31"/>
      <c r="BR121" s="31"/>
      <c r="BS121" s="31"/>
      <c r="BT121" s="31"/>
      <c r="BU121" s="31"/>
      <c r="BV121" s="31"/>
      <c r="BW121" s="31"/>
      <c r="BX121" s="31"/>
      <c r="BY121" s="31"/>
      <c r="BZ121" s="31"/>
      <c r="CA121" s="31"/>
      <c r="CB121" s="31"/>
      <c r="CC121" s="31"/>
      <c r="CD121" s="31"/>
      <c r="CE121" s="31"/>
    </row>
    <row r="122" spans="1:83" ht="116">
      <c r="A122" s="26">
        <v>2</v>
      </c>
      <c r="B122" s="47">
        <v>2.006E+26</v>
      </c>
      <c r="C122" s="26">
        <v>2006</v>
      </c>
      <c r="D122" s="26" t="s">
        <v>283</v>
      </c>
      <c r="E122" s="30">
        <v>44704</v>
      </c>
      <c r="F122" s="31" t="s">
        <v>97</v>
      </c>
      <c r="G122" s="31" t="s">
        <v>135</v>
      </c>
      <c r="H122" s="31">
        <v>1</v>
      </c>
      <c r="I122" s="31"/>
      <c r="J122" s="26" t="s">
        <v>285</v>
      </c>
      <c r="K122" s="26" t="s">
        <v>97</v>
      </c>
      <c r="L122" s="26" t="s">
        <v>90</v>
      </c>
      <c r="M122" s="26" t="s">
        <v>95</v>
      </c>
      <c r="N122" s="26" t="s">
        <v>286</v>
      </c>
      <c r="O122" s="26" t="s">
        <v>97</v>
      </c>
      <c r="P122" s="26" t="s">
        <v>97</v>
      </c>
      <c r="S122" s="26" t="s">
        <v>90</v>
      </c>
      <c r="T122" s="26" t="s">
        <v>191</v>
      </c>
      <c r="U122" s="26" t="s">
        <v>99</v>
      </c>
      <c r="W122" s="26">
        <v>2</v>
      </c>
      <c r="X122" s="26">
        <v>2</v>
      </c>
      <c r="Y122" s="26" t="s">
        <v>102</v>
      </c>
      <c r="AA122" s="26" t="s">
        <v>287</v>
      </c>
      <c r="AB122" s="26" t="s">
        <v>105</v>
      </c>
      <c r="AC122" s="26" t="s">
        <v>288</v>
      </c>
      <c r="AD122" s="26" t="s">
        <v>289</v>
      </c>
      <c r="AE122" s="26" t="s">
        <v>148</v>
      </c>
      <c r="AF122" s="26">
        <v>1</v>
      </c>
      <c r="AG122" s="26" t="s">
        <v>160</v>
      </c>
      <c r="AH122" s="26" t="s">
        <v>155</v>
      </c>
      <c r="AI122" s="26" t="s">
        <v>110</v>
      </c>
      <c r="AJ122" s="26">
        <v>2</v>
      </c>
      <c r="AK122" s="26" t="s">
        <v>151</v>
      </c>
      <c r="AL122" s="26" t="s">
        <v>97</v>
      </c>
      <c r="AM122" s="26" t="s">
        <v>97</v>
      </c>
      <c r="AN122" s="26" t="s">
        <v>152</v>
      </c>
      <c r="AO122" s="26">
        <v>2</v>
      </c>
      <c r="AP122" s="26" t="s">
        <v>290</v>
      </c>
      <c r="AQ122" s="26" t="s">
        <v>119</v>
      </c>
      <c r="AR122" s="26" t="s">
        <v>114</v>
      </c>
      <c r="AS122" s="26" t="s">
        <v>120</v>
      </c>
      <c r="AT122" s="26" t="s">
        <v>116</v>
      </c>
      <c r="AU122" s="26" t="s">
        <v>291</v>
      </c>
      <c r="AV122" s="26">
        <v>3</v>
      </c>
      <c r="BO122" s="31"/>
      <c r="BP122" s="31"/>
      <c r="BQ122" s="31"/>
      <c r="BR122" s="31"/>
      <c r="BS122" s="31"/>
      <c r="BT122" s="31"/>
      <c r="BU122" s="31"/>
      <c r="BV122" s="31"/>
      <c r="BW122" s="31"/>
      <c r="BX122" s="31"/>
      <c r="BY122" s="31"/>
      <c r="BZ122" s="31"/>
      <c r="CA122" s="31"/>
      <c r="CB122" s="31"/>
      <c r="CC122" s="31"/>
      <c r="CD122" s="31"/>
      <c r="CE122" s="31"/>
    </row>
    <row r="123" spans="1:83" ht="116">
      <c r="A123" s="26">
        <v>2</v>
      </c>
      <c r="B123" s="47">
        <v>2.006E+26</v>
      </c>
      <c r="C123" s="26">
        <v>2006</v>
      </c>
      <c r="D123" s="26" t="s">
        <v>283</v>
      </c>
      <c r="E123" s="30">
        <v>44704</v>
      </c>
      <c r="F123" s="31" t="s">
        <v>97</v>
      </c>
      <c r="G123" s="31" t="s">
        <v>135</v>
      </c>
      <c r="H123" s="31">
        <v>1</v>
      </c>
      <c r="I123" s="31"/>
      <c r="J123" s="26" t="s">
        <v>285</v>
      </c>
      <c r="K123" s="26" t="s">
        <v>97</v>
      </c>
      <c r="L123" s="26" t="s">
        <v>90</v>
      </c>
      <c r="M123" s="26" t="s">
        <v>95</v>
      </c>
      <c r="N123" s="26" t="s">
        <v>286</v>
      </c>
      <c r="O123" s="26" t="s">
        <v>97</v>
      </c>
      <c r="P123" s="26" t="s">
        <v>97</v>
      </c>
      <c r="S123" s="26" t="s">
        <v>90</v>
      </c>
      <c r="T123" s="26" t="s">
        <v>191</v>
      </c>
      <c r="U123" s="26" t="s">
        <v>99</v>
      </c>
      <c r="W123" s="26">
        <v>2</v>
      </c>
      <c r="X123" s="26">
        <v>2</v>
      </c>
      <c r="Y123" s="26" t="s">
        <v>102</v>
      </c>
      <c r="AA123" s="26" t="s">
        <v>287</v>
      </c>
      <c r="AB123" s="26" t="s">
        <v>105</v>
      </c>
      <c r="AC123" s="26" t="s">
        <v>288</v>
      </c>
      <c r="AD123" s="26" t="s">
        <v>289</v>
      </c>
      <c r="AE123" s="26" t="s">
        <v>148</v>
      </c>
      <c r="AF123" s="26">
        <v>1</v>
      </c>
      <c r="AG123" s="26" t="s">
        <v>160</v>
      </c>
      <c r="AH123" s="26" t="s">
        <v>155</v>
      </c>
      <c r="AI123" s="26" t="s">
        <v>110</v>
      </c>
      <c r="AJ123" s="26">
        <v>2</v>
      </c>
      <c r="AK123" s="26" t="s">
        <v>151</v>
      </c>
      <c r="AL123" s="26" t="s">
        <v>97</v>
      </c>
      <c r="AM123" s="26" t="s">
        <v>97</v>
      </c>
      <c r="AN123" s="26" t="s">
        <v>152</v>
      </c>
      <c r="AO123" s="26">
        <v>2</v>
      </c>
      <c r="AP123" s="26" t="s">
        <v>290</v>
      </c>
      <c r="AQ123" s="26" t="s">
        <v>119</v>
      </c>
      <c r="AR123" s="26" t="s">
        <v>114</v>
      </c>
      <c r="AS123" s="26" t="s">
        <v>120</v>
      </c>
      <c r="AT123" s="26" t="s">
        <v>116</v>
      </c>
      <c r="AU123" s="26" t="s">
        <v>291</v>
      </c>
      <c r="AV123" s="26">
        <v>3</v>
      </c>
      <c r="BO123" s="31"/>
      <c r="BP123" s="31"/>
      <c r="BQ123" s="31"/>
      <c r="BR123" s="31"/>
      <c r="BS123" s="31"/>
      <c r="BT123" s="31"/>
      <c r="BU123" s="31"/>
      <c r="BV123" s="31"/>
      <c r="BW123" s="31"/>
      <c r="BX123" s="31"/>
      <c r="BY123" s="31"/>
      <c r="BZ123" s="31"/>
      <c r="CA123" s="31"/>
      <c r="CB123" s="31"/>
      <c r="CC123" s="31"/>
      <c r="CD123" s="31"/>
      <c r="CE123" s="31"/>
    </row>
    <row r="124" spans="1:83" ht="116">
      <c r="A124" s="26">
        <v>2</v>
      </c>
      <c r="B124" s="47">
        <v>2.006E+26</v>
      </c>
      <c r="C124" s="26">
        <v>2006</v>
      </c>
      <c r="D124" s="26" t="s">
        <v>283</v>
      </c>
      <c r="E124" s="30">
        <v>44704</v>
      </c>
      <c r="F124" s="31" t="s">
        <v>97</v>
      </c>
      <c r="G124" s="31" t="s">
        <v>135</v>
      </c>
      <c r="H124" s="31">
        <v>1</v>
      </c>
      <c r="I124" s="31"/>
      <c r="J124" s="26" t="s">
        <v>285</v>
      </c>
      <c r="K124" s="26" t="s">
        <v>97</v>
      </c>
      <c r="L124" s="26" t="s">
        <v>90</v>
      </c>
      <c r="M124" s="26" t="s">
        <v>95</v>
      </c>
      <c r="N124" s="26" t="s">
        <v>286</v>
      </c>
      <c r="O124" s="26" t="s">
        <v>97</v>
      </c>
      <c r="P124" s="26" t="s">
        <v>97</v>
      </c>
      <c r="S124" s="26" t="s">
        <v>90</v>
      </c>
      <c r="T124" s="26" t="s">
        <v>191</v>
      </c>
      <c r="U124" s="26" t="s">
        <v>99</v>
      </c>
      <c r="W124" s="26">
        <v>2</v>
      </c>
      <c r="X124" s="26">
        <v>2</v>
      </c>
      <c r="Y124" s="26" t="s">
        <v>102</v>
      </c>
      <c r="AA124" s="26" t="s">
        <v>287</v>
      </c>
      <c r="AB124" s="26" t="s">
        <v>105</v>
      </c>
      <c r="AC124" s="26" t="s">
        <v>288</v>
      </c>
      <c r="AD124" s="26" t="s">
        <v>289</v>
      </c>
      <c r="AE124" s="26" t="s">
        <v>148</v>
      </c>
      <c r="AF124" s="26">
        <v>1</v>
      </c>
      <c r="AG124" s="26" t="s">
        <v>160</v>
      </c>
      <c r="AH124" s="26" t="s">
        <v>155</v>
      </c>
      <c r="AI124" s="26" t="s">
        <v>110</v>
      </c>
      <c r="AJ124" s="26">
        <v>2</v>
      </c>
      <c r="AK124" s="26" t="s">
        <v>151</v>
      </c>
      <c r="AL124" s="26" t="s">
        <v>97</v>
      </c>
      <c r="AM124" s="26" t="s">
        <v>97</v>
      </c>
      <c r="AN124" s="26" t="s">
        <v>152</v>
      </c>
      <c r="AO124" s="26">
        <v>2</v>
      </c>
      <c r="AP124" s="26" t="s">
        <v>290</v>
      </c>
      <c r="AQ124" s="26" t="s">
        <v>119</v>
      </c>
      <c r="AR124" s="26" t="s">
        <v>114</v>
      </c>
      <c r="AS124" s="26" t="s">
        <v>120</v>
      </c>
      <c r="AT124" s="26" t="s">
        <v>116</v>
      </c>
      <c r="AU124" s="26" t="s">
        <v>291</v>
      </c>
      <c r="AV124" s="26">
        <v>3</v>
      </c>
      <c r="BO124" s="31"/>
      <c r="BP124" s="31"/>
      <c r="BQ124" s="31"/>
      <c r="BR124" s="31"/>
      <c r="BS124" s="31"/>
      <c r="BT124" s="31"/>
      <c r="BU124" s="31"/>
      <c r="BV124" s="31"/>
      <c r="BW124" s="31"/>
      <c r="BX124" s="31"/>
      <c r="BY124" s="31"/>
      <c r="BZ124" s="31"/>
      <c r="CA124" s="31"/>
      <c r="CB124" s="31"/>
      <c r="CC124" s="31"/>
      <c r="CD124" s="31"/>
      <c r="CE124" s="31"/>
    </row>
    <row r="125" spans="1:83" ht="116">
      <c r="A125" s="26">
        <v>2</v>
      </c>
      <c r="B125" s="47">
        <v>2.006E+26</v>
      </c>
      <c r="C125" s="26">
        <v>2006</v>
      </c>
      <c r="D125" s="26" t="s">
        <v>283</v>
      </c>
      <c r="E125" s="30">
        <v>44704</v>
      </c>
      <c r="F125" s="31" t="s">
        <v>97</v>
      </c>
      <c r="G125" s="31" t="s">
        <v>135</v>
      </c>
      <c r="H125" s="31">
        <v>1</v>
      </c>
      <c r="I125" s="31"/>
      <c r="J125" s="26" t="s">
        <v>285</v>
      </c>
      <c r="K125" s="26" t="s">
        <v>97</v>
      </c>
      <c r="L125" s="26" t="s">
        <v>90</v>
      </c>
      <c r="M125" s="26" t="s">
        <v>95</v>
      </c>
      <c r="N125" s="26" t="s">
        <v>286</v>
      </c>
      <c r="O125" s="26" t="s">
        <v>97</v>
      </c>
      <c r="P125" s="26" t="s">
        <v>97</v>
      </c>
      <c r="S125" s="26" t="s">
        <v>90</v>
      </c>
      <c r="T125" s="26" t="s">
        <v>191</v>
      </c>
      <c r="U125" s="26" t="s">
        <v>99</v>
      </c>
      <c r="W125" s="26">
        <v>2</v>
      </c>
      <c r="X125" s="26">
        <v>2</v>
      </c>
      <c r="Y125" s="26" t="s">
        <v>102</v>
      </c>
      <c r="AA125" s="26" t="s">
        <v>287</v>
      </c>
      <c r="AB125" s="26" t="s">
        <v>105</v>
      </c>
      <c r="AC125" s="26" t="s">
        <v>288</v>
      </c>
      <c r="AD125" s="26" t="s">
        <v>289</v>
      </c>
      <c r="AE125" s="26" t="s">
        <v>148</v>
      </c>
      <c r="AF125" s="26">
        <v>1</v>
      </c>
      <c r="AG125" s="26" t="s">
        <v>160</v>
      </c>
      <c r="AH125" s="26" t="s">
        <v>155</v>
      </c>
      <c r="AI125" s="26" t="s">
        <v>110</v>
      </c>
      <c r="AJ125" s="26">
        <v>2</v>
      </c>
      <c r="AK125" s="26" t="s">
        <v>151</v>
      </c>
      <c r="AL125" s="26" t="s">
        <v>97</v>
      </c>
      <c r="AM125" s="26" t="s">
        <v>97</v>
      </c>
      <c r="AN125" s="26" t="s">
        <v>152</v>
      </c>
      <c r="AO125" s="26">
        <v>2</v>
      </c>
      <c r="AP125" s="26" t="s">
        <v>290</v>
      </c>
      <c r="AQ125" s="26" t="s">
        <v>119</v>
      </c>
      <c r="AR125" s="26" t="s">
        <v>114</v>
      </c>
      <c r="AS125" s="26" t="s">
        <v>120</v>
      </c>
      <c r="AT125" s="26" t="s">
        <v>116</v>
      </c>
      <c r="AU125" s="26" t="s">
        <v>291</v>
      </c>
      <c r="AV125" s="26">
        <v>3</v>
      </c>
      <c r="BO125" s="31"/>
      <c r="BP125" s="31"/>
      <c r="BQ125" s="31"/>
      <c r="BR125" s="31"/>
      <c r="BS125" s="31"/>
      <c r="BT125" s="31"/>
      <c r="BU125" s="31"/>
      <c r="BV125" s="31"/>
      <c r="BW125" s="31"/>
      <c r="BX125" s="31"/>
      <c r="BY125" s="31"/>
      <c r="BZ125" s="31"/>
      <c r="CA125" s="31"/>
      <c r="CB125" s="31"/>
      <c r="CC125" s="31"/>
      <c r="CD125" s="31"/>
      <c r="CE125" s="31"/>
    </row>
    <row r="126" spans="1:83" ht="116">
      <c r="A126" s="26">
        <v>2</v>
      </c>
      <c r="B126" s="47">
        <v>2.006E+26</v>
      </c>
      <c r="C126" s="26">
        <v>2006</v>
      </c>
      <c r="D126" s="26" t="s">
        <v>283</v>
      </c>
      <c r="E126" s="30">
        <v>44704</v>
      </c>
      <c r="F126" s="31" t="s">
        <v>97</v>
      </c>
      <c r="G126" s="31" t="s">
        <v>135</v>
      </c>
      <c r="H126" s="31">
        <v>1</v>
      </c>
      <c r="I126" s="31"/>
      <c r="J126" s="26" t="s">
        <v>285</v>
      </c>
      <c r="K126" s="26" t="s">
        <v>97</v>
      </c>
      <c r="L126" s="26" t="s">
        <v>90</v>
      </c>
      <c r="M126" s="26" t="s">
        <v>95</v>
      </c>
      <c r="N126" s="26" t="s">
        <v>286</v>
      </c>
      <c r="O126" s="26" t="s">
        <v>97</v>
      </c>
      <c r="P126" s="26" t="s">
        <v>97</v>
      </c>
      <c r="S126" s="26" t="s">
        <v>90</v>
      </c>
      <c r="T126" s="26" t="s">
        <v>191</v>
      </c>
      <c r="U126" s="26" t="s">
        <v>99</v>
      </c>
      <c r="W126" s="26">
        <v>2</v>
      </c>
      <c r="X126" s="26">
        <v>2</v>
      </c>
      <c r="Y126" s="26" t="s">
        <v>102</v>
      </c>
      <c r="AA126" s="26" t="s">
        <v>287</v>
      </c>
      <c r="AB126" s="26" t="s">
        <v>105</v>
      </c>
      <c r="AC126" s="26" t="s">
        <v>288</v>
      </c>
      <c r="AD126" s="26" t="s">
        <v>289</v>
      </c>
      <c r="AE126" s="26" t="s">
        <v>148</v>
      </c>
      <c r="AF126" s="26">
        <v>1</v>
      </c>
      <c r="AG126" s="26" t="s">
        <v>160</v>
      </c>
      <c r="AH126" s="26" t="s">
        <v>155</v>
      </c>
      <c r="AI126" s="26" t="s">
        <v>110</v>
      </c>
      <c r="AJ126" s="26">
        <v>2</v>
      </c>
      <c r="AK126" s="26" t="s">
        <v>151</v>
      </c>
      <c r="AL126" s="26" t="s">
        <v>97</v>
      </c>
      <c r="AM126" s="26" t="s">
        <v>97</v>
      </c>
      <c r="AN126" s="26" t="s">
        <v>152</v>
      </c>
      <c r="AO126" s="26">
        <v>2</v>
      </c>
      <c r="AP126" s="26" t="s">
        <v>290</v>
      </c>
      <c r="AQ126" s="26" t="s">
        <v>119</v>
      </c>
      <c r="AR126" s="26" t="s">
        <v>114</v>
      </c>
      <c r="AS126" s="26" t="s">
        <v>120</v>
      </c>
      <c r="AT126" s="26" t="s">
        <v>116</v>
      </c>
      <c r="AU126" s="26" t="s">
        <v>291</v>
      </c>
      <c r="AV126" s="26">
        <v>3</v>
      </c>
      <c r="BO126" s="31"/>
      <c r="BP126" s="31"/>
      <c r="BQ126" s="31"/>
      <c r="BR126" s="31"/>
      <c r="BS126" s="31"/>
      <c r="BT126" s="31"/>
      <c r="BU126" s="31"/>
      <c r="BV126" s="31"/>
      <c r="BW126" s="31"/>
      <c r="BX126" s="31"/>
      <c r="BY126" s="31"/>
      <c r="BZ126" s="31"/>
      <c r="CA126" s="31"/>
      <c r="CB126" s="31"/>
      <c r="CC126" s="31"/>
      <c r="CD126" s="31"/>
      <c r="CE126" s="31"/>
    </row>
    <row r="127" spans="1:83" ht="116">
      <c r="A127" s="26">
        <v>2</v>
      </c>
      <c r="B127" s="47">
        <v>2.006E+26</v>
      </c>
      <c r="C127" s="26">
        <v>2006</v>
      </c>
      <c r="D127" s="26" t="s">
        <v>283</v>
      </c>
      <c r="E127" s="30">
        <v>44704</v>
      </c>
      <c r="F127" s="31" t="s">
        <v>97</v>
      </c>
      <c r="G127" s="31" t="s">
        <v>135</v>
      </c>
      <c r="H127" s="31">
        <v>1</v>
      </c>
      <c r="I127" s="31"/>
      <c r="J127" s="26" t="s">
        <v>285</v>
      </c>
      <c r="K127" s="26" t="s">
        <v>97</v>
      </c>
      <c r="L127" s="26" t="s">
        <v>90</v>
      </c>
      <c r="M127" s="26" t="s">
        <v>95</v>
      </c>
      <c r="N127" s="26" t="s">
        <v>286</v>
      </c>
      <c r="O127" s="26" t="s">
        <v>97</v>
      </c>
      <c r="P127" s="26" t="s">
        <v>97</v>
      </c>
      <c r="S127" s="26" t="s">
        <v>90</v>
      </c>
      <c r="T127" s="26" t="s">
        <v>191</v>
      </c>
      <c r="U127" s="26" t="s">
        <v>99</v>
      </c>
      <c r="W127" s="26">
        <v>2</v>
      </c>
      <c r="X127" s="26">
        <v>2</v>
      </c>
      <c r="Y127" s="26" t="s">
        <v>102</v>
      </c>
      <c r="AA127" s="26" t="s">
        <v>287</v>
      </c>
      <c r="AB127" s="26" t="s">
        <v>105</v>
      </c>
      <c r="AC127" s="26" t="s">
        <v>288</v>
      </c>
      <c r="AD127" s="26" t="s">
        <v>289</v>
      </c>
      <c r="AE127" s="26" t="s">
        <v>148</v>
      </c>
      <c r="AF127" s="26">
        <v>1</v>
      </c>
      <c r="AG127" s="26" t="s">
        <v>160</v>
      </c>
      <c r="AH127" s="26" t="s">
        <v>155</v>
      </c>
      <c r="AI127" s="26" t="s">
        <v>110</v>
      </c>
      <c r="AJ127" s="26">
        <v>2</v>
      </c>
      <c r="AK127" s="26" t="s">
        <v>151</v>
      </c>
      <c r="AL127" s="26" t="s">
        <v>97</v>
      </c>
      <c r="AM127" s="26" t="s">
        <v>97</v>
      </c>
      <c r="AN127" s="26" t="s">
        <v>152</v>
      </c>
      <c r="AO127" s="26">
        <v>2</v>
      </c>
      <c r="AP127" s="26" t="s">
        <v>290</v>
      </c>
      <c r="AQ127" s="26" t="s">
        <v>119</v>
      </c>
      <c r="AR127" s="26" t="s">
        <v>114</v>
      </c>
      <c r="AS127" s="26" t="s">
        <v>120</v>
      </c>
      <c r="AT127" s="26" t="s">
        <v>116</v>
      </c>
      <c r="AU127" s="26" t="s">
        <v>291</v>
      </c>
      <c r="AV127" s="26">
        <v>3</v>
      </c>
      <c r="BO127" s="31"/>
      <c r="BP127" s="31"/>
      <c r="BQ127" s="31"/>
      <c r="BR127" s="31"/>
      <c r="BS127" s="31"/>
      <c r="BT127" s="31"/>
      <c r="BU127" s="31"/>
      <c r="BV127" s="31"/>
      <c r="BW127" s="31"/>
      <c r="BX127" s="31"/>
      <c r="BY127" s="31"/>
      <c r="BZ127" s="31"/>
      <c r="CA127" s="31"/>
      <c r="CB127" s="31"/>
      <c r="CC127" s="31"/>
      <c r="CD127" s="31"/>
      <c r="CE127" s="31"/>
    </row>
    <row r="128" spans="1:83" ht="116">
      <c r="A128" s="26">
        <v>2</v>
      </c>
      <c r="B128" s="47">
        <v>2.006E+26</v>
      </c>
      <c r="C128" s="26">
        <v>2006</v>
      </c>
      <c r="D128" s="26" t="s">
        <v>283</v>
      </c>
      <c r="E128" s="30">
        <v>44704</v>
      </c>
      <c r="F128" s="31" t="s">
        <v>97</v>
      </c>
      <c r="G128" s="31" t="s">
        <v>135</v>
      </c>
      <c r="H128" s="31">
        <v>1</v>
      </c>
      <c r="I128" s="31"/>
      <c r="J128" s="26" t="s">
        <v>285</v>
      </c>
      <c r="K128" s="26" t="s">
        <v>97</v>
      </c>
      <c r="L128" s="26" t="s">
        <v>90</v>
      </c>
      <c r="M128" s="26" t="s">
        <v>95</v>
      </c>
      <c r="N128" s="26" t="s">
        <v>286</v>
      </c>
      <c r="O128" s="26" t="s">
        <v>97</v>
      </c>
      <c r="P128" s="26" t="s">
        <v>97</v>
      </c>
      <c r="S128" s="26" t="s">
        <v>90</v>
      </c>
      <c r="T128" s="26" t="s">
        <v>191</v>
      </c>
      <c r="U128" s="26" t="s">
        <v>99</v>
      </c>
      <c r="W128" s="26">
        <v>2</v>
      </c>
      <c r="X128" s="26">
        <v>2</v>
      </c>
      <c r="Y128" s="26" t="s">
        <v>102</v>
      </c>
      <c r="AA128" s="26" t="s">
        <v>287</v>
      </c>
      <c r="AB128" s="26" t="s">
        <v>105</v>
      </c>
      <c r="AC128" s="26" t="s">
        <v>288</v>
      </c>
      <c r="AD128" s="26" t="s">
        <v>289</v>
      </c>
      <c r="AE128" s="26" t="s">
        <v>148</v>
      </c>
      <c r="AF128" s="26">
        <v>1</v>
      </c>
      <c r="AG128" s="26" t="s">
        <v>160</v>
      </c>
      <c r="AH128" s="26" t="s">
        <v>155</v>
      </c>
      <c r="AI128" s="26" t="s">
        <v>110</v>
      </c>
      <c r="AJ128" s="26">
        <v>2</v>
      </c>
      <c r="AK128" s="26" t="s">
        <v>151</v>
      </c>
      <c r="AL128" s="26" t="s">
        <v>97</v>
      </c>
      <c r="AM128" s="26" t="s">
        <v>97</v>
      </c>
      <c r="AN128" s="26" t="s">
        <v>152</v>
      </c>
      <c r="AO128" s="26">
        <v>2</v>
      </c>
      <c r="AP128" s="26" t="s">
        <v>290</v>
      </c>
      <c r="AQ128" s="26" t="s">
        <v>119</v>
      </c>
      <c r="AR128" s="26" t="s">
        <v>114</v>
      </c>
      <c r="AS128" s="26" t="s">
        <v>120</v>
      </c>
      <c r="AT128" s="26" t="s">
        <v>116</v>
      </c>
      <c r="AU128" s="26" t="s">
        <v>291</v>
      </c>
      <c r="AV128" s="26">
        <v>3</v>
      </c>
      <c r="BO128" s="31"/>
      <c r="BP128" s="31"/>
      <c r="BQ128" s="31"/>
      <c r="BR128" s="31"/>
      <c r="BS128" s="31"/>
      <c r="BT128" s="31"/>
      <c r="BU128" s="31"/>
      <c r="BV128" s="31"/>
      <c r="BW128" s="31"/>
      <c r="BX128" s="31"/>
      <c r="BY128" s="31"/>
      <c r="BZ128" s="31"/>
      <c r="CA128" s="31"/>
      <c r="CB128" s="31"/>
      <c r="CC128" s="31"/>
      <c r="CD128" s="31"/>
      <c r="CE128" s="31"/>
    </row>
    <row r="129" spans="1:83" ht="72.5">
      <c r="A129" s="26">
        <v>3</v>
      </c>
      <c r="B129" s="26" t="s">
        <v>133</v>
      </c>
      <c r="C129" s="26">
        <v>2009</v>
      </c>
      <c r="D129" s="26" t="s">
        <v>134</v>
      </c>
      <c r="E129" s="30">
        <v>44706</v>
      </c>
      <c r="F129" s="31" t="s">
        <v>90</v>
      </c>
      <c r="G129" s="31" t="s">
        <v>135</v>
      </c>
      <c r="H129" s="31">
        <v>1</v>
      </c>
      <c r="I129" s="31"/>
      <c r="J129" s="26" t="s">
        <v>136</v>
      </c>
      <c r="K129" s="26" t="s">
        <v>97</v>
      </c>
      <c r="L129" s="26" t="s">
        <v>137</v>
      </c>
      <c r="M129" s="26" t="s">
        <v>138</v>
      </c>
      <c r="N129" s="26" t="s">
        <v>139</v>
      </c>
      <c r="O129" s="26" t="s">
        <v>90</v>
      </c>
      <c r="P129" s="26" t="s">
        <v>97</v>
      </c>
      <c r="Q129" s="26" t="s">
        <v>140</v>
      </c>
      <c r="S129" s="26" t="s">
        <v>90</v>
      </c>
      <c r="T129" s="26" t="s">
        <v>141</v>
      </c>
      <c r="U129" s="26" t="s">
        <v>99</v>
      </c>
      <c r="V129" s="26">
        <v>1</v>
      </c>
      <c r="W129" s="26" t="s">
        <v>142</v>
      </c>
      <c r="X129" s="26" t="s">
        <v>143</v>
      </c>
      <c r="Y129" s="26" t="s">
        <v>102</v>
      </c>
      <c r="Z129" s="26" t="s">
        <v>144</v>
      </c>
      <c r="AA129" s="26" t="s">
        <v>145</v>
      </c>
      <c r="AB129" s="26" t="s">
        <v>20</v>
      </c>
      <c r="AC129" s="26" t="s">
        <v>146</v>
      </c>
      <c r="AD129" s="26" t="s">
        <v>147</v>
      </c>
      <c r="AE129" s="26" t="s">
        <v>148</v>
      </c>
      <c r="AF129" s="26">
        <v>2</v>
      </c>
      <c r="AG129" s="26" t="s">
        <v>90</v>
      </c>
      <c r="AH129" s="26" t="s">
        <v>149</v>
      </c>
      <c r="AI129" s="26" t="s">
        <v>150</v>
      </c>
      <c r="AJ129" s="26">
        <v>2</v>
      </c>
      <c r="AK129" s="26" t="s">
        <v>151</v>
      </c>
      <c r="AL129" s="26" t="s">
        <v>94</v>
      </c>
      <c r="AM129" s="26" t="s">
        <v>94</v>
      </c>
      <c r="AN129" s="26" t="s">
        <v>152</v>
      </c>
      <c r="AO129" s="26">
        <v>2</v>
      </c>
      <c r="AP129" s="26" t="s">
        <v>153</v>
      </c>
      <c r="AQ129" s="26" t="s">
        <v>123</v>
      </c>
      <c r="AR129" s="26" t="s">
        <v>114</v>
      </c>
      <c r="AS129" s="26" t="s">
        <v>124</v>
      </c>
      <c r="AT129" s="26" t="s">
        <v>116</v>
      </c>
      <c r="AU129" s="26" t="s">
        <v>154</v>
      </c>
      <c r="AV129" s="26">
        <v>3</v>
      </c>
      <c r="AW129" s="26" t="s">
        <v>155</v>
      </c>
      <c r="AX129" s="26" t="s">
        <v>119</v>
      </c>
      <c r="AY129" s="26" t="s">
        <v>120</v>
      </c>
      <c r="AZ129" s="26" t="s">
        <v>116</v>
      </c>
      <c r="BA129" s="26" t="s">
        <v>156</v>
      </c>
      <c r="BB129" s="26">
        <v>2</v>
      </c>
      <c r="BO129" s="31" t="s">
        <v>157</v>
      </c>
      <c r="BP129" s="31" t="s">
        <v>158</v>
      </c>
      <c r="BQ129" s="31"/>
      <c r="BR129" s="31" t="s">
        <v>159</v>
      </c>
      <c r="BS129" s="31" t="s">
        <v>160</v>
      </c>
      <c r="BT129" s="31">
        <v>76.84960873</v>
      </c>
      <c r="BU129" s="31">
        <v>89.448385239999993</v>
      </c>
      <c r="BV129" s="31" t="s">
        <v>161</v>
      </c>
      <c r="BW129" s="31" t="s">
        <v>160</v>
      </c>
      <c r="BX129" s="31" t="s">
        <v>160</v>
      </c>
      <c r="BY129" s="31">
        <v>75.340952619999996</v>
      </c>
      <c r="BZ129" s="31">
        <v>87.278125399999993</v>
      </c>
      <c r="CA129" s="31" t="s">
        <v>161</v>
      </c>
      <c r="CB129" s="31" t="s">
        <v>160</v>
      </c>
      <c r="CC129" s="31" t="s">
        <v>162</v>
      </c>
      <c r="CD129" s="31" t="s">
        <v>163</v>
      </c>
      <c r="CE129" s="31" t="s">
        <v>164</v>
      </c>
    </row>
    <row r="130" spans="1:83" ht="72.5">
      <c r="A130" s="26">
        <v>3</v>
      </c>
      <c r="B130" s="26" t="s">
        <v>133</v>
      </c>
      <c r="C130" s="26">
        <v>2009</v>
      </c>
      <c r="D130" s="26" t="s">
        <v>134</v>
      </c>
      <c r="E130" s="30">
        <v>44706</v>
      </c>
      <c r="F130" s="31" t="s">
        <v>90</v>
      </c>
      <c r="G130" s="31" t="s">
        <v>135</v>
      </c>
      <c r="H130" s="31">
        <v>1</v>
      </c>
      <c r="I130" s="31"/>
      <c r="J130" s="26" t="s">
        <v>136</v>
      </c>
      <c r="K130" s="26" t="s">
        <v>97</v>
      </c>
      <c r="L130" s="26" t="s">
        <v>137</v>
      </c>
      <c r="M130" s="26" t="s">
        <v>138</v>
      </c>
      <c r="N130" s="26" t="s">
        <v>139</v>
      </c>
      <c r="O130" s="26" t="s">
        <v>90</v>
      </c>
      <c r="P130" s="26" t="s">
        <v>97</v>
      </c>
      <c r="Q130" s="26" t="s">
        <v>140</v>
      </c>
      <c r="S130" s="26" t="s">
        <v>90</v>
      </c>
      <c r="T130" s="26" t="s">
        <v>141</v>
      </c>
      <c r="U130" s="26" t="s">
        <v>99</v>
      </c>
      <c r="V130" s="26">
        <v>1</v>
      </c>
      <c r="W130" s="26" t="s">
        <v>142</v>
      </c>
      <c r="X130" s="26" t="s">
        <v>143</v>
      </c>
      <c r="Y130" s="26" t="s">
        <v>102</v>
      </c>
      <c r="Z130" s="26" t="s">
        <v>144</v>
      </c>
      <c r="AA130" s="26" t="s">
        <v>145</v>
      </c>
      <c r="AB130" s="26" t="s">
        <v>20</v>
      </c>
      <c r="AC130" s="26" t="s">
        <v>146</v>
      </c>
      <c r="AD130" s="26" t="s">
        <v>147</v>
      </c>
      <c r="AE130" s="26" t="s">
        <v>148</v>
      </c>
      <c r="AF130" s="26">
        <v>2</v>
      </c>
      <c r="AG130" s="26" t="s">
        <v>90</v>
      </c>
      <c r="AH130" s="26" t="s">
        <v>149</v>
      </c>
      <c r="AI130" s="26" t="s">
        <v>150</v>
      </c>
      <c r="AJ130" s="26">
        <v>2</v>
      </c>
      <c r="AK130" s="26" t="s">
        <v>151</v>
      </c>
      <c r="AL130" s="26" t="s">
        <v>94</v>
      </c>
      <c r="AM130" s="26" t="s">
        <v>94</v>
      </c>
      <c r="AN130" s="26" t="s">
        <v>152</v>
      </c>
      <c r="AO130" s="26">
        <v>2</v>
      </c>
      <c r="AP130" s="26" t="s">
        <v>153</v>
      </c>
      <c r="AQ130" s="26" t="s">
        <v>123</v>
      </c>
      <c r="AR130" s="26" t="s">
        <v>114</v>
      </c>
      <c r="AS130" s="26" t="s">
        <v>124</v>
      </c>
      <c r="AT130" s="26" t="s">
        <v>116</v>
      </c>
      <c r="AU130" s="26" t="s">
        <v>154</v>
      </c>
      <c r="AV130" s="26">
        <v>3</v>
      </c>
      <c r="AW130" s="26" t="s">
        <v>155</v>
      </c>
      <c r="AX130" s="26" t="s">
        <v>119</v>
      </c>
      <c r="AY130" s="26" t="s">
        <v>120</v>
      </c>
      <c r="AZ130" s="26" t="s">
        <v>116</v>
      </c>
      <c r="BA130" s="26" t="s">
        <v>156</v>
      </c>
      <c r="BB130" s="26">
        <v>2</v>
      </c>
      <c r="BO130" s="31" t="s">
        <v>157</v>
      </c>
      <c r="BP130" s="31" t="s">
        <v>158</v>
      </c>
      <c r="BQ130" s="31"/>
      <c r="BR130" s="31" t="s">
        <v>159</v>
      </c>
      <c r="BS130" s="31" t="s">
        <v>160</v>
      </c>
      <c r="BT130" s="31">
        <v>66.846297300000003</v>
      </c>
      <c r="BU130" s="31">
        <v>72.815239559999995</v>
      </c>
      <c r="BV130" s="31" t="s">
        <v>161</v>
      </c>
      <c r="BW130" s="31" t="s">
        <v>160</v>
      </c>
      <c r="BX130" s="31" t="s">
        <v>160</v>
      </c>
      <c r="BY130" s="31">
        <v>73.39867194</v>
      </c>
      <c r="BZ130" s="31">
        <v>80.937938959999997</v>
      </c>
      <c r="CA130" s="31" t="s">
        <v>161</v>
      </c>
      <c r="CB130" s="31" t="s">
        <v>160</v>
      </c>
      <c r="CC130" s="31" t="s">
        <v>162</v>
      </c>
      <c r="CD130" s="31" t="s">
        <v>163</v>
      </c>
      <c r="CE130" s="31" t="s">
        <v>164</v>
      </c>
    </row>
    <row r="131" spans="1:83" ht="72.5">
      <c r="A131" s="26">
        <v>3</v>
      </c>
      <c r="B131" s="26" t="s">
        <v>133</v>
      </c>
      <c r="C131" s="26">
        <v>2009</v>
      </c>
      <c r="D131" s="26" t="s">
        <v>134</v>
      </c>
      <c r="E131" s="30">
        <v>44706</v>
      </c>
      <c r="F131" s="31" t="s">
        <v>90</v>
      </c>
      <c r="G131" s="31" t="s">
        <v>135</v>
      </c>
      <c r="H131" s="31">
        <v>1</v>
      </c>
      <c r="I131" s="31"/>
      <c r="J131" s="26" t="s">
        <v>136</v>
      </c>
      <c r="K131" s="26" t="s">
        <v>97</v>
      </c>
      <c r="L131" s="26" t="s">
        <v>137</v>
      </c>
      <c r="M131" s="26" t="s">
        <v>138</v>
      </c>
      <c r="N131" s="26" t="s">
        <v>139</v>
      </c>
      <c r="O131" s="26" t="s">
        <v>90</v>
      </c>
      <c r="P131" s="26" t="s">
        <v>97</v>
      </c>
      <c r="Q131" s="26" t="s">
        <v>140</v>
      </c>
      <c r="S131" s="26" t="s">
        <v>90</v>
      </c>
      <c r="T131" s="26" t="s">
        <v>141</v>
      </c>
      <c r="U131" s="26" t="s">
        <v>99</v>
      </c>
      <c r="V131" s="26">
        <v>1</v>
      </c>
      <c r="W131" s="26" t="s">
        <v>142</v>
      </c>
      <c r="X131" s="26" t="s">
        <v>143</v>
      </c>
      <c r="Y131" s="26" t="s">
        <v>102</v>
      </c>
      <c r="Z131" s="26" t="s">
        <v>144</v>
      </c>
      <c r="AA131" s="26" t="s">
        <v>145</v>
      </c>
      <c r="AB131" s="26" t="s">
        <v>20</v>
      </c>
      <c r="AC131" s="26" t="s">
        <v>146</v>
      </c>
      <c r="AD131" s="26" t="s">
        <v>147</v>
      </c>
      <c r="AE131" s="26" t="s">
        <v>148</v>
      </c>
      <c r="AF131" s="26">
        <v>2</v>
      </c>
      <c r="AG131" s="26" t="s">
        <v>90</v>
      </c>
      <c r="AH131" s="26" t="s">
        <v>149</v>
      </c>
      <c r="AI131" s="26" t="s">
        <v>150</v>
      </c>
      <c r="AJ131" s="26">
        <v>2</v>
      </c>
      <c r="AK131" s="26" t="s">
        <v>151</v>
      </c>
      <c r="AL131" s="26" t="s">
        <v>94</v>
      </c>
      <c r="AM131" s="26" t="s">
        <v>94</v>
      </c>
      <c r="AN131" s="26" t="s">
        <v>152</v>
      </c>
      <c r="AO131" s="26">
        <v>2</v>
      </c>
      <c r="AP131" s="26" t="s">
        <v>153</v>
      </c>
      <c r="AQ131" s="26" t="s">
        <v>123</v>
      </c>
      <c r="AR131" s="26" t="s">
        <v>114</v>
      </c>
      <c r="AS131" s="26" t="s">
        <v>124</v>
      </c>
      <c r="AT131" s="26" t="s">
        <v>116</v>
      </c>
      <c r="AU131" s="26" t="s">
        <v>154</v>
      </c>
      <c r="AV131" s="26">
        <v>3</v>
      </c>
      <c r="AW131" s="26" t="s">
        <v>155</v>
      </c>
      <c r="AX131" s="26" t="s">
        <v>119</v>
      </c>
      <c r="AY131" s="26" t="s">
        <v>120</v>
      </c>
      <c r="AZ131" s="26" t="s">
        <v>116</v>
      </c>
      <c r="BA131" s="26" t="s">
        <v>156</v>
      </c>
      <c r="BB131" s="26">
        <v>2</v>
      </c>
      <c r="BO131" s="31" t="s">
        <v>157</v>
      </c>
      <c r="BP131" s="31" t="s">
        <v>165</v>
      </c>
      <c r="BQ131" s="31"/>
      <c r="BR131" s="31" t="s">
        <v>159</v>
      </c>
      <c r="BS131" s="31" t="s">
        <v>160</v>
      </c>
      <c r="BT131" s="31">
        <v>37.610192240000003</v>
      </c>
      <c r="BU131" s="31">
        <v>43.577043070000002</v>
      </c>
      <c r="BV131" s="31" t="s">
        <v>161</v>
      </c>
      <c r="BW131" s="31" t="s">
        <v>160</v>
      </c>
      <c r="BX131" s="31" t="s">
        <v>160</v>
      </c>
      <c r="BY131" s="31">
        <v>46.321670279999999</v>
      </c>
      <c r="BZ131" s="31">
        <v>53.859021839999997</v>
      </c>
      <c r="CA131" s="31" t="s">
        <v>161</v>
      </c>
      <c r="CB131" s="31" t="s">
        <v>160</v>
      </c>
      <c r="CC131" s="31" t="s">
        <v>162</v>
      </c>
      <c r="CD131" s="31" t="s">
        <v>163</v>
      </c>
      <c r="CE131" s="31" t="s">
        <v>164</v>
      </c>
    </row>
    <row r="132" spans="1:83" ht="72.5">
      <c r="A132" s="26">
        <v>3</v>
      </c>
      <c r="B132" s="26" t="s">
        <v>133</v>
      </c>
      <c r="C132" s="26">
        <v>2009</v>
      </c>
      <c r="D132" s="26" t="s">
        <v>134</v>
      </c>
      <c r="E132" s="30">
        <v>44706</v>
      </c>
      <c r="F132" s="31" t="s">
        <v>90</v>
      </c>
      <c r="G132" s="31" t="s">
        <v>135</v>
      </c>
      <c r="H132" s="31">
        <v>1</v>
      </c>
      <c r="I132" s="31"/>
      <c r="J132" s="26" t="s">
        <v>136</v>
      </c>
      <c r="K132" s="26" t="s">
        <v>97</v>
      </c>
      <c r="L132" s="26" t="s">
        <v>137</v>
      </c>
      <c r="M132" s="26" t="s">
        <v>138</v>
      </c>
      <c r="N132" s="26" t="s">
        <v>139</v>
      </c>
      <c r="O132" s="26" t="s">
        <v>90</v>
      </c>
      <c r="P132" s="26" t="s">
        <v>97</v>
      </c>
      <c r="Q132" s="26" t="s">
        <v>140</v>
      </c>
      <c r="S132" s="26" t="s">
        <v>90</v>
      </c>
      <c r="T132" s="26" t="s">
        <v>141</v>
      </c>
      <c r="U132" s="26" t="s">
        <v>99</v>
      </c>
      <c r="V132" s="26">
        <v>1</v>
      </c>
      <c r="W132" s="26" t="s">
        <v>142</v>
      </c>
      <c r="X132" s="26" t="s">
        <v>143</v>
      </c>
      <c r="Y132" s="26" t="s">
        <v>102</v>
      </c>
      <c r="Z132" s="26" t="s">
        <v>144</v>
      </c>
      <c r="AA132" s="26" t="s">
        <v>145</v>
      </c>
      <c r="AB132" s="26" t="s">
        <v>20</v>
      </c>
      <c r="AC132" s="26" t="s">
        <v>146</v>
      </c>
      <c r="AD132" s="26" t="s">
        <v>147</v>
      </c>
      <c r="AE132" s="26" t="s">
        <v>148</v>
      </c>
      <c r="AF132" s="26">
        <v>2</v>
      </c>
      <c r="AG132" s="26" t="s">
        <v>90</v>
      </c>
      <c r="AH132" s="26" t="s">
        <v>149</v>
      </c>
      <c r="AI132" s="26" t="s">
        <v>150</v>
      </c>
      <c r="AJ132" s="26">
        <v>2</v>
      </c>
      <c r="AK132" s="26" t="s">
        <v>151</v>
      </c>
      <c r="AL132" s="26" t="s">
        <v>94</v>
      </c>
      <c r="AM132" s="26" t="s">
        <v>94</v>
      </c>
      <c r="AN132" s="26" t="s">
        <v>152</v>
      </c>
      <c r="AO132" s="26">
        <v>2</v>
      </c>
      <c r="AP132" s="26" t="s">
        <v>153</v>
      </c>
      <c r="AQ132" s="26" t="s">
        <v>123</v>
      </c>
      <c r="AR132" s="26" t="s">
        <v>114</v>
      </c>
      <c r="AS132" s="26" t="s">
        <v>124</v>
      </c>
      <c r="AT132" s="26" t="s">
        <v>116</v>
      </c>
      <c r="AU132" s="26" t="s">
        <v>154</v>
      </c>
      <c r="AV132" s="26">
        <v>3</v>
      </c>
      <c r="AW132" s="26" t="s">
        <v>155</v>
      </c>
      <c r="AX132" s="26" t="s">
        <v>119</v>
      </c>
      <c r="AY132" s="26" t="s">
        <v>120</v>
      </c>
      <c r="AZ132" s="26" t="s">
        <v>116</v>
      </c>
      <c r="BA132" s="26" t="s">
        <v>156</v>
      </c>
      <c r="BB132" s="26">
        <v>2</v>
      </c>
      <c r="BO132" s="31" t="s">
        <v>157</v>
      </c>
      <c r="BP132" s="31" t="s">
        <v>165</v>
      </c>
      <c r="BQ132" s="31"/>
      <c r="BR132" s="31" t="s">
        <v>159</v>
      </c>
      <c r="BS132" s="31" t="s">
        <v>160</v>
      </c>
      <c r="BT132" s="31">
        <v>56.117259529999998</v>
      </c>
      <c r="BU132" s="31">
        <v>62.74709378</v>
      </c>
      <c r="BV132" s="31" t="s">
        <v>161</v>
      </c>
      <c r="BW132" s="31" t="s">
        <v>160</v>
      </c>
      <c r="BX132" s="31" t="s">
        <v>160</v>
      </c>
      <c r="BY132" s="31">
        <v>61.346571320000002</v>
      </c>
      <c r="BZ132" s="31">
        <v>67.00102158</v>
      </c>
      <c r="CA132" s="31" t="s">
        <v>161</v>
      </c>
      <c r="CB132" s="31" t="s">
        <v>160</v>
      </c>
      <c r="CC132" s="31" t="s">
        <v>162</v>
      </c>
      <c r="CD132" s="31" t="s">
        <v>163</v>
      </c>
      <c r="CE132" s="31" t="s">
        <v>164</v>
      </c>
    </row>
    <row r="133" spans="1:83" ht="72.5">
      <c r="A133" s="26">
        <v>3</v>
      </c>
      <c r="B133" s="26" t="s">
        <v>133</v>
      </c>
      <c r="C133" s="26">
        <v>2009</v>
      </c>
      <c r="D133" s="26" t="s">
        <v>134</v>
      </c>
      <c r="E133" s="30">
        <v>44706</v>
      </c>
      <c r="F133" s="31" t="s">
        <v>90</v>
      </c>
      <c r="G133" s="31" t="s">
        <v>135</v>
      </c>
      <c r="H133" s="31">
        <v>1</v>
      </c>
      <c r="I133" s="31"/>
      <c r="J133" s="26" t="s">
        <v>136</v>
      </c>
      <c r="K133" s="26" t="s">
        <v>97</v>
      </c>
      <c r="L133" s="26" t="s">
        <v>137</v>
      </c>
      <c r="M133" s="26" t="s">
        <v>138</v>
      </c>
      <c r="N133" s="26" t="s">
        <v>139</v>
      </c>
      <c r="O133" s="26" t="s">
        <v>90</v>
      </c>
      <c r="P133" s="26" t="s">
        <v>97</v>
      </c>
      <c r="Q133" s="26" t="s">
        <v>140</v>
      </c>
      <c r="S133" s="26" t="s">
        <v>90</v>
      </c>
      <c r="T133" s="26" t="s">
        <v>141</v>
      </c>
      <c r="U133" s="26" t="s">
        <v>99</v>
      </c>
      <c r="V133" s="26">
        <v>1</v>
      </c>
      <c r="W133" s="26" t="s">
        <v>142</v>
      </c>
      <c r="X133" s="26" t="s">
        <v>143</v>
      </c>
      <c r="Y133" s="26" t="s">
        <v>102</v>
      </c>
      <c r="Z133" s="26" t="s">
        <v>144</v>
      </c>
      <c r="AA133" s="26" t="s">
        <v>145</v>
      </c>
      <c r="AB133" s="26" t="s">
        <v>20</v>
      </c>
      <c r="AC133" s="26" t="s">
        <v>146</v>
      </c>
      <c r="AD133" s="26" t="s">
        <v>147</v>
      </c>
      <c r="AE133" s="26" t="s">
        <v>148</v>
      </c>
      <c r="AF133" s="26">
        <v>2</v>
      </c>
      <c r="AG133" s="26" t="s">
        <v>90</v>
      </c>
      <c r="AH133" s="26" t="s">
        <v>149</v>
      </c>
      <c r="AI133" s="26" t="s">
        <v>150</v>
      </c>
      <c r="AJ133" s="26">
        <v>2</v>
      </c>
      <c r="AK133" s="26" t="s">
        <v>151</v>
      </c>
      <c r="AL133" s="26" t="s">
        <v>94</v>
      </c>
      <c r="AM133" s="26" t="s">
        <v>94</v>
      </c>
      <c r="AN133" s="26" t="s">
        <v>152</v>
      </c>
      <c r="AO133" s="26">
        <v>2</v>
      </c>
      <c r="AP133" s="26" t="s">
        <v>153</v>
      </c>
      <c r="AQ133" s="26" t="s">
        <v>123</v>
      </c>
      <c r="AR133" s="26" t="s">
        <v>114</v>
      </c>
      <c r="AS133" s="26" t="s">
        <v>124</v>
      </c>
      <c r="AT133" s="26" t="s">
        <v>116</v>
      </c>
      <c r="AU133" s="26" t="s">
        <v>154</v>
      </c>
      <c r="AV133" s="26">
        <v>3</v>
      </c>
      <c r="AW133" s="26" t="s">
        <v>155</v>
      </c>
      <c r="AX133" s="26" t="s">
        <v>119</v>
      </c>
      <c r="AY133" s="26" t="s">
        <v>120</v>
      </c>
      <c r="AZ133" s="26" t="s">
        <v>116</v>
      </c>
      <c r="BA133" s="26" t="s">
        <v>156</v>
      </c>
      <c r="BB133" s="26">
        <v>2</v>
      </c>
      <c r="BO133" s="31" t="s">
        <v>157</v>
      </c>
      <c r="BP133" s="31" t="s">
        <v>166</v>
      </c>
      <c r="BQ133" s="31"/>
      <c r="BR133" s="31" t="s">
        <v>159</v>
      </c>
      <c r="BS133" s="31" t="s">
        <v>160</v>
      </c>
      <c r="BT133" s="31">
        <v>42.12977325</v>
      </c>
      <c r="BU133" s="31">
        <v>49.422590929999998</v>
      </c>
      <c r="BV133" s="31" t="s">
        <v>161</v>
      </c>
      <c r="BW133" s="31" t="s">
        <v>160</v>
      </c>
      <c r="BX133" s="31" t="s">
        <v>160</v>
      </c>
      <c r="BY133" s="31">
        <v>49.348103690000002</v>
      </c>
      <c r="BZ133" s="31">
        <v>53.746009450000003</v>
      </c>
      <c r="CA133" s="31" t="s">
        <v>161</v>
      </c>
      <c r="CB133" s="31" t="s">
        <v>160</v>
      </c>
      <c r="CC133" s="31" t="s">
        <v>162</v>
      </c>
      <c r="CD133" s="31" t="s">
        <v>163</v>
      </c>
      <c r="CE133" s="31" t="s">
        <v>164</v>
      </c>
    </row>
    <row r="134" spans="1:83" ht="72.5">
      <c r="A134" s="26">
        <v>3</v>
      </c>
      <c r="B134" s="26" t="s">
        <v>133</v>
      </c>
      <c r="C134" s="26">
        <v>2009</v>
      </c>
      <c r="D134" s="26" t="s">
        <v>134</v>
      </c>
      <c r="E134" s="30">
        <v>44706</v>
      </c>
      <c r="F134" s="31" t="s">
        <v>90</v>
      </c>
      <c r="G134" s="31" t="s">
        <v>135</v>
      </c>
      <c r="H134" s="31">
        <v>1</v>
      </c>
      <c r="I134" s="31"/>
      <c r="J134" s="26" t="s">
        <v>136</v>
      </c>
      <c r="K134" s="26" t="s">
        <v>97</v>
      </c>
      <c r="L134" s="26" t="s">
        <v>137</v>
      </c>
      <c r="M134" s="26" t="s">
        <v>138</v>
      </c>
      <c r="N134" s="26" t="s">
        <v>139</v>
      </c>
      <c r="O134" s="26" t="s">
        <v>90</v>
      </c>
      <c r="P134" s="26" t="s">
        <v>97</v>
      </c>
      <c r="Q134" s="26" t="s">
        <v>140</v>
      </c>
      <c r="S134" s="26" t="s">
        <v>90</v>
      </c>
      <c r="T134" s="26" t="s">
        <v>141</v>
      </c>
      <c r="U134" s="26" t="s">
        <v>99</v>
      </c>
      <c r="V134" s="26">
        <v>1</v>
      </c>
      <c r="W134" s="26" t="s">
        <v>142</v>
      </c>
      <c r="X134" s="26" t="s">
        <v>143</v>
      </c>
      <c r="Y134" s="26" t="s">
        <v>102</v>
      </c>
      <c r="Z134" s="26" t="s">
        <v>144</v>
      </c>
      <c r="AA134" s="26" t="s">
        <v>145</v>
      </c>
      <c r="AB134" s="26" t="s">
        <v>20</v>
      </c>
      <c r="AC134" s="26" t="s">
        <v>146</v>
      </c>
      <c r="AD134" s="26" t="s">
        <v>147</v>
      </c>
      <c r="AE134" s="26" t="s">
        <v>148</v>
      </c>
      <c r="AF134" s="26">
        <v>2</v>
      </c>
      <c r="AG134" s="26" t="s">
        <v>90</v>
      </c>
      <c r="AH134" s="26" t="s">
        <v>149</v>
      </c>
      <c r="AI134" s="26" t="s">
        <v>150</v>
      </c>
      <c r="AJ134" s="26">
        <v>2</v>
      </c>
      <c r="AK134" s="26" t="s">
        <v>151</v>
      </c>
      <c r="AL134" s="26" t="s">
        <v>94</v>
      </c>
      <c r="AM134" s="26" t="s">
        <v>94</v>
      </c>
      <c r="AN134" s="26" t="s">
        <v>152</v>
      </c>
      <c r="AO134" s="26">
        <v>2</v>
      </c>
      <c r="AP134" s="26" t="s">
        <v>153</v>
      </c>
      <c r="AQ134" s="26" t="s">
        <v>123</v>
      </c>
      <c r="AR134" s="26" t="s">
        <v>114</v>
      </c>
      <c r="AS134" s="26" t="s">
        <v>124</v>
      </c>
      <c r="AT134" s="26" t="s">
        <v>116</v>
      </c>
      <c r="AU134" s="26" t="s">
        <v>154</v>
      </c>
      <c r="AV134" s="26">
        <v>3</v>
      </c>
      <c r="AW134" s="26" t="s">
        <v>155</v>
      </c>
      <c r="AX134" s="26" t="s">
        <v>119</v>
      </c>
      <c r="AY134" s="26" t="s">
        <v>120</v>
      </c>
      <c r="AZ134" s="26" t="s">
        <v>116</v>
      </c>
      <c r="BA134" s="26" t="s">
        <v>156</v>
      </c>
      <c r="BB134" s="26">
        <v>2</v>
      </c>
      <c r="BO134" s="31" t="s">
        <v>157</v>
      </c>
      <c r="BP134" s="31" t="s">
        <v>166</v>
      </c>
      <c r="BQ134" s="31"/>
      <c r="BR134" s="31" t="s">
        <v>159</v>
      </c>
      <c r="BS134" s="31" t="s">
        <v>160</v>
      </c>
      <c r="BT134" s="31">
        <v>60.636840550000002</v>
      </c>
      <c r="BU134" s="31">
        <v>67.266674800000004</v>
      </c>
      <c r="BV134" s="31" t="s">
        <v>161</v>
      </c>
      <c r="BW134" s="31" t="s">
        <v>160</v>
      </c>
      <c r="BX134" s="31" t="s">
        <v>160</v>
      </c>
      <c r="BY134" s="31">
        <v>61.859915719999996</v>
      </c>
      <c r="BZ134" s="31">
        <v>67.514365979999994</v>
      </c>
      <c r="CA134" s="31" t="s">
        <v>161</v>
      </c>
      <c r="CB134" s="31" t="s">
        <v>160</v>
      </c>
      <c r="CC134" s="31" t="s">
        <v>162</v>
      </c>
      <c r="CD134" s="31" t="s">
        <v>163</v>
      </c>
      <c r="CE134" s="31" t="s">
        <v>164</v>
      </c>
    </row>
    <row r="135" spans="1:83" ht="72.5">
      <c r="A135" s="26">
        <v>3</v>
      </c>
      <c r="B135" s="26" t="s">
        <v>133</v>
      </c>
      <c r="C135" s="26">
        <v>2009</v>
      </c>
      <c r="D135" s="26" t="s">
        <v>134</v>
      </c>
      <c r="E135" s="30">
        <v>44706</v>
      </c>
      <c r="F135" s="31" t="s">
        <v>90</v>
      </c>
      <c r="G135" s="31" t="s">
        <v>135</v>
      </c>
      <c r="H135" s="31">
        <v>1</v>
      </c>
      <c r="I135" s="31"/>
      <c r="J135" s="26" t="s">
        <v>136</v>
      </c>
      <c r="K135" s="26" t="s">
        <v>97</v>
      </c>
      <c r="L135" s="26" t="s">
        <v>137</v>
      </c>
      <c r="M135" s="26" t="s">
        <v>138</v>
      </c>
      <c r="N135" s="26" t="s">
        <v>139</v>
      </c>
      <c r="O135" s="26" t="s">
        <v>90</v>
      </c>
      <c r="P135" s="26" t="s">
        <v>97</v>
      </c>
      <c r="Q135" s="26" t="s">
        <v>140</v>
      </c>
      <c r="S135" s="26" t="s">
        <v>90</v>
      </c>
      <c r="T135" s="26" t="s">
        <v>141</v>
      </c>
      <c r="U135" s="26" t="s">
        <v>99</v>
      </c>
      <c r="V135" s="26">
        <v>1</v>
      </c>
      <c r="W135" s="26" t="s">
        <v>142</v>
      </c>
      <c r="X135" s="26" t="s">
        <v>143</v>
      </c>
      <c r="Y135" s="26" t="s">
        <v>102</v>
      </c>
      <c r="Z135" s="26" t="s">
        <v>144</v>
      </c>
      <c r="AA135" s="26" t="s">
        <v>145</v>
      </c>
      <c r="AB135" s="26" t="s">
        <v>20</v>
      </c>
      <c r="AC135" s="26" t="s">
        <v>146</v>
      </c>
      <c r="AD135" s="26" t="s">
        <v>147</v>
      </c>
      <c r="AE135" s="26" t="s">
        <v>148</v>
      </c>
      <c r="AF135" s="26">
        <v>2</v>
      </c>
      <c r="AG135" s="26" t="s">
        <v>90</v>
      </c>
      <c r="AH135" s="26" t="s">
        <v>149</v>
      </c>
      <c r="AI135" s="26" t="s">
        <v>150</v>
      </c>
      <c r="AJ135" s="26">
        <v>2</v>
      </c>
      <c r="AK135" s="26" t="s">
        <v>151</v>
      </c>
      <c r="AL135" s="26" t="s">
        <v>94</v>
      </c>
      <c r="AM135" s="26" t="s">
        <v>94</v>
      </c>
      <c r="AN135" s="26" t="s">
        <v>152</v>
      </c>
      <c r="AO135" s="26">
        <v>2</v>
      </c>
      <c r="AP135" s="26" t="s">
        <v>153</v>
      </c>
      <c r="AQ135" s="26" t="s">
        <v>123</v>
      </c>
      <c r="AR135" s="26" t="s">
        <v>114</v>
      </c>
      <c r="AS135" s="26" t="s">
        <v>124</v>
      </c>
      <c r="AT135" s="26" t="s">
        <v>116</v>
      </c>
      <c r="AU135" s="26" t="s">
        <v>154</v>
      </c>
      <c r="AV135" s="26">
        <v>3</v>
      </c>
      <c r="AW135" s="26" t="s">
        <v>155</v>
      </c>
      <c r="AX135" s="26" t="s">
        <v>119</v>
      </c>
      <c r="AY135" s="26" t="s">
        <v>120</v>
      </c>
      <c r="AZ135" s="26" t="s">
        <v>116</v>
      </c>
      <c r="BA135" s="26" t="s">
        <v>156</v>
      </c>
      <c r="BB135" s="26">
        <v>2</v>
      </c>
      <c r="BO135" s="31" t="s">
        <v>157</v>
      </c>
      <c r="BP135" s="31" t="s">
        <v>167</v>
      </c>
      <c r="BQ135" s="31"/>
      <c r="BR135" s="31" t="s">
        <v>159</v>
      </c>
      <c r="BS135" s="31" t="s">
        <v>160</v>
      </c>
      <c r="BT135" s="31">
        <v>79.122993530000002</v>
      </c>
      <c r="BU135" s="31">
        <v>88.404761489999999</v>
      </c>
      <c r="BV135" s="31" t="s">
        <v>161</v>
      </c>
      <c r="BW135" s="31" t="s">
        <v>160</v>
      </c>
      <c r="BX135" s="31" t="s">
        <v>160</v>
      </c>
      <c r="BY135" s="31">
        <v>80.005107899999999</v>
      </c>
      <c r="BZ135" s="31">
        <v>88.80091942</v>
      </c>
      <c r="CA135" s="31" t="s">
        <v>161</v>
      </c>
      <c r="CB135" s="31" t="s">
        <v>160</v>
      </c>
      <c r="CC135" s="31" t="s">
        <v>162</v>
      </c>
      <c r="CD135" s="31" t="s">
        <v>163</v>
      </c>
      <c r="CE135" s="31" t="s">
        <v>164</v>
      </c>
    </row>
    <row r="136" spans="1:83" ht="72.5">
      <c r="A136" s="26">
        <v>3</v>
      </c>
      <c r="B136" s="26" t="s">
        <v>133</v>
      </c>
      <c r="C136" s="26">
        <v>2009</v>
      </c>
      <c r="D136" s="26" t="s">
        <v>134</v>
      </c>
      <c r="E136" s="30">
        <v>44706</v>
      </c>
      <c r="F136" s="31" t="s">
        <v>90</v>
      </c>
      <c r="G136" s="31" t="s">
        <v>135</v>
      </c>
      <c r="H136" s="31">
        <v>1</v>
      </c>
      <c r="I136" s="31"/>
      <c r="J136" s="26" t="s">
        <v>136</v>
      </c>
      <c r="K136" s="26" t="s">
        <v>97</v>
      </c>
      <c r="L136" s="26" t="s">
        <v>137</v>
      </c>
      <c r="M136" s="26" t="s">
        <v>138</v>
      </c>
      <c r="N136" s="26" t="s">
        <v>139</v>
      </c>
      <c r="O136" s="26" t="s">
        <v>90</v>
      </c>
      <c r="P136" s="26" t="s">
        <v>97</v>
      </c>
      <c r="Q136" s="26" t="s">
        <v>140</v>
      </c>
      <c r="S136" s="26" t="s">
        <v>90</v>
      </c>
      <c r="T136" s="26" t="s">
        <v>141</v>
      </c>
      <c r="U136" s="26" t="s">
        <v>99</v>
      </c>
      <c r="V136" s="26">
        <v>1</v>
      </c>
      <c r="W136" s="26" t="s">
        <v>142</v>
      </c>
      <c r="X136" s="26" t="s">
        <v>143</v>
      </c>
      <c r="Y136" s="26" t="s">
        <v>102</v>
      </c>
      <c r="Z136" s="26" t="s">
        <v>144</v>
      </c>
      <c r="AA136" s="26" t="s">
        <v>145</v>
      </c>
      <c r="AB136" s="26" t="s">
        <v>20</v>
      </c>
      <c r="AC136" s="26" t="s">
        <v>146</v>
      </c>
      <c r="AD136" s="26" t="s">
        <v>147</v>
      </c>
      <c r="AE136" s="26" t="s">
        <v>148</v>
      </c>
      <c r="AF136" s="26">
        <v>2</v>
      </c>
      <c r="AG136" s="26" t="s">
        <v>90</v>
      </c>
      <c r="AH136" s="26" t="s">
        <v>149</v>
      </c>
      <c r="AI136" s="26" t="s">
        <v>150</v>
      </c>
      <c r="AJ136" s="26">
        <v>2</v>
      </c>
      <c r="AK136" s="26" t="s">
        <v>151</v>
      </c>
      <c r="AL136" s="26" t="s">
        <v>94</v>
      </c>
      <c r="AM136" s="26" t="s">
        <v>94</v>
      </c>
      <c r="AN136" s="26" t="s">
        <v>152</v>
      </c>
      <c r="AO136" s="26">
        <v>2</v>
      </c>
      <c r="AP136" s="26" t="s">
        <v>153</v>
      </c>
      <c r="AQ136" s="26" t="s">
        <v>123</v>
      </c>
      <c r="AR136" s="26" t="s">
        <v>114</v>
      </c>
      <c r="AS136" s="26" t="s">
        <v>124</v>
      </c>
      <c r="AT136" s="26" t="s">
        <v>116</v>
      </c>
      <c r="AU136" s="26" t="s">
        <v>154</v>
      </c>
      <c r="AV136" s="26">
        <v>3</v>
      </c>
      <c r="AW136" s="26" t="s">
        <v>155</v>
      </c>
      <c r="AX136" s="26" t="s">
        <v>119</v>
      </c>
      <c r="AY136" s="26" t="s">
        <v>120</v>
      </c>
      <c r="AZ136" s="26" t="s">
        <v>116</v>
      </c>
      <c r="BA136" s="26" t="s">
        <v>156</v>
      </c>
      <c r="BB136" s="26">
        <v>2</v>
      </c>
      <c r="BO136" s="31" t="s">
        <v>157</v>
      </c>
      <c r="BP136" s="31" t="s">
        <v>167</v>
      </c>
      <c r="BQ136" s="31"/>
      <c r="BR136" s="31" t="s">
        <v>159</v>
      </c>
      <c r="BS136" s="31" t="s">
        <v>160</v>
      </c>
      <c r="BT136" s="31">
        <v>28.01889259</v>
      </c>
      <c r="BU136" s="31">
        <v>33.322759990000002</v>
      </c>
      <c r="BV136" s="31" t="s">
        <v>161</v>
      </c>
      <c r="BW136" s="31" t="s">
        <v>160</v>
      </c>
      <c r="BX136" s="31" t="s">
        <v>160</v>
      </c>
      <c r="BY136" s="31">
        <v>42.257055289999997</v>
      </c>
      <c r="BZ136" s="31">
        <v>47.283233299999999</v>
      </c>
      <c r="CA136" s="31" t="s">
        <v>161</v>
      </c>
      <c r="CB136" s="31" t="s">
        <v>160</v>
      </c>
      <c r="CC136" s="31" t="s">
        <v>162</v>
      </c>
      <c r="CD136" s="31" t="s">
        <v>163</v>
      </c>
      <c r="CE136" s="31" t="s">
        <v>164</v>
      </c>
    </row>
    <row r="137" spans="1:83" ht="72.5">
      <c r="A137" s="26">
        <v>3</v>
      </c>
      <c r="B137" s="26" t="s">
        <v>133</v>
      </c>
      <c r="C137" s="26">
        <v>2009</v>
      </c>
      <c r="D137" s="26" t="s">
        <v>134</v>
      </c>
      <c r="E137" s="30">
        <v>44706</v>
      </c>
      <c r="F137" s="31" t="s">
        <v>90</v>
      </c>
      <c r="G137" s="31" t="s">
        <v>135</v>
      </c>
      <c r="H137" s="31">
        <v>1</v>
      </c>
      <c r="I137" s="31"/>
      <c r="J137" s="26" t="s">
        <v>136</v>
      </c>
      <c r="K137" s="26" t="s">
        <v>97</v>
      </c>
      <c r="L137" s="26" t="s">
        <v>137</v>
      </c>
      <c r="M137" s="26" t="s">
        <v>138</v>
      </c>
      <c r="N137" s="26" t="s">
        <v>139</v>
      </c>
      <c r="O137" s="26" t="s">
        <v>90</v>
      </c>
      <c r="P137" s="26" t="s">
        <v>97</v>
      </c>
      <c r="Q137" s="26" t="s">
        <v>140</v>
      </c>
      <c r="S137" s="26" t="s">
        <v>90</v>
      </c>
      <c r="T137" s="26" t="s">
        <v>141</v>
      </c>
      <c r="U137" s="26" t="s">
        <v>99</v>
      </c>
      <c r="V137" s="26">
        <v>1</v>
      </c>
      <c r="W137" s="26" t="s">
        <v>142</v>
      </c>
      <c r="X137" s="26" t="s">
        <v>143</v>
      </c>
      <c r="Y137" s="26" t="s">
        <v>102</v>
      </c>
      <c r="Z137" s="26" t="s">
        <v>144</v>
      </c>
      <c r="AA137" s="26" t="s">
        <v>145</v>
      </c>
      <c r="AB137" s="26" t="s">
        <v>20</v>
      </c>
      <c r="AC137" s="26" t="s">
        <v>146</v>
      </c>
      <c r="AD137" s="26" t="s">
        <v>147</v>
      </c>
      <c r="AE137" s="26" t="s">
        <v>148</v>
      </c>
      <c r="AF137" s="26">
        <v>2</v>
      </c>
      <c r="AG137" s="26" t="s">
        <v>90</v>
      </c>
      <c r="AH137" s="26" t="s">
        <v>149</v>
      </c>
      <c r="AI137" s="26" t="s">
        <v>150</v>
      </c>
      <c r="AJ137" s="26">
        <v>2</v>
      </c>
      <c r="AK137" s="26" t="s">
        <v>151</v>
      </c>
      <c r="AL137" s="26" t="s">
        <v>94</v>
      </c>
      <c r="AM137" s="26" t="s">
        <v>94</v>
      </c>
      <c r="AN137" s="26" t="s">
        <v>152</v>
      </c>
      <c r="AO137" s="26">
        <v>2</v>
      </c>
      <c r="AP137" s="26" t="s">
        <v>153</v>
      </c>
      <c r="AQ137" s="26" t="s">
        <v>123</v>
      </c>
      <c r="AR137" s="26" t="s">
        <v>114</v>
      </c>
      <c r="AS137" s="26" t="s">
        <v>124</v>
      </c>
      <c r="AT137" s="26" t="s">
        <v>116</v>
      </c>
      <c r="AU137" s="26" t="s">
        <v>154</v>
      </c>
      <c r="AV137" s="26">
        <v>3</v>
      </c>
      <c r="AW137" s="26" t="s">
        <v>155</v>
      </c>
      <c r="AX137" s="26" t="s">
        <v>119</v>
      </c>
      <c r="AY137" s="26" t="s">
        <v>120</v>
      </c>
      <c r="AZ137" s="26" t="s">
        <v>116</v>
      </c>
      <c r="BA137" s="26" t="s">
        <v>156</v>
      </c>
      <c r="BB137" s="26">
        <v>2</v>
      </c>
      <c r="BO137" s="31" t="s">
        <v>157</v>
      </c>
      <c r="BP137" s="31" t="s">
        <v>168</v>
      </c>
      <c r="BQ137" s="31"/>
      <c r="BR137" s="31" t="s">
        <v>159</v>
      </c>
      <c r="BS137" s="31" t="s">
        <v>160</v>
      </c>
      <c r="BT137" s="31">
        <v>67.063806049999997</v>
      </c>
      <c r="BU137" s="31">
        <v>73.030656879999995</v>
      </c>
      <c r="BV137" s="31" t="s">
        <v>161</v>
      </c>
      <c r="BW137" s="31" t="s">
        <v>160</v>
      </c>
      <c r="BX137" s="31" t="s">
        <v>160</v>
      </c>
      <c r="BY137" s="31">
        <v>54.127186819999999</v>
      </c>
      <c r="BZ137" s="31">
        <v>63.551270590000001</v>
      </c>
      <c r="CA137" s="31" t="s">
        <v>161</v>
      </c>
      <c r="CB137" s="31" t="s">
        <v>160</v>
      </c>
      <c r="CC137" s="31" t="s">
        <v>162</v>
      </c>
      <c r="CD137" s="31" t="s">
        <v>163</v>
      </c>
      <c r="CE137" s="31" t="s">
        <v>164</v>
      </c>
    </row>
    <row r="138" spans="1:83" ht="72.5">
      <c r="A138" s="26">
        <v>3</v>
      </c>
      <c r="B138" s="26" t="s">
        <v>133</v>
      </c>
      <c r="C138" s="26">
        <v>2009</v>
      </c>
      <c r="D138" s="26" t="s">
        <v>134</v>
      </c>
      <c r="E138" s="30">
        <v>44706</v>
      </c>
      <c r="F138" s="31" t="s">
        <v>90</v>
      </c>
      <c r="G138" s="31" t="s">
        <v>135</v>
      </c>
      <c r="H138" s="31">
        <v>1</v>
      </c>
      <c r="I138" s="31"/>
      <c r="J138" s="26" t="s">
        <v>136</v>
      </c>
      <c r="K138" s="26" t="s">
        <v>97</v>
      </c>
      <c r="L138" s="26" t="s">
        <v>137</v>
      </c>
      <c r="M138" s="26" t="s">
        <v>138</v>
      </c>
      <c r="N138" s="26" t="s">
        <v>139</v>
      </c>
      <c r="O138" s="26" t="s">
        <v>90</v>
      </c>
      <c r="P138" s="26" t="s">
        <v>97</v>
      </c>
      <c r="Q138" s="26" t="s">
        <v>140</v>
      </c>
      <c r="S138" s="26" t="s">
        <v>90</v>
      </c>
      <c r="T138" s="26" t="s">
        <v>141</v>
      </c>
      <c r="U138" s="26" t="s">
        <v>99</v>
      </c>
      <c r="V138" s="26">
        <v>1</v>
      </c>
      <c r="W138" s="26" t="s">
        <v>142</v>
      </c>
      <c r="X138" s="26" t="s">
        <v>143</v>
      </c>
      <c r="Y138" s="26" t="s">
        <v>102</v>
      </c>
      <c r="Z138" s="26" t="s">
        <v>144</v>
      </c>
      <c r="AA138" s="26" t="s">
        <v>145</v>
      </c>
      <c r="AB138" s="26" t="s">
        <v>20</v>
      </c>
      <c r="AC138" s="26" t="s">
        <v>146</v>
      </c>
      <c r="AD138" s="26" t="s">
        <v>147</v>
      </c>
      <c r="AE138" s="26" t="s">
        <v>148</v>
      </c>
      <c r="AF138" s="26">
        <v>2</v>
      </c>
      <c r="AG138" s="26" t="s">
        <v>90</v>
      </c>
      <c r="AH138" s="26" t="s">
        <v>149</v>
      </c>
      <c r="AI138" s="26" t="s">
        <v>150</v>
      </c>
      <c r="AJ138" s="26">
        <v>2</v>
      </c>
      <c r="AK138" s="26" t="s">
        <v>151</v>
      </c>
      <c r="AL138" s="26" t="s">
        <v>94</v>
      </c>
      <c r="AM138" s="26" t="s">
        <v>94</v>
      </c>
      <c r="AN138" s="26" t="s">
        <v>152</v>
      </c>
      <c r="AO138" s="26">
        <v>2</v>
      </c>
      <c r="AP138" s="26" t="s">
        <v>153</v>
      </c>
      <c r="AQ138" s="26" t="s">
        <v>123</v>
      </c>
      <c r="AR138" s="26" t="s">
        <v>114</v>
      </c>
      <c r="AS138" s="26" t="s">
        <v>124</v>
      </c>
      <c r="AT138" s="26" t="s">
        <v>116</v>
      </c>
      <c r="AU138" s="26" t="s">
        <v>154</v>
      </c>
      <c r="AV138" s="26">
        <v>3</v>
      </c>
      <c r="AW138" s="26" t="s">
        <v>155</v>
      </c>
      <c r="AX138" s="26" t="s">
        <v>119</v>
      </c>
      <c r="AY138" s="26" t="s">
        <v>120</v>
      </c>
      <c r="AZ138" s="26" t="s">
        <v>116</v>
      </c>
      <c r="BA138" s="26" t="s">
        <v>156</v>
      </c>
      <c r="BB138" s="26">
        <v>2</v>
      </c>
      <c r="BO138" s="31" t="s">
        <v>157</v>
      </c>
      <c r="BP138" s="31" t="s">
        <v>168</v>
      </c>
      <c r="BQ138" s="31"/>
      <c r="BR138" s="31" t="s">
        <v>159</v>
      </c>
      <c r="BS138" s="31" t="s">
        <v>160</v>
      </c>
      <c r="BT138" s="31">
        <v>31.208323889999999</v>
      </c>
      <c r="BU138" s="31">
        <v>35.849207870000001</v>
      </c>
      <c r="BV138" s="31" t="s">
        <v>161</v>
      </c>
      <c r="BW138" s="31" t="s">
        <v>160</v>
      </c>
      <c r="BX138" s="31" t="s">
        <v>160</v>
      </c>
      <c r="BY138" s="31">
        <v>51.562380279999999</v>
      </c>
      <c r="BZ138" s="31">
        <v>59.101647300000003</v>
      </c>
      <c r="CA138" s="31" t="s">
        <v>161</v>
      </c>
      <c r="CB138" s="31" t="s">
        <v>160</v>
      </c>
      <c r="CC138" s="31" t="s">
        <v>162</v>
      </c>
      <c r="CD138" s="31" t="s">
        <v>163</v>
      </c>
      <c r="CE138" s="31" t="s">
        <v>164</v>
      </c>
    </row>
    <row r="139" spans="1:83" ht="72.5">
      <c r="A139" s="26">
        <v>3</v>
      </c>
      <c r="B139" s="26" t="s">
        <v>133</v>
      </c>
      <c r="C139" s="26">
        <v>2009</v>
      </c>
      <c r="D139" s="26" t="s">
        <v>134</v>
      </c>
      <c r="E139" s="30">
        <v>44706</v>
      </c>
      <c r="F139" s="31" t="s">
        <v>90</v>
      </c>
      <c r="G139" s="31" t="s">
        <v>135</v>
      </c>
      <c r="H139" s="31">
        <v>1</v>
      </c>
      <c r="I139" s="31"/>
      <c r="J139" s="26" t="s">
        <v>136</v>
      </c>
      <c r="K139" s="26" t="s">
        <v>97</v>
      </c>
      <c r="L139" s="26" t="s">
        <v>137</v>
      </c>
      <c r="M139" s="26" t="s">
        <v>138</v>
      </c>
      <c r="N139" s="26" t="s">
        <v>139</v>
      </c>
      <c r="O139" s="26" t="s">
        <v>90</v>
      </c>
      <c r="P139" s="26" t="s">
        <v>97</v>
      </c>
      <c r="Q139" s="26" t="s">
        <v>140</v>
      </c>
      <c r="S139" s="26" t="s">
        <v>90</v>
      </c>
      <c r="T139" s="26" t="s">
        <v>141</v>
      </c>
      <c r="U139" s="26" t="s">
        <v>99</v>
      </c>
      <c r="V139" s="26">
        <v>1</v>
      </c>
      <c r="W139" s="26" t="s">
        <v>142</v>
      </c>
      <c r="X139" s="26" t="s">
        <v>143</v>
      </c>
      <c r="Y139" s="26" t="s">
        <v>102</v>
      </c>
      <c r="Z139" s="26" t="s">
        <v>144</v>
      </c>
      <c r="AA139" s="26" t="s">
        <v>145</v>
      </c>
      <c r="AB139" s="26" t="s">
        <v>20</v>
      </c>
      <c r="AC139" s="26" t="s">
        <v>146</v>
      </c>
      <c r="AD139" s="26" t="s">
        <v>147</v>
      </c>
      <c r="AE139" s="26" t="s">
        <v>148</v>
      </c>
      <c r="AF139" s="26">
        <v>2</v>
      </c>
      <c r="AG139" s="26" t="s">
        <v>90</v>
      </c>
      <c r="AH139" s="26" t="s">
        <v>149</v>
      </c>
      <c r="AI139" s="26" t="s">
        <v>150</v>
      </c>
      <c r="AJ139" s="26">
        <v>2</v>
      </c>
      <c r="AK139" s="26" t="s">
        <v>151</v>
      </c>
      <c r="AL139" s="26" t="s">
        <v>94</v>
      </c>
      <c r="AM139" s="26" t="s">
        <v>94</v>
      </c>
      <c r="AN139" s="26" t="s">
        <v>152</v>
      </c>
      <c r="AO139" s="26">
        <v>2</v>
      </c>
      <c r="AP139" s="26" t="s">
        <v>153</v>
      </c>
      <c r="AQ139" s="26" t="s">
        <v>123</v>
      </c>
      <c r="AR139" s="26" t="s">
        <v>114</v>
      </c>
      <c r="AS139" s="26" t="s">
        <v>124</v>
      </c>
      <c r="AT139" s="26" t="s">
        <v>116</v>
      </c>
      <c r="AU139" s="26" t="s">
        <v>154</v>
      </c>
      <c r="AV139" s="26">
        <v>3</v>
      </c>
      <c r="AW139" s="26" t="s">
        <v>155</v>
      </c>
      <c r="AX139" s="26" t="s">
        <v>119</v>
      </c>
      <c r="AY139" s="26" t="s">
        <v>120</v>
      </c>
      <c r="AZ139" s="26" t="s">
        <v>116</v>
      </c>
      <c r="BA139" s="26" t="s">
        <v>156</v>
      </c>
      <c r="BB139" s="26">
        <v>2</v>
      </c>
      <c r="BO139" s="31" t="s">
        <v>157</v>
      </c>
      <c r="BP139" s="31" t="s">
        <v>169</v>
      </c>
      <c r="BQ139" s="31"/>
      <c r="BR139" s="31" t="s">
        <v>159</v>
      </c>
      <c r="BS139" s="31" t="s">
        <v>160</v>
      </c>
      <c r="BT139" s="31">
        <v>53.655645989999996</v>
      </c>
      <c r="BU139" s="31" t="s">
        <v>160</v>
      </c>
      <c r="BV139" s="31" t="s">
        <v>161</v>
      </c>
      <c r="BW139" s="31" t="s">
        <v>160</v>
      </c>
      <c r="BX139" s="31" t="s">
        <v>160</v>
      </c>
      <c r="BY139" s="31">
        <v>63.411441709999998</v>
      </c>
      <c r="BZ139" s="31" t="s">
        <v>160</v>
      </c>
      <c r="CA139" s="31" t="s">
        <v>161</v>
      </c>
      <c r="CB139" s="31" t="s">
        <v>160</v>
      </c>
      <c r="CC139" s="31" t="s">
        <v>162</v>
      </c>
      <c r="CD139" s="31" t="s">
        <v>163</v>
      </c>
      <c r="CE139" s="31" t="s">
        <v>164</v>
      </c>
    </row>
    <row r="140" spans="1:83" ht="72.5">
      <c r="A140" s="26">
        <v>3</v>
      </c>
      <c r="B140" s="26" t="s">
        <v>133</v>
      </c>
      <c r="C140" s="26">
        <v>2009</v>
      </c>
      <c r="D140" s="26" t="s">
        <v>134</v>
      </c>
      <c r="E140" s="30">
        <v>44706</v>
      </c>
      <c r="F140" s="31" t="s">
        <v>90</v>
      </c>
      <c r="G140" s="31" t="s">
        <v>135</v>
      </c>
      <c r="H140" s="31">
        <v>1</v>
      </c>
      <c r="I140" s="31"/>
      <c r="J140" s="26" t="s">
        <v>136</v>
      </c>
      <c r="K140" s="26" t="s">
        <v>97</v>
      </c>
      <c r="L140" s="26" t="s">
        <v>137</v>
      </c>
      <c r="M140" s="26" t="s">
        <v>138</v>
      </c>
      <c r="N140" s="26" t="s">
        <v>139</v>
      </c>
      <c r="O140" s="26" t="s">
        <v>90</v>
      </c>
      <c r="P140" s="26" t="s">
        <v>97</v>
      </c>
      <c r="Q140" s="26" t="s">
        <v>140</v>
      </c>
      <c r="S140" s="26" t="s">
        <v>90</v>
      </c>
      <c r="T140" s="26" t="s">
        <v>141</v>
      </c>
      <c r="U140" s="26" t="s">
        <v>99</v>
      </c>
      <c r="V140" s="26">
        <v>1</v>
      </c>
      <c r="W140" s="26" t="s">
        <v>142</v>
      </c>
      <c r="X140" s="26" t="s">
        <v>143</v>
      </c>
      <c r="Y140" s="26" t="s">
        <v>102</v>
      </c>
      <c r="Z140" s="26" t="s">
        <v>144</v>
      </c>
      <c r="AA140" s="26" t="s">
        <v>145</v>
      </c>
      <c r="AB140" s="26" t="s">
        <v>20</v>
      </c>
      <c r="AC140" s="26" t="s">
        <v>146</v>
      </c>
      <c r="AD140" s="26" t="s">
        <v>147</v>
      </c>
      <c r="AE140" s="26" t="s">
        <v>148</v>
      </c>
      <c r="AF140" s="26">
        <v>2</v>
      </c>
      <c r="AG140" s="26" t="s">
        <v>90</v>
      </c>
      <c r="AH140" s="26" t="s">
        <v>149</v>
      </c>
      <c r="AI140" s="26" t="s">
        <v>150</v>
      </c>
      <c r="AJ140" s="26">
        <v>2</v>
      </c>
      <c r="AK140" s="26" t="s">
        <v>151</v>
      </c>
      <c r="AL140" s="26" t="s">
        <v>94</v>
      </c>
      <c r="AM140" s="26" t="s">
        <v>94</v>
      </c>
      <c r="AN140" s="26" t="s">
        <v>152</v>
      </c>
      <c r="AO140" s="26">
        <v>2</v>
      </c>
      <c r="AP140" s="26" t="s">
        <v>153</v>
      </c>
      <c r="AQ140" s="26" t="s">
        <v>123</v>
      </c>
      <c r="AR140" s="26" t="s">
        <v>114</v>
      </c>
      <c r="AS140" s="26" t="s">
        <v>124</v>
      </c>
      <c r="AT140" s="26" t="s">
        <v>116</v>
      </c>
      <c r="AU140" s="26" t="s">
        <v>154</v>
      </c>
      <c r="AV140" s="26">
        <v>3</v>
      </c>
      <c r="AW140" s="26" t="s">
        <v>155</v>
      </c>
      <c r="AX140" s="26" t="s">
        <v>119</v>
      </c>
      <c r="AY140" s="26" t="s">
        <v>120</v>
      </c>
      <c r="AZ140" s="26" t="s">
        <v>116</v>
      </c>
      <c r="BA140" s="26" t="s">
        <v>156</v>
      </c>
      <c r="BB140" s="26">
        <v>2</v>
      </c>
      <c r="BO140" s="31" t="s">
        <v>157</v>
      </c>
      <c r="BP140" s="31" t="s">
        <v>169</v>
      </c>
      <c r="BQ140" s="31"/>
      <c r="BR140" s="31" t="s">
        <v>159</v>
      </c>
      <c r="BS140" s="31" t="s">
        <v>160</v>
      </c>
      <c r="BT140" s="31">
        <v>42.307544839999998</v>
      </c>
      <c r="BU140" s="31" t="s">
        <v>160</v>
      </c>
      <c r="BV140" s="31" t="s">
        <v>161</v>
      </c>
      <c r="BW140" s="31" t="s">
        <v>160</v>
      </c>
      <c r="BX140" s="31" t="s">
        <v>160</v>
      </c>
      <c r="BY140" s="31">
        <v>49.516664540000001</v>
      </c>
      <c r="BZ140" s="31" t="s">
        <v>160</v>
      </c>
      <c r="CA140" s="31" t="s">
        <v>161</v>
      </c>
      <c r="CB140" s="31" t="s">
        <v>160</v>
      </c>
      <c r="CC140" s="31" t="s">
        <v>162</v>
      </c>
      <c r="CD140" s="31" t="s">
        <v>163</v>
      </c>
      <c r="CE140" s="31" t="s">
        <v>164</v>
      </c>
    </row>
    <row r="141" spans="1:83" ht="58">
      <c r="A141" s="26">
        <v>4</v>
      </c>
      <c r="B141" s="26" t="s">
        <v>173</v>
      </c>
      <c r="C141" s="26">
        <v>2011</v>
      </c>
      <c r="D141" s="26" t="s">
        <v>174</v>
      </c>
      <c r="E141" s="30">
        <v>44708</v>
      </c>
      <c r="F141" s="31" t="s">
        <v>90</v>
      </c>
      <c r="G141" s="31" t="s">
        <v>135</v>
      </c>
      <c r="H141" s="31">
        <v>1</v>
      </c>
      <c r="I141" s="31"/>
      <c r="J141" s="26" t="s">
        <v>176</v>
      </c>
      <c r="K141" s="26" t="s">
        <v>97</v>
      </c>
      <c r="L141" s="26" t="s">
        <v>90</v>
      </c>
      <c r="M141" s="26" t="s">
        <v>95</v>
      </c>
      <c r="N141" s="26" t="s">
        <v>177</v>
      </c>
      <c r="O141" s="26" t="s">
        <v>97</v>
      </c>
      <c r="P141" s="26" t="s">
        <v>97</v>
      </c>
      <c r="S141" s="26" t="s">
        <v>90</v>
      </c>
      <c r="T141" s="26" t="s">
        <v>141</v>
      </c>
      <c r="U141" s="26" t="s">
        <v>99</v>
      </c>
      <c r="V141" s="26">
        <v>1</v>
      </c>
      <c r="W141" s="26">
        <v>1</v>
      </c>
      <c r="X141" s="26">
        <v>1</v>
      </c>
      <c r="Y141" s="26" t="s">
        <v>102</v>
      </c>
      <c r="Z141" s="26">
        <v>1</v>
      </c>
      <c r="AA141" s="26" t="s">
        <v>178</v>
      </c>
      <c r="AB141" s="26" t="s">
        <v>105</v>
      </c>
      <c r="AC141" s="26" t="s">
        <v>179</v>
      </c>
      <c r="AD141" s="26" t="s">
        <v>180</v>
      </c>
      <c r="AE141" s="26" t="s">
        <v>148</v>
      </c>
      <c r="AF141" s="26">
        <v>1</v>
      </c>
      <c r="AG141" s="26" t="s">
        <v>160</v>
      </c>
      <c r="AH141" s="26" t="s">
        <v>155</v>
      </c>
      <c r="AI141" s="26" t="s">
        <v>181</v>
      </c>
      <c r="AJ141" s="26">
        <v>2</v>
      </c>
      <c r="AK141" s="26" t="s">
        <v>151</v>
      </c>
      <c r="AL141" s="26" t="s">
        <v>97</v>
      </c>
      <c r="AM141" s="26" t="s">
        <v>97</v>
      </c>
      <c r="AN141" s="26" t="s">
        <v>152</v>
      </c>
      <c r="AO141" s="26">
        <v>2</v>
      </c>
      <c r="AP141" s="26" t="s">
        <v>155</v>
      </c>
      <c r="AQ141" s="26" t="s">
        <v>119</v>
      </c>
      <c r="AR141" s="26" t="s">
        <v>114</v>
      </c>
      <c r="AS141" s="26" t="s">
        <v>120</v>
      </c>
      <c r="AT141" s="26" t="s">
        <v>116</v>
      </c>
      <c r="AU141" s="26" t="s">
        <v>182</v>
      </c>
      <c r="AV141" s="26">
        <v>4</v>
      </c>
      <c r="BO141" s="31" t="s">
        <v>157</v>
      </c>
      <c r="BP141" s="31" t="s">
        <v>346</v>
      </c>
      <c r="BQ141" s="31"/>
      <c r="BR141" s="31" t="s">
        <v>184</v>
      </c>
      <c r="BS141" s="31" t="s">
        <v>160</v>
      </c>
      <c r="BT141" s="31">
        <v>1514.357683</v>
      </c>
      <c r="BU141" s="31">
        <v>1586.9017630000001</v>
      </c>
      <c r="BV141" s="31" t="s">
        <v>161</v>
      </c>
      <c r="BW141" s="31">
        <v>6</v>
      </c>
      <c r="BX141" s="31" t="s">
        <v>160</v>
      </c>
      <c r="BY141" s="31">
        <v>1618.6397979999999</v>
      </c>
      <c r="BZ141" s="31">
        <v>1718.387909</v>
      </c>
      <c r="CA141" s="31" t="s">
        <v>161</v>
      </c>
      <c r="CB141" s="31">
        <v>6</v>
      </c>
      <c r="CC141" s="31"/>
      <c r="CD141" s="31" t="s">
        <v>347</v>
      </c>
      <c r="CE141" s="31"/>
    </row>
    <row r="142" spans="1:83" ht="58">
      <c r="A142" s="26">
        <v>4</v>
      </c>
      <c r="B142" s="26" t="s">
        <v>173</v>
      </c>
      <c r="C142" s="26">
        <v>2011</v>
      </c>
      <c r="D142" s="26" t="s">
        <v>174</v>
      </c>
      <c r="E142" s="30">
        <v>44708</v>
      </c>
      <c r="F142" s="31" t="s">
        <v>90</v>
      </c>
      <c r="G142" s="31" t="s">
        <v>135</v>
      </c>
      <c r="H142" s="31">
        <v>1</v>
      </c>
      <c r="I142" s="31"/>
      <c r="J142" s="26" t="s">
        <v>176</v>
      </c>
      <c r="K142" s="26" t="s">
        <v>97</v>
      </c>
      <c r="L142" s="26" t="s">
        <v>90</v>
      </c>
      <c r="M142" s="26" t="s">
        <v>95</v>
      </c>
      <c r="N142" s="26" t="s">
        <v>177</v>
      </c>
      <c r="O142" s="26" t="s">
        <v>97</v>
      </c>
      <c r="P142" s="26" t="s">
        <v>97</v>
      </c>
      <c r="S142" s="26" t="s">
        <v>90</v>
      </c>
      <c r="T142" s="26" t="s">
        <v>141</v>
      </c>
      <c r="U142" s="26" t="s">
        <v>99</v>
      </c>
      <c r="V142" s="26">
        <v>1</v>
      </c>
      <c r="W142" s="26">
        <v>1</v>
      </c>
      <c r="X142" s="26">
        <v>1</v>
      </c>
      <c r="Y142" s="26" t="s">
        <v>102</v>
      </c>
      <c r="Z142" s="26">
        <v>1</v>
      </c>
      <c r="AA142" s="26" t="s">
        <v>178</v>
      </c>
      <c r="AB142" s="26" t="s">
        <v>105</v>
      </c>
      <c r="AC142" s="26" t="s">
        <v>179</v>
      </c>
      <c r="AD142" s="26" t="s">
        <v>180</v>
      </c>
      <c r="AE142" s="26" t="s">
        <v>148</v>
      </c>
      <c r="AF142" s="26">
        <v>1</v>
      </c>
      <c r="AG142" s="26" t="s">
        <v>160</v>
      </c>
      <c r="AH142" s="26" t="s">
        <v>155</v>
      </c>
      <c r="AI142" s="26" t="s">
        <v>181</v>
      </c>
      <c r="AJ142" s="26">
        <v>2</v>
      </c>
      <c r="AK142" s="26" t="s">
        <v>151</v>
      </c>
      <c r="AL142" s="26" t="s">
        <v>97</v>
      </c>
      <c r="AM142" s="26" t="s">
        <v>97</v>
      </c>
      <c r="AN142" s="26" t="s">
        <v>152</v>
      </c>
      <c r="AO142" s="26">
        <v>2</v>
      </c>
      <c r="AP142" s="26" t="s">
        <v>155</v>
      </c>
      <c r="AQ142" s="26" t="s">
        <v>119</v>
      </c>
      <c r="AR142" s="26" t="s">
        <v>114</v>
      </c>
      <c r="AS142" s="26" t="s">
        <v>120</v>
      </c>
      <c r="AT142" s="26" t="s">
        <v>116</v>
      </c>
      <c r="AU142" s="26" t="s">
        <v>182</v>
      </c>
      <c r="AV142" s="26">
        <v>4</v>
      </c>
      <c r="BO142" s="31" t="s">
        <v>157</v>
      </c>
      <c r="BP142" s="31" t="s">
        <v>348</v>
      </c>
      <c r="BQ142" s="31"/>
      <c r="BR142" s="31" t="s">
        <v>184</v>
      </c>
      <c r="BS142" s="31" t="s">
        <v>160</v>
      </c>
      <c r="BT142" s="31">
        <v>1355.667506</v>
      </c>
      <c r="BU142" s="31">
        <v>1405.5415620000001</v>
      </c>
      <c r="BV142" s="31" t="s">
        <v>161</v>
      </c>
      <c r="BW142" s="31">
        <v>6</v>
      </c>
      <c r="BX142" s="31" t="s">
        <v>160</v>
      </c>
      <c r="BY142" s="31">
        <v>1573.2997479999999</v>
      </c>
      <c r="BZ142" s="31">
        <v>1605.037783</v>
      </c>
      <c r="CA142" s="31" t="s">
        <v>161</v>
      </c>
      <c r="CB142" s="31">
        <v>6</v>
      </c>
      <c r="CC142" s="31"/>
      <c r="CD142" s="31" t="s">
        <v>349</v>
      </c>
      <c r="CE142" s="31"/>
    </row>
    <row r="143" spans="1:83" ht="58">
      <c r="A143" s="26">
        <v>4</v>
      </c>
      <c r="B143" s="26" t="s">
        <v>173</v>
      </c>
      <c r="C143" s="26">
        <v>2011</v>
      </c>
      <c r="D143" s="26" t="s">
        <v>174</v>
      </c>
      <c r="E143" s="30">
        <v>44708</v>
      </c>
      <c r="F143" s="31" t="s">
        <v>90</v>
      </c>
      <c r="G143" s="31" t="s">
        <v>135</v>
      </c>
      <c r="H143" s="31">
        <v>1</v>
      </c>
      <c r="I143" s="31"/>
      <c r="J143" s="26" t="s">
        <v>176</v>
      </c>
      <c r="K143" s="26" t="s">
        <v>97</v>
      </c>
      <c r="L143" s="26" t="s">
        <v>90</v>
      </c>
      <c r="M143" s="26" t="s">
        <v>95</v>
      </c>
      <c r="N143" s="26" t="s">
        <v>177</v>
      </c>
      <c r="O143" s="26" t="s">
        <v>97</v>
      </c>
      <c r="P143" s="26" t="s">
        <v>97</v>
      </c>
      <c r="S143" s="26" t="s">
        <v>90</v>
      </c>
      <c r="T143" s="26" t="s">
        <v>141</v>
      </c>
      <c r="U143" s="26" t="s">
        <v>99</v>
      </c>
      <c r="V143" s="26">
        <v>1</v>
      </c>
      <c r="W143" s="26">
        <v>1</v>
      </c>
      <c r="X143" s="26">
        <v>1</v>
      </c>
      <c r="Y143" s="26" t="s">
        <v>102</v>
      </c>
      <c r="Z143" s="26">
        <v>1</v>
      </c>
      <c r="AA143" s="26" t="s">
        <v>178</v>
      </c>
      <c r="AB143" s="26" t="s">
        <v>105</v>
      </c>
      <c r="AC143" s="26" t="s">
        <v>179</v>
      </c>
      <c r="AD143" s="26" t="s">
        <v>180</v>
      </c>
      <c r="AE143" s="26" t="s">
        <v>148</v>
      </c>
      <c r="AF143" s="26">
        <v>1</v>
      </c>
      <c r="AG143" s="26" t="s">
        <v>160</v>
      </c>
      <c r="AH143" s="26" t="s">
        <v>155</v>
      </c>
      <c r="AI143" s="26" t="s">
        <v>181</v>
      </c>
      <c r="AJ143" s="26">
        <v>2</v>
      </c>
      <c r="AK143" s="26" t="s">
        <v>151</v>
      </c>
      <c r="AL143" s="26" t="s">
        <v>97</v>
      </c>
      <c r="AM143" s="26" t="s">
        <v>97</v>
      </c>
      <c r="AN143" s="26" t="s">
        <v>152</v>
      </c>
      <c r="AO143" s="26">
        <v>2</v>
      </c>
      <c r="AP143" s="26" t="s">
        <v>155</v>
      </c>
      <c r="AQ143" s="26" t="s">
        <v>119</v>
      </c>
      <c r="AR143" s="26" t="s">
        <v>114</v>
      </c>
      <c r="AS143" s="26" t="s">
        <v>120</v>
      </c>
      <c r="AT143" s="26" t="s">
        <v>116</v>
      </c>
      <c r="AU143" s="26" t="s">
        <v>182</v>
      </c>
      <c r="AV143" s="26">
        <v>4</v>
      </c>
      <c r="BO143" s="31" t="s">
        <v>157</v>
      </c>
      <c r="BP143" s="31" t="s">
        <v>350</v>
      </c>
      <c r="BQ143" s="31"/>
      <c r="BR143" s="31" t="s">
        <v>184</v>
      </c>
      <c r="BS143" s="31" t="s">
        <v>160</v>
      </c>
      <c r="BT143" s="31">
        <v>1382.871537</v>
      </c>
      <c r="BU143" s="31">
        <v>1441.8136019999999</v>
      </c>
      <c r="BV143" s="31" t="s">
        <v>161</v>
      </c>
      <c r="BW143" s="31">
        <v>6</v>
      </c>
      <c r="BX143" s="31" t="s">
        <v>160</v>
      </c>
      <c r="BY143" s="31">
        <v>1364.735516</v>
      </c>
      <c r="BZ143" s="31">
        <v>1428.211587</v>
      </c>
      <c r="CA143" s="31" t="s">
        <v>161</v>
      </c>
      <c r="CB143" s="31">
        <v>6</v>
      </c>
      <c r="CC143" s="31"/>
      <c r="CD143" s="31" t="s">
        <v>163</v>
      </c>
      <c r="CE143" s="31"/>
    </row>
    <row r="144" spans="1:83" ht="58">
      <c r="A144" s="26">
        <v>4</v>
      </c>
      <c r="B144" s="26" t="s">
        <v>173</v>
      </c>
      <c r="C144" s="26">
        <v>2011</v>
      </c>
      <c r="D144" s="26" t="s">
        <v>174</v>
      </c>
      <c r="E144" s="30">
        <v>44708</v>
      </c>
      <c r="F144" s="31" t="s">
        <v>90</v>
      </c>
      <c r="G144" s="31" t="s">
        <v>135</v>
      </c>
      <c r="H144" s="31">
        <v>1</v>
      </c>
      <c r="I144" s="31"/>
      <c r="J144" s="26" t="s">
        <v>176</v>
      </c>
      <c r="K144" s="26" t="s">
        <v>97</v>
      </c>
      <c r="L144" s="26" t="s">
        <v>90</v>
      </c>
      <c r="M144" s="26" t="s">
        <v>95</v>
      </c>
      <c r="N144" s="26" t="s">
        <v>177</v>
      </c>
      <c r="O144" s="26" t="s">
        <v>97</v>
      </c>
      <c r="P144" s="26" t="s">
        <v>97</v>
      </c>
      <c r="S144" s="26" t="s">
        <v>90</v>
      </c>
      <c r="T144" s="26" t="s">
        <v>141</v>
      </c>
      <c r="U144" s="26" t="s">
        <v>99</v>
      </c>
      <c r="V144" s="26">
        <v>1</v>
      </c>
      <c r="W144" s="26">
        <v>1</v>
      </c>
      <c r="X144" s="26">
        <v>1</v>
      </c>
      <c r="Y144" s="26" t="s">
        <v>102</v>
      </c>
      <c r="Z144" s="26">
        <v>1</v>
      </c>
      <c r="AA144" s="26" t="s">
        <v>178</v>
      </c>
      <c r="AB144" s="26" t="s">
        <v>105</v>
      </c>
      <c r="AC144" s="26" t="s">
        <v>179</v>
      </c>
      <c r="AD144" s="26" t="s">
        <v>180</v>
      </c>
      <c r="AE144" s="26" t="s">
        <v>148</v>
      </c>
      <c r="AF144" s="26">
        <v>1</v>
      </c>
      <c r="AG144" s="26" t="s">
        <v>160</v>
      </c>
      <c r="AH144" s="26" t="s">
        <v>155</v>
      </c>
      <c r="AI144" s="26" t="s">
        <v>181</v>
      </c>
      <c r="AJ144" s="26">
        <v>2</v>
      </c>
      <c r="AK144" s="26" t="s">
        <v>151</v>
      </c>
      <c r="AL144" s="26" t="s">
        <v>97</v>
      </c>
      <c r="AM144" s="26" t="s">
        <v>97</v>
      </c>
      <c r="AN144" s="26" t="s">
        <v>152</v>
      </c>
      <c r="AO144" s="26">
        <v>2</v>
      </c>
      <c r="AP144" s="26" t="s">
        <v>155</v>
      </c>
      <c r="AQ144" s="26" t="s">
        <v>119</v>
      </c>
      <c r="AR144" s="26" t="s">
        <v>114</v>
      </c>
      <c r="AS144" s="26" t="s">
        <v>120</v>
      </c>
      <c r="AT144" s="26" t="s">
        <v>116</v>
      </c>
      <c r="AU144" s="26" t="s">
        <v>182</v>
      </c>
      <c r="AV144" s="26">
        <v>4</v>
      </c>
      <c r="BO144" s="31" t="s">
        <v>157</v>
      </c>
      <c r="BP144" s="31" t="s">
        <v>351</v>
      </c>
      <c r="BQ144" s="31"/>
      <c r="BR144" s="31" t="s">
        <v>184</v>
      </c>
      <c r="BS144" s="31" t="s">
        <v>160</v>
      </c>
      <c r="BT144" s="31">
        <v>1006.549118</v>
      </c>
      <c r="BU144" s="31">
        <v>1060.957179</v>
      </c>
      <c r="BV144" s="31" t="s">
        <v>161</v>
      </c>
      <c r="BW144" s="31">
        <v>6</v>
      </c>
      <c r="BX144" s="31" t="s">
        <v>160</v>
      </c>
      <c r="BY144" s="31">
        <v>1147.1032749999999</v>
      </c>
      <c r="BZ144" s="31">
        <v>1215.1133500000001</v>
      </c>
      <c r="CA144" s="31" t="s">
        <v>161</v>
      </c>
      <c r="CB144" s="31">
        <v>6</v>
      </c>
      <c r="CC144" s="31"/>
      <c r="CD144" s="31" t="s">
        <v>352</v>
      </c>
      <c r="CE144" s="31"/>
    </row>
    <row r="145" spans="1:83" ht="174">
      <c r="A145" s="26">
        <v>7</v>
      </c>
      <c r="B145" s="26" t="s">
        <v>204</v>
      </c>
      <c r="C145" s="26">
        <v>2014</v>
      </c>
      <c r="D145" s="26" t="s">
        <v>205</v>
      </c>
      <c r="E145" s="30">
        <v>44711</v>
      </c>
      <c r="F145" s="31" t="s">
        <v>90</v>
      </c>
      <c r="G145" s="31" t="s">
        <v>353</v>
      </c>
      <c r="H145" s="31"/>
      <c r="I145" s="32" t="s">
        <v>207</v>
      </c>
      <c r="J145" s="26" t="s">
        <v>326</v>
      </c>
      <c r="K145" s="26" t="s">
        <v>97</v>
      </c>
      <c r="L145" s="26" t="s">
        <v>97</v>
      </c>
      <c r="M145" s="26" t="s">
        <v>95</v>
      </c>
      <c r="N145" s="26" t="s">
        <v>208</v>
      </c>
      <c r="O145" s="26" t="s">
        <v>97</v>
      </c>
      <c r="P145" s="26" t="s">
        <v>97</v>
      </c>
      <c r="S145" s="26" t="s">
        <v>90</v>
      </c>
      <c r="T145" s="26" t="s">
        <v>191</v>
      </c>
      <c r="U145" s="26" t="s">
        <v>99</v>
      </c>
      <c r="V145" s="26">
        <v>1</v>
      </c>
      <c r="W145" s="26" t="s">
        <v>209</v>
      </c>
      <c r="X145" s="26" t="s">
        <v>210</v>
      </c>
      <c r="Y145" s="26" t="s">
        <v>102</v>
      </c>
      <c r="Z145" s="26" t="s">
        <v>211</v>
      </c>
      <c r="AA145" s="26" t="s">
        <v>212</v>
      </c>
      <c r="AB145" s="26" t="s">
        <v>105</v>
      </c>
      <c r="AC145" s="26" t="s">
        <v>213</v>
      </c>
      <c r="AD145" s="26" t="s">
        <v>214</v>
      </c>
      <c r="AE145" s="26" t="s">
        <v>108</v>
      </c>
      <c r="AF145" s="26">
        <v>1</v>
      </c>
      <c r="AG145" s="26" t="s">
        <v>160</v>
      </c>
      <c r="AH145" s="26" t="s">
        <v>155</v>
      </c>
      <c r="AI145" s="26" t="s">
        <v>110</v>
      </c>
      <c r="AJ145" s="26">
        <v>2</v>
      </c>
      <c r="AK145" s="26" t="s">
        <v>99</v>
      </c>
      <c r="AL145" s="26" t="s">
        <v>94</v>
      </c>
      <c r="AM145" s="26" t="s">
        <v>94</v>
      </c>
      <c r="AN145" s="26" t="s">
        <v>111</v>
      </c>
      <c r="AO145" s="26" t="s">
        <v>111</v>
      </c>
      <c r="AP145" s="26" t="s">
        <v>155</v>
      </c>
      <c r="AQ145" s="26" t="s">
        <v>119</v>
      </c>
      <c r="AR145" s="26" t="s">
        <v>114</v>
      </c>
      <c r="AS145" s="26" t="s">
        <v>120</v>
      </c>
      <c r="AT145" s="26" t="s">
        <v>116</v>
      </c>
      <c r="AU145" s="26" t="s">
        <v>215</v>
      </c>
      <c r="AV145" s="26">
        <v>5</v>
      </c>
      <c r="BO145" s="26" t="s">
        <v>155</v>
      </c>
      <c r="BP145" s="32" t="s">
        <v>216</v>
      </c>
      <c r="BQ145" s="32"/>
      <c r="BR145" s="32" t="s">
        <v>217</v>
      </c>
      <c r="BS145" s="32">
        <v>0</v>
      </c>
      <c r="BT145" s="32">
        <v>6.4200000000000004E-3</v>
      </c>
      <c r="BU145" s="32">
        <v>1.41E-2</v>
      </c>
      <c r="BV145" s="32" t="s">
        <v>129</v>
      </c>
      <c r="BW145" s="32" t="s">
        <v>218</v>
      </c>
      <c r="BX145" s="32">
        <v>1.5299999999999999E-2</v>
      </c>
      <c r="BY145" s="32">
        <v>0.02</v>
      </c>
      <c r="BZ145" s="32">
        <v>2.4799999999999999E-2</v>
      </c>
      <c r="CA145" s="32" t="s">
        <v>129</v>
      </c>
      <c r="CB145" s="32" t="s">
        <v>218</v>
      </c>
      <c r="CC145" s="32" t="s">
        <v>219</v>
      </c>
      <c r="CD145" s="32" t="s">
        <v>202</v>
      </c>
      <c r="CE145" s="32"/>
    </row>
    <row r="146" spans="1:83" ht="174">
      <c r="A146" s="26">
        <v>7</v>
      </c>
      <c r="B146" s="26" t="s">
        <v>204</v>
      </c>
      <c r="C146" s="26">
        <v>2014</v>
      </c>
      <c r="D146" s="26" t="s">
        <v>205</v>
      </c>
      <c r="E146" s="30">
        <v>44711</v>
      </c>
      <c r="F146" s="31" t="s">
        <v>90</v>
      </c>
      <c r="G146" s="31" t="s">
        <v>353</v>
      </c>
      <c r="H146" s="31"/>
      <c r="I146" s="32" t="s">
        <v>207</v>
      </c>
      <c r="J146" s="26" t="s">
        <v>326</v>
      </c>
      <c r="K146" s="26" t="s">
        <v>97</v>
      </c>
      <c r="L146" s="26" t="s">
        <v>97</v>
      </c>
      <c r="M146" s="26" t="s">
        <v>95</v>
      </c>
      <c r="N146" s="26" t="s">
        <v>208</v>
      </c>
      <c r="O146" s="26" t="s">
        <v>97</v>
      </c>
      <c r="P146" s="26" t="s">
        <v>97</v>
      </c>
      <c r="S146" s="26" t="s">
        <v>90</v>
      </c>
      <c r="T146" s="26" t="s">
        <v>191</v>
      </c>
      <c r="U146" s="26" t="s">
        <v>99</v>
      </c>
      <c r="V146" s="26">
        <v>1</v>
      </c>
      <c r="W146" s="26" t="s">
        <v>209</v>
      </c>
      <c r="X146" s="26" t="s">
        <v>210</v>
      </c>
      <c r="Y146" s="26" t="s">
        <v>102</v>
      </c>
      <c r="Z146" s="26" t="s">
        <v>211</v>
      </c>
      <c r="AA146" s="26" t="s">
        <v>212</v>
      </c>
      <c r="AB146" s="26" t="s">
        <v>105</v>
      </c>
      <c r="AC146" s="26" t="s">
        <v>213</v>
      </c>
      <c r="AD146" s="26" t="s">
        <v>214</v>
      </c>
      <c r="AE146" s="26" t="s">
        <v>108</v>
      </c>
      <c r="AF146" s="26">
        <v>1</v>
      </c>
      <c r="AG146" s="26" t="s">
        <v>160</v>
      </c>
      <c r="AH146" s="26" t="s">
        <v>155</v>
      </c>
      <c r="AI146" s="26" t="s">
        <v>110</v>
      </c>
      <c r="AJ146" s="26">
        <v>2</v>
      </c>
      <c r="AK146" s="26" t="s">
        <v>99</v>
      </c>
      <c r="AL146" s="26" t="s">
        <v>94</v>
      </c>
      <c r="AM146" s="26" t="s">
        <v>94</v>
      </c>
      <c r="AN146" s="26" t="s">
        <v>111</v>
      </c>
      <c r="AO146" s="26" t="s">
        <v>111</v>
      </c>
      <c r="AP146" s="26" t="s">
        <v>155</v>
      </c>
      <c r="AQ146" s="26" t="s">
        <v>119</v>
      </c>
      <c r="AR146" s="26" t="s">
        <v>114</v>
      </c>
      <c r="AS146" s="26" t="s">
        <v>120</v>
      </c>
      <c r="AT146" s="26" t="s">
        <v>116</v>
      </c>
      <c r="AU146" s="26" t="s">
        <v>215</v>
      </c>
      <c r="AV146" s="26">
        <v>5</v>
      </c>
      <c r="BO146" s="26" t="s">
        <v>155</v>
      </c>
      <c r="BP146" s="32" t="s">
        <v>729</v>
      </c>
      <c r="BQ146" s="32"/>
      <c r="BR146" s="32" t="s">
        <v>217</v>
      </c>
      <c r="BS146" s="32">
        <v>1.2200000000000001E-2</v>
      </c>
      <c r="BT146" s="32">
        <v>1.6400000000000001E-2</v>
      </c>
      <c r="BU146" s="32">
        <v>2.0500000000000001E-2</v>
      </c>
      <c r="BV146" s="32" t="s">
        <v>129</v>
      </c>
      <c r="BW146" s="32" t="s">
        <v>218</v>
      </c>
      <c r="BX146" s="32">
        <v>2.1399999999999999E-2</v>
      </c>
      <c r="BY146" s="32">
        <v>2.6499999999999999E-2</v>
      </c>
      <c r="BZ146" s="32">
        <v>3.15E-2</v>
      </c>
      <c r="CA146" s="32" t="s">
        <v>129</v>
      </c>
      <c r="CB146" s="32" t="s">
        <v>218</v>
      </c>
      <c r="CC146" s="32" t="s">
        <v>219</v>
      </c>
      <c r="CD146" s="32" t="s">
        <v>202</v>
      </c>
      <c r="CE146" s="32"/>
    </row>
    <row r="147" spans="1:83" ht="174">
      <c r="A147" s="26">
        <v>7</v>
      </c>
      <c r="B147" s="26" t="s">
        <v>204</v>
      </c>
      <c r="C147" s="26">
        <v>2014</v>
      </c>
      <c r="D147" s="26" t="s">
        <v>205</v>
      </c>
      <c r="E147" s="30">
        <v>44711</v>
      </c>
      <c r="F147" s="31" t="s">
        <v>90</v>
      </c>
      <c r="G147" s="31" t="s">
        <v>353</v>
      </c>
      <c r="H147" s="31"/>
      <c r="I147" s="32" t="s">
        <v>207</v>
      </c>
      <c r="J147" s="26" t="s">
        <v>326</v>
      </c>
      <c r="K147" s="26" t="s">
        <v>97</v>
      </c>
      <c r="L147" s="26" t="s">
        <v>97</v>
      </c>
      <c r="M147" s="26" t="s">
        <v>95</v>
      </c>
      <c r="N147" s="26" t="s">
        <v>208</v>
      </c>
      <c r="O147" s="26" t="s">
        <v>97</v>
      </c>
      <c r="P147" s="26" t="s">
        <v>97</v>
      </c>
      <c r="S147" s="26" t="s">
        <v>90</v>
      </c>
      <c r="T147" s="26" t="s">
        <v>191</v>
      </c>
      <c r="U147" s="26" t="s">
        <v>99</v>
      </c>
      <c r="V147" s="26">
        <v>1</v>
      </c>
      <c r="W147" s="26" t="s">
        <v>209</v>
      </c>
      <c r="X147" s="26" t="s">
        <v>210</v>
      </c>
      <c r="Y147" s="26" t="s">
        <v>102</v>
      </c>
      <c r="Z147" s="26" t="s">
        <v>211</v>
      </c>
      <c r="AA147" s="26" t="s">
        <v>212</v>
      </c>
      <c r="AB147" s="26" t="s">
        <v>105</v>
      </c>
      <c r="AC147" s="26" t="s">
        <v>213</v>
      </c>
      <c r="AD147" s="26" t="s">
        <v>214</v>
      </c>
      <c r="AE147" s="26" t="s">
        <v>108</v>
      </c>
      <c r="AF147" s="26">
        <v>1</v>
      </c>
      <c r="AG147" s="26" t="s">
        <v>160</v>
      </c>
      <c r="AH147" s="26" t="s">
        <v>155</v>
      </c>
      <c r="AI147" s="26" t="s">
        <v>110</v>
      </c>
      <c r="AJ147" s="26">
        <v>2</v>
      </c>
      <c r="AK147" s="26" t="s">
        <v>99</v>
      </c>
      <c r="AL147" s="26" t="s">
        <v>94</v>
      </c>
      <c r="AM147" s="26" t="s">
        <v>94</v>
      </c>
      <c r="AN147" s="26" t="s">
        <v>111</v>
      </c>
      <c r="AO147" s="26" t="s">
        <v>111</v>
      </c>
      <c r="AP147" s="26" t="s">
        <v>155</v>
      </c>
      <c r="AQ147" s="26" t="s">
        <v>119</v>
      </c>
      <c r="AR147" s="26" t="s">
        <v>114</v>
      </c>
      <c r="AS147" s="26" t="s">
        <v>120</v>
      </c>
      <c r="AT147" s="26" t="s">
        <v>116</v>
      </c>
      <c r="AU147" s="26" t="s">
        <v>215</v>
      </c>
      <c r="AV147" s="26">
        <v>5</v>
      </c>
      <c r="BO147" s="26" t="s">
        <v>155</v>
      </c>
      <c r="BP147" s="32" t="s">
        <v>730</v>
      </c>
      <c r="BQ147" s="32"/>
      <c r="BR147" s="32" t="s">
        <v>217</v>
      </c>
      <c r="BS147" s="32">
        <v>1.66E-2</v>
      </c>
      <c r="BT147" s="32">
        <v>2.3099999999999999E-2</v>
      </c>
      <c r="BU147" s="32">
        <v>3.0300000000000001E-2</v>
      </c>
      <c r="BV147" s="32" t="s">
        <v>129</v>
      </c>
      <c r="BW147" s="32" t="s">
        <v>218</v>
      </c>
      <c r="BX147" s="32">
        <v>3.3700000000000001E-2</v>
      </c>
      <c r="BY147" s="32">
        <v>4.0099999999999997E-2</v>
      </c>
      <c r="BZ147" s="32">
        <v>4.6600000000000003E-2</v>
      </c>
      <c r="CA147" s="32" t="s">
        <v>129</v>
      </c>
      <c r="CB147" s="32" t="s">
        <v>218</v>
      </c>
      <c r="CC147" s="32" t="s">
        <v>219</v>
      </c>
      <c r="CD147" s="32" t="s">
        <v>202</v>
      </c>
      <c r="CE147" s="32"/>
    </row>
    <row r="148" spans="1:83" ht="174">
      <c r="A148" s="26">
        <v>7</v>
      </c>
      <c r="B148" s="26" t="s">
        <v>204</v>
      </c>
      <c r="C148" s="26">
        <v>2014</v>
      </c>
      <c r="D148" s="26" t="s">
        <v>205</v>
      </c>
      <c r="E148" s="30">
        <v>44711</v>
      </c>
      <c r="F148" s="31" t="s">
        <v>90</v>
      </c>
      <c r="G148" s="31" t="s">
        <v>353</v>
      </c>
      <c r="H148" s="31"/>
      <c r="I148" s="32" t="s">
        <v>207</v>
      </c>
      <c r="J148" s="26" t="s">
        <v>326</v>
      </c>
      <c r="K148" s="26" t="s">
        <v>97</v>
      </c>
      <c r="L148" s="26" t="s">
        <v>97</v>
      </c>
      <c r="M148" s="26" t="s">
        <v>95</v>
      </c>
      <c r="N148" s="26" t="s">
        <v>208</v>
      </c>
      <c r="O148" s="26" t="s">
        <v>97</v>
      </c>
      <c r="P148" s="26" t="s">
        <v>97</v>
      </c>
      <c r="S148" s="26" t="s">
        <v>90</v>
      </c>
      <c r="T148" s="26" t="s">
        <v>191</v>
      </c>
      <c r="U148" s="26" t="s">
        <v>99</v>
      </c>
      <c r="V148" s="26">
        <v>1</v>
      </c>
      <c r="W148" s="26" t="s">
        <v>209</v>
      </c>
      <c r="X148" s="26" t="s">
        <v>210</v>
      </c>
      <c r="Y148" s="26" t="s">
        <v>102</v>
      </c>
      <c r="Z148" s="26" t="s">
        <v>211</v>
      </c>
      <c r="AA148" s="26" t="s">
        <v>212</v>
      </c>
      <c r="AB148" s="26" t="s">
        <v>105</v>
      </c>
      <c r="AC148" s="26" t="s">
        <v>213</v>
      </c>
      <c r="AD148" s="26" t="s">
        <v>214</v>
      </c>
      <c r="AE148" s="26" t="s">
        <v>108</v>
      </c>
      <c r="AF148" s="26">
        <v>1</v>
      </c>
      <c r="AG148" s="26" t="s">
        <v>160</v>
      </c>
      <c r="AH148" s="26" t="s">
        <v>155</v>
      </c>
      <c r="AI148" s="26" t="s">
        <v>110</v>
      </c>
      <c r="AJ148" s="26">
        <v>2</v>
      </c>
      <c r="AK148" s="26" t="s">
        <v>99</v>
      </c>
      <c r="AL148" s="26" t="s">
        <v>94</v>
      </c>
      <c r="AM148" s="26" t="s">
        <v>94</v>
      </c>
      <c r="AN148" s="26" t="s">
        <v>111</v>
      </c>
      <c r="AO148" s="26" t="s">
        <v>111</v>
      </c>
      <c r="AP148" s="26" t="s">
        <v>155</v>
      </c>
      <c r="AQ148" s="26" t="s">
        <v>119</v>
      </c>
      <c r="AR148" s="26" t="s">
        <v>114</v>
      </c>
      <c r="AS148" s="26" t="s">
        <v>120</v>
      </c>
      <c r="AT148" s="26" t="s">
        <v>116</v>
      </c>
      <c r="AU148" s="26" t="s">
        <v>215</v>
      </c>
      <c r="AV148" s="26">
        <v>5</v>
      </c>
      <c r="BO148" s="26" t="s">
        <v>155</v>
      </c>
      <c r="BP148" s="32" t="s">
        <v>731</v>
      </c>
      <c r="BQ148" s="32"/>
      <c r="BR148" s="32" t="s">
        <v>217</v>
      </c>
      <c r="BS148" s="32">
        <v>1.2699999999999999E-2</v>
      </c>
      <c r="BT148" s="32">
        <v>1.9300000000000001E-2</v>
      </c>
      <c r="BU148" s="32">
        <v>2.5999999999999999E-2</v>
      </c>
      <c r="BV148" s="32" t="s">
        <v>129</v>
      </c>
      <c r="BW148" s="32" t="s">
        <v>218</v>
      </c>
      <c r="BX148" s="32">
        <v>2.8199999999999999E-2</v>
      </c>
      <c r="BY148" s="32">
        <v>3.73E-2</v>
      </c>
      <c r="BZ148" s="32">
        <v>4.6100000000000002E-2</v>
      </c>
      <c r="CA148" s="32" t="s">
        <v>129</v>
      </c>
      <c r="CB148" s="32" t="s">
        <v>218</v>
      </c>
      <c r="CC148" s="32" t="s">
        <v>219</v>
      </c>
      <c r="CD148" s="32" t="s">
        <v>202</v>
      </c>
      <c r="CE148" s="32"/>
    </row>
    <row r="149" spans="1:83" ht="174">
      <c r="A149" s="26">
        <v>7</v>
      </c>
      <c r="B149" s="26" t="s">
        <v>204</v>
      </c>
      <c r="C149" s="26">
        <v>2014</v>
      </c>
      <c r="D149" s="26" t="s">
        <v>205</v>
      </c>
      <c r="E149" s="30">
        <v>44711</v>
      </c>
      <c r="F149" s="31" t="s">
        <v>90</v>
      </c>
      <c r="G149" s="31" t="s">
        <v>353</v>
      </c>
      <c r="H149" s="31"/>
      <c r="I149" s="32" t="s">
        <v>207</v>
      </c>
      <c r="J149" s="26" t="s">
        <v>326</v>
      </c>
      <c r="K149" s="26" t="s">
        <v>97</v>
      </c>
      <c r="L149" s="26" t="s">
        <v>97</v>
      </c>
      <c r="M149" s="26" t="s">
        <v>95</v>
      </c>
      <c r="N149" s="26" t="s">
        <v>208</v>
      </c>
      <c r="O149" s="26" t="s">
        <v>97</v>
      </c>
      <c r="P149" s="26" t="s">
        <v>97</v>
      </c>
      <c r="S149" s="26" t="s">
        <v>90</v>
      </c>
      <c r="T149" s="26" t="s">
        <v>191</v>
      </c>
      <c r="U149" s="26" t="s">
        <v>99</v>
      </c>
      <c r="V149" s="26">
        <v>1</v>
      </c>
      <c r="W149" s="26" t="s">
        <v>209</v>
      </c>
      <c r="X149" s="26" t="s">
        <v>210</v>
      </c>
      <c r="Y149" s="26" t="s">
        <v>102</v>
      </c>
      <c r="Z149" s="26" t="s">
        <v>211</v>
      </c>
      <c r="AA149" s="26" t="s">
        <v>212</v>
      </c>
      <c r="AB149" s="26" t="s">
        <v>105</v>
      </c>
      <c r="AC149" s="26" t="s">
        <v>213</v>
      </c>
      <c r="AD149" s="26" t="s">
        <v>214</v>
      </c>
      <c r="AE149" s="26" t="s">
        <v>108</v>
      </c>
      <c r="AF149" s="26">
        <v>1</v>
      </c>
      <c r="AG149" s="26" t="s">
        <v>160</v>
      </c>
      <c r="AH149" s="26" t="s">
        <v>155</v>
      </c>
      <c r="AI149" s="26" t="s">
        <v>110</v>
      </c>
      <c r="AJ149" s="26">
        <v>2</v>
      </c>
      <c r="AK149" s="26" t="s">
        <v>99</v>
      </c>
      <c r="AL149" s="26" t="s">
        <v>94</v>
      </c>
      <c r="AM149" s="26" t="s">
        <v>94</v>
      </c>
      <c r="AN149" s="26" t="s">
        <v>111</v>
      </c>
      <c r="AO149" s="26" t="s">
        <v>111</v>
      </c>
      <c r="AP149" s="26" t="s">
        <v>155</v>
      </c>
      <c r="AQ149" s="26" t="s">
        <v>119</v>
      </c>
      <c r="AR149" s="26" t="s">
        <v>114</v>
      </c>
      <c r="AS149" s="26" t="s">
        <v>120</v>
      </c>
      <c r="AT149" s="26" t="s">
        <v>116</v>
      </c>
      <c r="AU149" s="26" t="s">
        <v>215</v>
      </c>
      <c r="AV149" s="26">
        <v>5</v>
      </c>
      <c r="BO149" s="26" t="s">
        <v>155</v>
      </c>
      <c r="BP149" s="32" t="s">
        <v>732</v>
      </c>
      <c r="BQ149" s="32"/>
      <c r="BR149" s="32" t="s">
        <v>217</v>
      </c>
      <c r="BS149" s="32">
        <v>1.5599999999999999E-2</v>
      </c>
      <c r="BT149" s="32">
        <v>2.23E-2</v>
      </c>
      <c r="BU149" s="32">
        <v>2.9700000000000001E-2</v>
      </c>
      <c r="BV149" s="32" t="s">
        <v>129</v>
      </c>
      <c r="BW149" s="32" t="s">
        <v>218</v>
      </c>
      <c r="BX149" s="32">
        <v>2.01E-2</v>
      </c>
      <c r="BY149" s="32">
        <v>2.3900000000000001E-2</v>
      </c>
      <c r="BZ149" s="32">
        <v>2.7400000000000001E-2</v>
      </c>
      <c r="CA149" s="32" t="s">
        <v>129</v>
      </c>
      <c r="CB149" s="32" t="s">
        <v>218</v>
      </c>
      <c r="CC149" s="32" t="s">
        <v>219</v>
      </c>
      <c r="CD149" s="32" t="s">
        <v>202</v>
      </c>
      <c r="CE149" s="32"/>
    </row>
    <row r="150" spans="1:83" ht="145">
      <c r="A150" s="26">
        <v>8</v>
      </c>
      <c r="B150" s="26" t="s">
        <v>292</v>
      </c>
      <c r="C150" s="26">
        <v>2014</v>
      </c>
      <c r="D150" s="26" t="s">
        <v>293</v>
      </c>
      <c r="E150" s="30">
        <v>44706</v>
      </c>
      <c r="F150" s="31" t="s">
        <v>97</v>
      </c>
      <c r="G150" s="31" t="s">
        <v>495</v>
      </c>
      <c r="H150" s="31"/>
      <c r="I150" s="32" t="s">
        <v>294</v>
      </c>
      <c r="J150" s="26" t="s">
        <v>295</v>
      </c>
      <c r="K150" s="26" t="s">
        <v>94</v>
      </c>
      <c r="L150" s="26" t="s">
        <v>94</v>
      </c>
      <c r="M150" s="26" t="s">
        <v>95</v>
      </c>
      <c r="N150" s="26" t="s">
        <v>296</v>
      </c>
      <c r="O150" s="26" t="s">
        <v>97</v>
      </c>
      <c r="P150" s="26" t="s">
        <v>97</v>
      </c>
      <c r="S150" s="26" t="s">
        <v>90</v>
      </c>
      <c r="T150" s="26" t="s">
        <v>98</v>
      </c>
      <c r="U150" s="26" t="s">
        <v>99</v>
      </c>
      <c r="V150" s="26">
        <v>1</v>
      </c>
      <c r="W150" s="26" t="s">
        <v>297</v>
      </c>
      <c r="X150" s="26" t="s">
        <v>298</v>
      </c>
      <c r="Y150" s="26" t="s">
        <v>102</v>
      </c>
      <c r="Z150" s="26" t="s">
        <v>299</v>
      </c>
      <c r="AA150" s="26" t="s">
        <v>300</v>
      </c>
      <c r="AB150" s="26" t="s">
        <v>105</v>
      </c>
      <c r="AC150" s="26" t="s">
        <v>301</v>
      </c>
      <c r="AD150" s="26" t="s">
        <v>302</v>
      </c>
      <c r="AE150" s="26" t="s">
        <v>108</v>
      </c>
      <c r="AF150" s="26">
        <v>1</v>
      </c>
      <c r="AG150" s="26" t="s">
        <v>160</v>
      </c>
      <c r="AH150" s="26" t="s">
        <v>155</v>
      </c>
      <c r="AI150" s="26" t="s">
        <v>110</v>
      </c>
      <c r="AJ150" s="26">
        <v>2</v>
      </c>
      <c r="AK150" s="26" t="s">
        <v>99</v>
      </c>
      <c r="AL150" s="26" t="s">
        <v>94</v>
      </c>
      <c r="AM150" s="26" t="s">
        <v>94</v>
      </c>
      <c r="AN150" s="26" t="s">
        <v>111</v>
      </c>
      <c r="AO150" s="26" t="s">
        <v>111</v>
      </c>
      <c r="AP150" s="26" t="s">
        <v>155</v>
      </c>
      <c r="AQ150" s="26" t="s">
        <v>119</v>
      </c>
      <c r="AR150" s="26" t="s">
        <v>114</v>
      </c>
      <c r="AS150" s="26" t="s">
        <v>120</v>
      </c>
      <c r="AT150" s="26" t="s">
        <v>116</v>
      </c>
      <c r="AU150" s="26" t="s">
        <v>303</v>
      </c>
      <c r="AV150" s="26">
        <v>2</v>
      </c>
      <c r="BO150" s="32" t="s">
        <v>155</v>
      </c>
      <c r="BP150" s="32" t="s">
        <v>126</v>
      </c>
      <c r="BQ150" s="32"/>
      <c r="BR150" s="32" t="s">
        <v>304</v>
      </c>
      <c r="BS150" s="32">
        <v>7.3280000000000003</v>
      </c>
      <c r="BT150" s="32">
        <v>8.8130000000000006</v>
      </c>
      <c r="BU150" s="32">
        <v>10.111000000000001</v>
      </c>
      <c r="BV150" s="32" t="s">
        <v>161</v>
      </c>
      <c r="BW150" s="32">
        <v>14</v>
      </c>
      <c r="BX150" s="32">
        <v>33.488</v>
      </c>
      <c r="BY150" s="32">
        <v>37.57</v>
      </c>
      <c r="BZ150" s="32">
        <v>41.837000000000003</v>
      </c>
      <c r="CA150" s="32" t="s">
        <v>161</v>
      </c>
      <c r="CB150" s="32">
        <v>14</v>
      </c>
      <c r="CC150" s="32" t="s">
        <v>305</v>
      </c>
      <c r="CD150" s="32" t="s">
        <v>306</v>
      </c>
      <c r="CE150" s="32"/>
    </row>
    <row r="151" spans="1:83" ht="145">
      <c r="A151" s="26">
        <v>8</v>
      </c>
      <c r="B151" s="26" t="s">
        <v>292</v>
      </c>
      <c r="C151" s="26">
        <v>2014</v>
      </c>
      <c r="D151" s="26" t="s">
        <v>293</v>
      </c>
      <c r="E151" s="30">
        <v>44706</v>
      </c>
      <c r="F151" s="31" t="s">
        <v>97</v>
      </c>
      <c r="G151" s="31" t="s">
        <v>495</v>
      </c>
      <c r="H151" s="31"/>
      <c r="I151" s="32" t="s">
        <v>294</v>
      </c>
      <c r="J151" s="26" t="s">
        <v>295</v>
      </c>
      <c r="K151" s="26" t="s">
        <v>94</v>
      </c>
      <c r="L151" s="26" t="s">
        <v>94</v>
      </c>
      <c r="M151" s="26" t="s">
        <v>95</v>
      </c>
      <c r="N151" s="26" t="s">
        <v>296</v>
      </c>
      <c r="O151" s="26" t="s">
        <v>97</v>
      </c>
      <c r="P151" s="26" t="s">
        <v>97</v>
      </c>
      <c r="S151" s="26" t="s">
        <v>90</v>
      </c>
      <c r="T151" s="26" t="s">
        <v>98</v>
      </c>
      <c r="U151" s="26" t="s">
        <v>99</v>
      </c>
      <c r="V151" s="26">
        <v>1</v>
      </c>
      <c r="W151" s="26" t="s">
        <v>297</v>
      </c>
      <c r="X151" s="26" t="s">
        <v>298</v>
      </c>
      <c r="Y151" s="26" t="s">
        <v>102</v>
      </c>
      <c r="Z151" s="26" t="s">
        <v>299</v>
      </c>
      <c r="AA151" s="26" t="s">
        <v>300</v>
      </c>
      <c r="AB151" s="26" t="s">
        <v>105</v>
      </c>
      <c r="AC151" s="26" t="s">
        <v>301</v>
      </c>
      <c r="AD151" s="26" t="s">
        <v>302</v>
      </c>
      <c r="AE151" s="26" t="s">
        <v>108</v>
      </c>
      <c r="AF151" s="26">
        <v>1</v>
      </c>
      <c r="AG151" s="26" t="s">
        <v>160</v>
      </c>
      <c r="AH151" s="26" t="s">
        <v>155</v>
      </c>
      <c r="AI151" s="26" t="s">
        <v>110</v>
      </c>
      <c r="AJ151" s="26">
        <v>2</v>
      </c>
      <c r="AK151" s="26" t="s">
        <v>99</v>
      </c>
      <c r="AL151" s="26" t="s">
        <v>94</v>
      </c>
      <c r="AM151" s="26" t="s">
        <v>94</v>
      </c>
      <c r="AN151" s="26" t="s">
        <v>111</v>
      </c>
      <c r="AO151" s="26" t="s">
        <v>111</v>
      </c>
      <c r="AP151" s="26" t="s">
        <v>155</v>
      </c>
      <c r="AQ151" s="26" t="s">
        <v>119</v>
      </c>
      <c r="AR151" s="26" t="s">
        <v>114</v>
      </c>
      <c r="AS151" s="26" t="s">
        <v>120</v>
      </c>
      <c r="AT151" s="26" t="s">
        <v>116</v>
      </c>
      <c r="AU151" s="26" t="s">
        <v>303</v>
      </c>
      <c r="AV151" s="26">
        <v>2</v>
      </c>
      <c r="BO151" s="32" t="s">
        <v>155</v>
      </c>
      <c r="BP151" s="32" t="s">
        <v>307</v>
      </c>
      <c r="BQ151" s="32"/>
      <c r="BR151" s="32" t="s">
        <v>304</v>
      </c>
      <c r="BS151" s="32">
        <v>-1.113</v>
      </c>
      <c r="BT151" s="32">
        <v>0.27800000000000002</v>
      </c>
      <c r="BU151" s="32">
        <v>1.7629999999999999</v>
      </c>
      <c r="BV151" s="32" t="s">
        <v>161</v>
      </c>
      <c r="BW151" s="32">
        <v>11</v>
      </c>
      <c r="BX151" s="32">
        <v>12.616</v>
      </c>
      <c r="BY151" s="32">
        <v>15.584</v>
      </c>
      <c r="BZ151" s="32">
        <v>18.831</v>
      </c>
      <c r="CA151" s="32" t="s">
        <v>161</v>
      </c>
      <c r="CB151" s="32">
        <v>13</v>
      </c>
      <c r="CC151" s="32" t="s">
        <v>305</v>
      </c>
      <c r="CD151" s="32" t="s">
        <v>306</v>
      </c>
      <c r="CE151" s="32"/>
    </row>
    <row r="152" spans="1:83" ht="145">
      <c r="A152" s="26">
        <v>8</v>
      </c>
      <c r="B152" s="26" t="s">
        <v>292</v>
      </c>
      <c r="C152" s="26">
        <v>2014</v>
      </c>
      <c r="D152" s="26" t="s">
        <v>293</v>
      </c>
      <c r="E152" s="30">
        <v>44706</v>
      </c>
      <c r="F152" s="31" t="s">
        <v>97</v>
      </c>
      <c r="G152" s="31" t="s">
        <v>495</v>
      </c>
      <c r="H152" s="31"/>
      <c r="I152" s="32" t="s">
        <v>294</v>
      </c>
      <c r="J152" s="26" t="s">
        <v>295</v>
      </c>
      <c r="K152" s="26" t="s">
        <v>94</v>
      </c>
      <c r="L152" s="26" t="s">
        <v>94</v>
      </c>
      <c r="M152" s="26" t="s">
        <v>95</v>
      </c>
      <c r="N152" s="26" t="s">
        <v>296</v>
      </c>
      <c r="O152" s="26" t="s">
        <v>97</v>
      </c>
      <c r="P152" s="26" t="s">
        <v>97</v>
      </c>
      <c r="S152" s="26" t="s">
        <v>90</v>
      </c>
      <c r="T152" s="26" t="s">
        <v>98</v>
      </c>
      <c r="U152" s="26" t="s">
        <v>99</v>
      </c>
      <c r="V152" s="26">
        <v>1</v>
      </c>
      <c r="W152" s="26" t="s">
        <v>297</v>
      </c>
      <c r="X152" s="26" t="s">
        <v>298</v>
      </c>
      <c r="Y152" s="26" t="s">
        <v>102</v>
      </c>
      <c r="Z152" s="26" t="s">
        <v>299</v>
      </c>
      <c r="AA152" s="26" t="s">
        <v>300</v>
      </c>
      <c r="AB152" s="26" t="s">
        <v>105</v>
      </c>
      <c r="AC152" s="26" t="s">
        <v>301</v>
      </c>
      <c r="AD152" s="26" t="s">
        <v>302</v>
      </c>
      <c r="AE152" s="26" t="s">
        <v>108</v>
      </c>
      <c r="AF152" s="26">
        <v>1</v>
      </c>
      <c r="AG152" s="26" t="s">
        <v>160</v>
      </c>
      <c r="AH152" s="26" t="s">
        <v>155</v>
      </c>
      <c r="AI152" s="26" t="s">
        <v>110</v>
      </c>
      <c r="AJ152" s="26">
        <v>2</v>
      </c>
      <c r="AK152" s="26" t="s">
        <v>99</v>
      </c>
      <c r="AL152" s="26" t="s">
        <v>94</v>
      </c>
      <c r="AM152" s="26" t="s">
        <v>94</v>
      </c>
      <c r="AN152" s="26" t="s">
        <v>111</v>
      </c>
      <c r="AO152" s="26" t="s">
        <v>111</v>
      </c>
      <c r="AP152" s="26" t="s">
        <v>155</v>
      </c>
      <c r="AQ152" s="26" t="s">
        <v>119</v>
      </c>
      <c r="AR152" s="26" t="s">
        <v>114</v>
      </c>
      <c r="AS152" s="26" t="s">
        <v>120</v>
      </c>
      <c r="AT152" s="26" t="s">
        <v>116</v>
      </c>
      <c r="AU152" s="26" t="s">
        <v>303</v>
      </c>
      <c r="AV152" s="26">
        <v>2</v>
      </c>
      <c r="BO152" s="32" t="s">
        <v>155</v>
      </c>
      <c r="BP152" s="32" t="s">
        <v>126</v>
      </c>
      <c r="BQ152" s="32"/>
      <c r="BR152" s="32" t="s">
        <v>308</v>
      </c>
      <c r="BS152" s="32">
        <v>5.67E-2</v>
      </c>
      <c r="BT152" s="32">
        <v>6.59E-2</v>
      </c>
      <c r="BU152" s="32">
        <v>7.2599999999999998E-2</v>
      </c>
      <c r="BV152" s="32" t="s">
        <v>161</v>
      </c>
      <c r="BW152" s="32">
        <v>14</v>
      </c>
      <c r="BX152" s="32">
        <v>0.14599999999999999</v>
      </c>
      <c r="BY152" s="32">
        <v>0.16</v>
      </c>
      <c r="BZ152" s="32">
        <v>0.17599999999999999</v>
      </c>
      <c r="CA152" s="32" t="s">
        <v>161</v>
      </c>
      <c r="CB152" s="32">
        <v>14</v>
      </c>
      <c r="CC152" s="32" t="s">
        <v>111</v>
      </c>
      <c r="CD152" s="32" t="s">
        <v>309</v>
      </c>
      <c r="CE152" s="32" t="s">
        <v>310</v>
      </c>
    </row>
    <row r="153" spans="1:83" ht="145">
      <c r="A153" s="26">
        <v>8</v>
      </c>
      <c r="B153" s="26" t="s">
        <v>292</v>
      </c>
      <c r="C153" s="26">
        <v>2014</v>
      </c>
      <c r="D153" s="26" t="s">
        <v>293</v>
      </c>
      <c r="E153" s="30">
        <v>44706</v>
      </c>
      <c r="F153" s="31" t="s">
        <v>97</v>
      </c>
      <c r="G153" s="31" t="s">
        <v>495</v>
      </c>
      <c r="H153" s="31"/>
      <c r="I153" s="32" t="s">
        <v>294</v>
      </c>
      <c r="J153" s="26" t="s">
        <v>295</v>
      </c>
      <c r="K153" s="26" t="s">
        <v>94</v>
      </c>
      <c r="L153" s="26" t="s">
        <v>94</v>
      </c>
      <c r="M153" s="26" t="s">
        <v>95</v>
      </c>
      <c r="N153" s="26" t="s">
        <v>296</v>
      </c>
      <c r="O153" s="26" t="s">
        <v>97</v>
      </c>
      <c r="P153" s="26" t="s">
        <v>97</v>
      </c>
      <c r="S153" s="26" t="s">
        <v>90</v>
      </c>
      <c r="T153" s="26" t="s">
        <v>98</v>
      </c>
      <c r="U153" s="26" t="s">
        <v>99</v>
      </c>
      <c r="V153" s="26">
        <v>1</v>
      </c>
      <c r="W153" s="26" t="s">
        <v>297</v>
      </c>
      <c r="X153" s="26" t="s">
        <v>298</v>
      </c>
      <c r="Y153" s="26" t="s">
        <v>102</v>
      </c>
      <c r="Z153" s="26" t="s">
        <v>299</v>
      </c>
      <c r="AA153" s="26" t="s">
        <v>300</v>
      </c>
      <c r="AB153" s="26" t="s">
        <v>105</v>
      </c>
      <c r="AC153" s="26" t="s">
        <v>301</v>
      </c>
      <c r="AD153" s="26" t="s">
        <v>302</v>
      </c>
      <c r="AE153" s="26" t="s">
        <v>108</v>
      </c>
      <c r="AF153" s="26">
        <v>1</v>
      </c>
      <c r="AG153" s="26" t="s">
        <v>160</v>
      </c>
      <c r="AH153" s="26" t="s">
        <v>155</v>
      </c>
      <c r="AI153" s="26" t="s">
        <v>110</v>
      </c>
      <c r="AJ153" s="26">
        <v>2</v>
      </c>
      <c r="AK153" s="26" t="s">
        <v>99</v>
      </c>
      <c r="AL153" s="26" t="s">
        <v>94</v>
      </c>
      <c r="AM153" s="26" t="s">
        <v>94</v>
      </c>
      <c r="AN153" s="26" t="s">
        <v>111</v>
      </c>
      <c r="AO153" s="26" t="s">
        <v>111</v>
      </c>
      <c r="AP153" s="26" t="s">
        <v>155</v>
      </c>
      <c r="AQ153" s="26" t="s">
        <v>119</v>
      </c>
      <c r="AR153" s="26" t="s">
        <v>114</v>
      </c>
      <c r="AS153" s="26" t="s">
        <v>120</v>
      </c>
      <c r="AT153" s="26" t="s">
        <v>116</v>
      </c>
      <c r="AU153" s="26" t="s">
        <v>303</v>
      </c>
      <c r="AV153" s="26">
        <v>2</v>
      </c>
      <c r="BO153" s="32" t="s">
        <v>155</v>
      </c>
      <c r="BP153" s="32" t="s">
        <v>307</v>
      </c>
      <c r="BQ153" s="32"/>
      <c r="BR153" s="32" t="s">
        <v>308</v>
      </c>
      <c r="BS153" s="32">
        <v>-3.1800000000000002E-2</v>
      </c>
      <c r="BT153" s="32">
        <v>-1.34E-2</v>
      </c>
      <c r="BU153" s="32">
        <v>3.0100000000000001E-3</v>
      </c>
      <c r="BV153" s="32" t="s">
        <v>161</v>
      </c>
      <c r="BW153" s="32">
        <v>11</v>
      </c>
      <c r="BX153" s="32">
        <v>6.1199999999999997E-2</v>
      </c>
      <c r="BY153" s="32">
        <v>7.7899999999999997E-2</v>
      </c>
      <c r="BZ153" s="32">
        <v>9.0899999999999995E-2</v>
      </c>
      <c r="CA153" s="32" t="s">
        <v>161</v>
      </c>
      <c r="CB153" s="32">
        <v>13</v>
      </c>
      <c r="CC153" s="32" t="s">
        <v>111</v>
      </c>
      <c r="CD153" s="32" t="s">
        <v>309</v>
      </c>
      <c r="CE153" s="32" t="s">
        <v>310</v>
      </c>
    </row>
    <row r="154" spans="1:83" ht="87">
      <c r="A154" s="26">
        <v>9</v>
      </c>
      <c r="B154" s="26" t="s">
        <v>323</v>
      </c>
      <c r="C154" s="26">
        <v>2015</v>
      </c>
      <c r="D154" s="26" t="s">
        <v>324</v>
      </c>
      <c r="E154" s="30">
        <v>44712</v>
      </c>
      <c r="F154" s="31"/>
      <c r="G154" s="31" t="s">
        <v>495</v>
      </c>
      <c r="H154" s="31"/>
      <c r="I154" s="32" t="s">
        <v>325</v>
      </c>
      <c r="J154" s="26" t="s">
        <v>326</v>
      </c>
      <c r="K154" s="26" t="s">
        <v>97</v>
      </c>
      <c r="L154" s="26" t="s">
        <v>97</v>
      </c>
      <c r="M154" s="26" t="s">
        <v>95</v>
      </c>
      <c r="N154" s="26" t="s">
        <v>327</v>
      </c>
      <c r="O154" s="26" t="s">
        <v>90</v>
      </c>
      <c r="P154" s="26" t="s">
        <v>97</v>
      </c>
      <c r="Q154" s="26" t="s">
        <v>328</v>
      </c>
      <c r="S154" s="26" t="s">
        <v>90</v>
      </c>
      <c r="T154" s="26" t="s">
        <v>98</v>
      </c>
      <c r="U154" s="26" t="s">
        <v>99</v>
      </c>
      <c r="V154" s="26">
        <v>1</v>
      </c>
      <c r="W154" s="26" t="s">
        <v>329</v>
      </c>
      <c r="X154" s="26" t="s">
        <v>330</v>
      </c>
      <c r="Y154" s="26" t="s">
        <v>102</v>
      </c>
      <c r="Z154" s="26" t="s">
        <v>331</v>
      </c>
      <c r="AA154" s="26" t="s">
        <v>332</v>
      </c>
      <c r="AB154" s="26" t="s">
        <v>20</v>
      </c>
      <c r="AC154" s="26" t="s">
        <v>333</v>
      </c>
      <c r="AD154" s="26" t="s">
        <v>334</v>
      </c>
      <c r="AE154" s="26" t="s">
        <v>108</v>
      </c>
      <c r="AF154" s="26">
        <v>1</v>
      </c>
      <c r="AG154" s="26" t="s">
        <v>160</v>
      </c>
      <c r="AH154" s="26" t="s">
        <v>155</v>
      </c>
      <c r="AI154" s="26" t="s">
        <v>110</v>
      </c>
      <c r="AJ154" s="26">
        <v>2</v>
      </c>
      <c r="AK154" s="26" t="s">
        <v>99</v>
      </c>
      <c r="AL154" s="26" t="s">
        <v>94</v>
      </c>
      <c r="AM154" s="26" t="s">
        <v>94</v>
      </c>
      <c r="AN154" s="26" t="s">
        <v>111</v>
      </c>
      <c r="AO154" s="26" t="s">
        <v>111</v>
      </c>
      <c r="AP154" s="26" t="s">
        <v>155</v>
      </c>
      <c r="AQ154" s="26" t="s">
        <v>119</v>
      </c>
      <c r="AR154" s="26" t="s">
        <v>114</v>
      </c>
      <c r="AS154" s="26" t="s">
        <v>120</v>
      </c>
      <c r="AT154" s="26" t="s">
        <v>116</v>
      </c>
      <c r="AU154" s="26" t="s">
        <v>335</v>
      </c>
      <c r="AV154" s="26">
        <v>3</v>
      </c>
      <c r="BO154" s="32" t="s">
        <v>155</v>
      </c>
      <c r="BP154" s="32" t="s">
        <v>733</v>
      </c>
      <c r="BQ154" s="32"/>
      <c r="BR154" s="32" t="s">
        <v>339</v>
      </c>
      <c r="BS154" s="32">
        <v>199.721</v>
      </c>
      <c r="BT154" s="32">
        <v>233.24</v>
      </c>
      <c r="BU154" s="32">
        <v>263.96600000000001</v>
      </c>
      <c r="BV154" s="32" t="s">
        <v>129</v>
      </c>
      <c r="BW154" s="32">
        <v>9</v>
      </c>
      <c r="BX154" s="32">
        <v>382.68200000000002</v>
      </c>
      <c r="BY154" s="32">
        <v>414.80399999999997</v>
      </c>
      <c r="BZ154" s="32">
        <v>452.51400000000001</v>
      </c>
      <c r="CA154" s="32" t="s">
        <v>129</v>
      </c>
      <c r="CB154" s="32">
        <v>9</v>
      </c>
      <c r="CC154" s="32" t="s">
        <v>340</v>
      </c>
      <c r="CD154" s="32" t="s">
        <v>309</v>
      </c>
      <c r="CE154" s="32"/>
    </row>
    <row r="155" spans="1:83" ht="87">
      <c r="A155" s="26">
        <v>9</v>
      </c>
      <c r="B155" s="26" t="s">
        <v>323</v>
      </c>
      <c r="C155" s="26">
        <v>2015</v>
      </c>
      <c r="D155" s="26" t="s">
        <v>324</v>
      </c>
      <c r="E155" s="30">
        <v>44712</v>
      </c>
      <c r="F155" s="31"/>
      <c r="G155" s="31" t="s">
        <v>495</v>
      </c>
      <c r="H155" s="31"/>
      <c r="I155" s="32" t="s">
        <v>325</v>
      </c>
      <c r="J155" s="26" t="s">
        <v>326</v>
      </c>
      <c r="K155" s="26" t="s">
        <v>97</v>
      </c>
      <c r="L155" s="26" t="s">
        <v>97</v>
      </c>
      <c r="M155" s="26" t="s">
        <v>95</v>
      </c>
      <c r="N155" s="26" t="s">
        <v>327</v>
      </c>
      <c r="O155" s="26" t="s">
        <v>90</v>
      </c>
      <c r="P155" s="26" t="s">
        <v>97</v>
      </c>
      <c r="Q155" s="26" t="s">
        <v>328</v>
      </c>
      <c r="S155" s="26" t="s">
        <v>90</v>
      </c>
      <c r="T155" s="26" t="s">
        <v>98</v>
      </c>
      <c r="U155" s="26" t="s">
        <v>99</v>
      </c>
      <c r="V155" s="26">
        <v>1</v>
      </c>
      <c r="W155" s="26" t="s">
        <v>329</v>
      </c>
      <c r="X155" s="26" t="s">
        <v>330</v>
      </c>
      <c r="Y155" s="26" t="s">
        <v>102</v>
      </c>
      <c r="Z155" s="26" t="s">
        <v>331</v>
      </c>
      <c r="AA155" s="26" t="s">
        <v>332</v>
      </c>
      <c r="AB155" s="26" t="s">
        <v>20</v>
      </c>
      <c r="AC155" s="26" t="s">
        <v>333</v>
      </c>
      <c r="AD155" s="26" t="s">
        <v>334</v>
      </c>
      <c r="AE155" s="26" t="s">
        <v>108</v>
      </c>
      <c r="AF155" s="26">
        <v>1</v>
      </c>
      <c r="AG155" s="26" t="s">
        <v>160</v>
      </c>
      <c r="AH155" s="26" t="s">
        <v>155</v>
      </c>
      <c r="AI155" s="26" t="s">
        <v>110</v>
      </c>
      <c r="AJ155" s="26">
        <v>2</v>
      </c>
      <c r="AK155" s="26" t="s">
        <v>99</v>
      </c>
      <c r="AL155" s="26" t="s">
        <v>94</v>
      </c>
      <c r="AM155" s="26" t="s">
        <v>94</v>
      </c>
      <c r="AN155" s="26" t="s">
        <v>111</v>
      </c>
      <c r="AO155" s="26" t="s">
        <v>111</v>
      </c>
      <c r="AP155" s="26" t="s">
        <v>155</v>
      </c>
      <c r="AQ155" s="26" t="s">
        <v>119</v>
      </c>
      <c r="AR155" s="26" t="s">
        <v>114</v>
      </c>
      <c r="AS155" s="26" t="s">
        <v>120</v>
      </c>
      <c r="AT155" s="26" t="s">
        <v>116</v>
      </c>
      <c r="AU155" s="26" t="s">
        <v>335</v>
      </c>
      <c r="AV155" s="26">
        <v>3</v>
      </c>
      <c r="BO155" s="32" t="s">
        <v>155</v>
      </c>
      <c r="BP155" s="32" t="s">
        <v>336</v>
      </c>
      <c r="BQ155" s="32"/>
      <c r="BR155" s="32" t="s">
        <v>339</v>
      </c>
      <c r="BS155" s="32">
        <v>122.905</v>
      </c>
      <c r="BT155" s="32">
        <v>136.87200000000001</v>
      </c>
      <c r="BU155" s="32">
        <v>150.83799999999999</v>
      </c>
      <c r="BV155" s="32" t="s">
        <v>129</v>
      </c>
      <c r="BW155" s="32">
        <v>9</v>
      </c>
      <c r="BX155" s="32">
        <v>226.25700000000001</v>
      </c>
      <c r="BY155" s="32">
        <v>248.60300000000001</v>
      </c>
      <c r="BZ155" s="32">
        <v>273.74299999999999</v>
      </c>
      <c r="CA155" s="32" t="s">
        <v>129</v>
      </c>
      <c r="CB155" s="32">
        <v>10</v>
      </c>
      <c r="CC155" s="32" t="s">
        <v>340</v>
      </c>
      <c r="CD155" s="32" t="s">
        <v>309</v>
      </c>
      <c r="CE155" s="32"/>
    </row>
    <row r="156" spans="1:83" ht="87">
      <c r="A156" s="26">
        <v>9</v>
      </c>
      <c r="B156" s="26" t="s">
        <v>323</v>
      </c>
      <c r="C156" s="26">
        <v>2015</v>
      </c>
      <c r="D156" s="26" t="s">
        <v>324</v>
      </c>
      <c r="E156" s="30">
        <v>44712</v>
      </c>
      <c r="F156" s="31"/>
      <c r="G156" s="31" t="s">
        <v>495</v>
      </c>
      <c r="H156" s="31"/>
      <c r="I156" s="32" t="s">
        <v>325</v>
      </c>
      <c r="J156" s="26" t="s">
        <v>326</v>
      </c>
      <c r="K156" s="26" t="s">
        <v>97</v>
      </c>
      <c r="L156" s="26" t="s">
        <v>97</v>
      </c>
      <c r="M156" s="26" t="s">
        <v>95</v>
      </c>
      <c r="N156" s="26" t="s">
        <v>327</v>
      </c>
      <c r="O156" s="26" t="s">
        <v>90</v>
      </c>
      <c r="P156" s="26" t="s">
        <v>97</v>
      </c>
      <c r="Q156" s="26" t="s">
        <v>328</v>
      </c>
      <c r="S156" s="26" t="s">
        <v>90</v>
      </c>
      <c r="T156" s="26" t="s">
        <v>98</v>
      </c>
      <c r="U156" s="26" t="s">
        <v>99</v>
      </c>
      <c r="V156" s="26">
        <v>1</v>
      </c>
      <c r="W156" s="26" t="s">
        <v>329</v>
      </c>
      <c r="X156" s="26" t="s">
        <v>330</v>
      </c>
      <c r="Y156" s="26" t="s">
        <v>102</v>
      </c>
      <c r="Z156" s="26" t="s">
        <v>331</v>
      </c>
      <c r="AA156" s="26" t="s">
        <v>332</v>
      </c>
      <c r="AB156" s="26" t="s">
        <v>20</v>
      </c>
      <c r="AC156" s="26" t="s">
        <v>333</v>
      </c>
      <c r="AD156" s="26" t="s">
        <v>334</v>
      </c>
      <c r="AE156" s="26" t="s">
        <v>108</v>
      </c>
      <c r="AF156" s="26">
        <v>1</v>
      </c>
      <c r="AG156" s="26" t="s">
        <v>160</v>
      </c>
      <c r="AH156" s="26" t="s">
        <v>155</v>
      </c>
      <c r="AI156" s="26" t="s">
        <v>110</v>
      </c>
      <c r="AJ156" s="26">
        <v>2</v>
      </c>
      <c r="AK156" s="26" t="s">
        <v>99</v>
      </c>
      <c r="AL156" s="26" t="s">
        <v>94</v>
      </c>
      <c r="AM156" s="26" t="s">
        <v>94</v>
      </c>
      <c r="AN156" s="26" t="s">
        <v>111</v>
      </c>
      <c r="AO156" s="26" t="s">
        <v>111</v>
      </c>
      <c r="AP156" s="26" t="s">
        <v>155</v>
      </c>
      <c r="AQ156" s="26" t="s">
        <v>119</v>
      </c>
      <c r="AR156" s="26" t="s">
        <v>114</v>
      </c>
      <c r="AS156" s="26" t="s">
        <v>120</v>
      </c>
      <c r="AT156" s="26" t="s">
        <v>116</v>
      </c>
      <c r="AU156" s="26" t="s">
        <v>335</v>
      </c>
      <c r="AV156" s="26">
        <v>3</v>
      </c>
      <c r="BO156" s="32" t="s">
        <v>155</v>
      </c>
      <c r="BP156" s="32" t="s">
        <v>341</v>
      </c>
      <c r="BQ156" s="32"/>
      <c r="BR156" s="32" t="s">
        <v>339</v>
      </c>
      <c r="BS156" s="32">
        <v>104.749</v>
      </c>
      <c r="BT156" s="32">
        <v>115.922</v>
      </c>
      <c r="BU156" s="32">
        <v>129.88800000000001</v>
      </c>
      <c r="BV156" s="32" t="s">
        <v>129</v>
      </c>
      <c r="BW156" s="32">
        <v>9</v>
      </c>
      <c r="BX156" s="32">
        <v>192.73699999999999</v>
      </c>
      <c r="BY156" s="32">
        <v>201.11699999999999</v>
      </c>
      <c r="BZ156" s="32">
        <v>213.68700000000001</v>
      </c>
      <c r="CA156" s="32" t="s">
        <v>129</v>
      </c>
      <c r="CB156" s="32">
        <v>10</v>
      </c>
      <c r="CC156" s="32" t="s">
        <v>340</v>
      </c>
      <c r="CD156" s="32" t="s">
        <v>309</v>
      </c>
      <c r="CE156" s="32"/>
    </row>
    <row r="157" spans="1:83" ht="87">
      <c r="A157" s="26">
        <v>9</v>
      </c>
      <c r="B157" s="26" t="s">
        <v>323</v>
      </c>
      <c r="C157" s="26">
        <v>2015</v>
      </c>
      <c r="D157" s="26" t="s">
        <v>324</v>
      </c>
      <c r="E157" s="30">
        <v>44712</v>
      </c>
      <c r="F157" s="31"/>
      <c r="G157" s="31" t="s">
        <v>495</v>
      </c>
      <c r="H157" s="31"/>
      <c r="I157" s="32" t="s">
        <v>325</v>
      </c>
      <c r="J157" s="26" t="s">
        <v>326</v>
      </c>
      <c r="K157" s="26" t="s">
        <v>97</v>
      </c>
      <c r="L157" s="26" t="s">
        <v>97</v>
      </c>
      <c r="M157" s="26" t="s">
        <v>95</v>
      </c>
      <c r="N157" s="26" t="s">
        <v>327</v>
      </c>
      <c r="O157" s="26" t="s">
        <v>90</v>
      </c>
      <c r="P157" s="26" t="s">
        <v>97</v>
      </c>
      <c r="Q157" s="26" t="s">
        <v>328</v>
      </c>
      <c r="S157" s="26" t="s">
        <v>90</v>
      </c>
      <c r="T157" s="26" t="s">
        <v>98</v>
      </c>
      <c r="U157" s="26" t="s">
        <v>99</v>
      </c>
      <c r="V157" s="26">
        <v>1</v>
      </c>
      <c r="W157" s="26" t="s">
        <v>329</v>
      </c>
      <c r="X157" s="26" t="s">
        <v>330</v>
      </c>
      <c r="Y157" s="26" t="s">
        <v>102</v>
      </c>
      <c r="Z157" s="26" t="s">
        <v>331</v>
      </c>
      <c r="AA157" s="26" t="s">
        <v>332</v>
      </c>
      <c r="AB157" s="26" t="s">
        <v>20</v>
      </c>
      <c r="AC157" s="26" t="s">
        <v>333</v>
      </c>
      <c r="AD157" s="26" t="s">
        <v>334</v>
      </c>
      <c r="AE157" s="26" t="s">
        <v>108</v>
      </c>
      <c r="AF157" s="26">
        <v>1</v>
      </c>
      <c r="AG157" s="26" t="s">
        <v>160</v>
      </c>
      <c r="AH157" s="26" t="s">
        <v>155</v>
      </c>
      <c r="AI157" s="26" t="s">
        <v>110</v>
      </c>
      <c r="AJ157" s="26">
        <v>2</v>
      </c>
      <c r="AK157" s="26" t="s">
        <v>99</v>
      </c>
      <c r="AL157" s="26" t="s">
        <v>94</v>
      </c>
      <c r="AM157" s="26" t="s">
        <v>94</v>
      </c>
      <c r="AN157" s="26" t="s">
        <v>111</v>
      </c>
      <c r="AO157" s="26" t="s">
        <v>111</v>
      </c>
      <c r="AP157" s="26" t="s">
        <v>155</v>
      </c>
      <c r="AQ157" s="26" t="s">
        <v>119</v>
      </c>
      <c r="AR157" s="26" t="s">
        <v>114</v>
      </c>
      <c r="AS157" s="26" t="s">
        <v>120</v>
      </c>
      <c r="AT157" s="26" t="s">
        <v>116</v>
      </c>
      <c r="AU157" s="26" t="s">
        <v>335</v>
      </c>
      <c r="AV157" s="26">
        <v>3</v>
      </c>
      <c r="BO157" s="32" t="s">
        <v>155</v>
      </c>
      <c r="BP157" s="32" t="s">
        <v>733</v>
      </c>
      <c r="BQ157" s="32"/>
      <c r="BR157" s="32" t="s">
        <v>308</v>
      </c>
      <c r="BS157" s="32">
        <v>0.23599999999999999</v>
      </c>
      <c r="BT157" s="32">
        <v>0.25800000000000001</v>
      </c>
      <c r="BU157" s="32">
        <v>0.28100000000000003</v>
      </c>
      <c r="BV157" s="32" t="s">
        <v>129</v>
      </c>
      <c r="BW157" s="32">
        <v>9</v>
      </c>
      <c r="BX157" s="32">
        <v>0.32800000000000001</v>
      </c>
      <c r="BY157" s="32">
        <v>0.34799999999999998</v>
      </c>
      <c r="BZ157" s="32">
        <v>0.373</v>
      </c>
      <c r="CA157" s="32" t="s">
        <v>129</v>
      </c>
      <c r="CB157" s="32">
        <v>9</v>
      </c>
      <c r="CC157" s="32" t="s">
        <v>111</v>
      </c>
      <c r="CD157" s="32" t="s">
        <v>337</v>
      </c>
      <c r="CE157" s="32" t="s">
        <v>338</v>
      </c>
    </row>
    <row r="158" spans="1:83" ht="87">
      <c r="A158" s="26">
        <v>9</v>
      </c>
      <c r="B158" s="26" t="s">
        <v>323</v>
      </c>
      <c r="C158" s="26">
        <v>2015</v>
      </c>
      <c r="D158" s="26" t="s">
        <v>324</v>
      </c>
      <c r="E158" s="30">
        <v>44712</v>
      </c>
      <c r="F158" s="31"/>
      <c r="G158" s="31" t="s">
        <v>495</v>
      </c>
      <c r="H158" s="31"/>
      <c r="I158" s="32" t="s">
        <v>325</v>
      </c>
      <c r="J158" s="26" t="s">
        <v>326</v>
      </c>
      <c r="K158" s="26" t="s">
        <v>97</v>
      </c>
      <c r="L158" s="26" t="s">
        <v>97</v>
      </c>
      <c r="M158" s="26" t="s">
        <v>95</v>
      </c>
      <c r="N158" s="26" t="s">
        <v>327</v>
      </c>
      <c r="O158" s="26" t="s">
        <v>90</v>
      </c>
      <c r="P158" s="26" t="s">
        <v>97</v>
      </c>
      <c r="Q158" s="26" t="s">
        <v>328</v>
      </c>
      <c r="S158" s="26" t="s">
        <v>90</v>
      </c>
      <c r="T158" s="26" t="s">
        <v>98</v>
      </c>
      <c r="U158" s="26" t="s">
        <v>99</v>
      </c>
      <c r="V158" s="26">
        <v>1</v>
      </c>
      <c r="W158" s="26" t="s">
        <v>329</v>
      </c>
      <c r="X158" s="26" t="s">
        <v>330</v>
      </c>
      <c r="Y158" s="26" t="s">
        <v>102</v>
      </c>
      <c r="Z158" s="26" t="s">
        <v>331</v>
      </c>
      <c r="AA158" s="26" t="s">
        <v>332</v>
      </c>
      <c r="AB158" s="26" t="s">
        <v>20</v>
      </c>
      <c r="AC158" s="26" t="s">
        <v>333</v>
      </c>
      <c r="AD158" s="26" t="s">
        <v>334</v>
      </c>
      <c r="AE158" s="26" t="s">
        <v>108</v>
      </c>
      <c r="AF158" s="26">
        <v>1</v>
      </c>
      <c r="AG158" s="26" t="s">
        <v>160</v>
      </c>
      <c r="AH158" s="26" t="s">
        <v>155</v>
      </c>
      <c r="AI158" s="26" t="s">
        <v>110</v>
      </c>
      <c r="AJ158" s="26">
        <v>2</v>
      </c>
      <c r="AK158" s="26" t="s">
        <v>99</v>
      </c>
      <c r="AL158" s="26" t="s">
        <v>94</v>
      </c>
      <c r="AM158" s="26" t="s">
        <v>94</v>
      </c>
      <c r="AN158" s="26" t="s">
        <v>111</v>
      </c>
      <c r="AO158" s="26" t="s">
        <v>111</v>
      </c>
      <c r="AP158" s="26" t="s">
        <v>155</v>
      </c>
      <c r="AQ158" s="26" t="s">
        <v>119</v>
      </c>
      <c r="AR158" s="26" t="s">
        <v>114</v>
      </c>
      <c r="AS158" s="26" t="s">
        <v>120</v>
      </c>
      <c r="AT158" s="26" t="s">
        <v>116</v>
      </c>
      <c r="AU158" s="26" t="s">
        <v>335</v>
      </c>
      <c r="AV158" s="26">
        <v>3</v>
      </c>
      <c r="BO158" s="32" t="s">
        <v>155</v>
      </c>
      <c r="BP158" s="32" t="s">
        <v>336</v>
      </c>
      <c r="BQ158" s="32"/>
      <c r="BR158" s="32" t="s">
        <v>308</v>
      </c>
      <c r="BS158" s="32">
        <v>0.222</v>
      </c>
      <c r="BT158" s="32">
        <v>0.24299999999999999</v>
      </c>
      <c r="BU158" s="32">
        <v>0.26300000000000001</v>
      </c>
      <c r="BV158" s="32" t="s">
        <v>129</v>
      </c>
      <c r="BW158" s="32">
        <v>9</v>
      </c>
      <c r="BX158" s="32">
        <v>0.32100000000000001</v>
      </c>
      <c r="BY158" s="32">
        <v>0.34</v>
      </c>
      <c r="BZ158" s="32">
        <v>0.36</v>
      </c>
      <c r="CA158" s="32" t="s">
        <v>129</v>
      </c>
      <c r="CB158" s="32">
        <v>10</v>
      </c>
      <c r="CC158" s="32" t="s">
        <v>111</v>
      </c>
      <c r="CD158" s="32" t="s">
        <v>337</v>
      </c>
      <c r="CE158" s="32" t="s">
        <v>338</v>
      </c>
    </row>
    <row r="159" spans="1:83" ht="87">
      <c r="A159" s="26">
        <v>9</v>
      </c>
      <c r="B159" s="26" t="s">
        <v>323</v>
      </c>
      <c r="C159" s="26">
        <v>2015</v>
      </c>
      <c r="D159" s="26" t="s">
        <v>324</v>
      </c>
      <c r="E159" s="30">
        <v>44712</v>
      </c>
      <c r="F159" s="31"/>
      <c r="G159" s="31" t="s">
        <v>495</v>
      </c>
      <c r="H159" s="31"/>
      <c r="I159" s="32" t="s">
        <v>325</v>
      </c>
      <c r="J159" s="26" t="s">
        <v>326</v>
      </c>
      <c r="K159" s="26" t="s">
        <v>97</v>
      </c>
      <c r="L159" s="26" t="s">
        <v>97</v>
      </c>
      <c r="M159" s="26" t="s">
        <v>95</v>
      </c>
      <c r="N159" s="26" t="s">
        <v>327</v>
      </c>
      <c r="O159" s="26" t="s">
        <v>90</v>
      </c>
      <c r="P159" s="26" t="s">
        <v>97</v>
      </c>
      <c r="Q159" s="26" t="s">
        <v>328</v>
      </c>
      <c r="S159" s="26" t="s">
        <v>90</v>
      </c>
      <c r="T159" s="26" t="s">
        <v>98</v>
      </c>
      <c r="U159" s="26" t="s">
        <v>99</v>
      </c>
      <c r="V159" s="26">
        <v>1</v>
      </c>
      <c r="W159" s="26" t="s">
        <v>329</v>
      </c>
      <c r="X159" s="26" t="s">
        <v>330</v>
      </c>
      <c r="Y159" s="26" t="s">
        <v>102</v>
      </c>
      <c r="Z159" s="26" t="s">
        <v>331</v>
      </c>
      <c r="AA159" s="26" t="s">
        <v>332</v>
      </c>
      <c r="AB159" s="26" t="s">
        <v>20</v>
      </c>
      <c r="AC159" s="26" t="s">
        <v>333</v>
      </c>
      <c r="AD159" s="26" t="s">
        <v>334</v>
      </c>
      <c r="AE159" s="26" t="s">
        <v>108</v>
      </c>
      <c r="AF159" s="26">
        <v>1</v>
      </c>
      <c r="AG159" s="26" t="s">
        <v>160</v>
      </c>
      <c r="AH159" s="26" t="s">
        <v>155</v>
      </c>
      <c r="AI159" s="26" t="s">
        <v>110</v>
      </c>
      <c r="AJ159" s="26">
        <v>2</v>
      </c>
      <c r="AK159" s="26" t="s">
        <v>99</v>
      </c>
      <c r="AL159" s="26" t="s">
        <v>94</v>
      </c>
      <c r="AM159" s="26" t="s">
        <v>94</v>
      </c>
      <c r="AN159" s="26" t="s">
        <v>111</v>
      </c>
      <c r="AO159" s="26" t="s">
        <v>111</v>
      </c>
      <c r="AP159" s="26" t="s">
        <v>155</v>
      </c>
      <c r="AQ159" s="26" t="s">
        <v>119</v>
      </c>
      <c r="AR159" s="26" t="s">
        <v>114</v>
      </c>
      <c r="AS159" s="26" t="s">
        <v>120</v>
      </c>
      <c r="AT159" s="26" t="s">
        <v>116</v>
      </c>
      <c r="AU159" s="26" t="s">
        <v>335</v>
      </c>
      <c r="AV159" s="26">
        <v>3</v>
      </c>
      <c r="BO159" s="32" t="s">
        <v>155</v>
      </c>
      <c r="BP159" s="32" t="s">
        <v>341</v>
      </c>
      <c r="BQ159" s="32"/>
      <c r="BR159" s="32" t="s">
        <v>308</v>
      </c>
      <c r="BS159" s="32">
        <v>0.254</v>
      </c>
      <c r="BT159" s="32">
        <v>0.27300000000000002</v>
      </c>
      <c r="BU159" s="32">
        <v>0.29099999999999998</v>
      </c>
      <c r="BV159" s="32" t="s">
        <v>129</v>
      </c>
      <c r="BW159" s="32">
        <v>9</v>
      </c>
      <c r="BX159" s="32">
        <v>0.35</v>
      </c>
      <c r="BY159" s="32">
        <v>0.36599999999999999</v>
      </c>
      <c r="BZ159" s="32">
        <v>0.377</v>
      </c>
      <c r="CA159" s="32" t="s">
        <v>129</v>
      </c>
      <c r="CB159" s="32">
        <v>10</v>
      </c>
      <c r="CC159" s="32" t="s">
        <v>111</v>
      </c>
      <c r="CD159" s="32" t="s">
        <v>337</v>
      </c>
      <c r="CE159" s="32" t="s">
        <v>338</v>
      </c>
    </row>
    <row r="160" spans="1:83" ht="87">
      <c r="A160" s="26">
        <v>10</v>
      </c>
      <c r="B160" s="26" t="s">
        <v>187</v>
      </c>
      <c r="C160" s="26">
        <v>2015</v>
      </c>
      <c r="D160" s="26" t="s">
        <v>188</v>
      </c>
      <c r="E160" s="30">
        <v>44348</v>
      </c>
      <c r="F160" s="31" t="s">
        <v>90</v>
      </c>
      <c r="G160" s="31" t="s">
        <v>495</v>
      </c>
      <c r="H160" s="31"/>
      <c r="I160" s="32" t="s">
        <v>189</v>
      </c>
      <c r="K160" s="26" t="s">
        <v>97</v>
      </c>
      <c r="L160" s="26" t="s">
        <v>97</v>
      </c>
      <c r="M160" s="26" t="s">
        <v>95</v>
      </c>
      <c r="N160" s="26" t="s">
        <v>190</v>
      </c>
      <c r="O160" s="26" t="s">
        <v>97</v>
      </c>
      <c r="P160" s="26" t="s">
        <v>97</v>
      </c>
      <c r="S160" s="26" t="s">
        <v>90</v>
      </c>
      <c r="T160" s="26" t="s">
        <v>191</v>
      </c>
      <c r="U160" s="26" t="s">
        <v>99</v>
      </c>
      <c r="V160" s="26">
        <v>1</v>
      </c>
      <c r="W160" s="26" t="s">
        <v>192</v>
      </c>
      <c r="X160" s="26" t="s">
        <v>193</v>
      </c>
      <c r="Y160" s="26" t="s">
        <v>102</v>
      </c>
      <c r="AA160" s="26" t="s">
        <v>194</v>
      </c>
      <c r="AB160" s="26" t="s">
        <v>105</v>
      </c>
      <c r="AC160" s="26" t="s">
        <v>195</v>
      </c>
      <c r="AD160" s="26" t="s">
        <v>196</v>
      </c>
      <c r="AE160" s="26" t="s">
        <v>197</v>
      </c>
      <c r="AF160" s="26">
        <v>1</v>
      </c>
      <c r="AG160" s="26" t="s">
        <v>160</v>
      </c>
      <c r="AH160" s="26" t="s">
        <v>155</v>
      </c>
      <c r="AI160" s="26" t="s">
        <v>110</v>
      </c>
      <c r="AJ160" s="26">
        <v>2</v>
      </c>
      <c r="AK160" s="26" t="s">
        <v>99</v>
      </c>
      <c r="AL160" s="26" t="s">
        <v>94</v>
      </c>
      <c r="AM160" s="26" t="s">
        <v>94</v>
      </c>
      <c r="AN160" s="26" t="s">
        <v>111</v>
      </c>
      <c r="AO160" s="26" t="s">
        <v>111</v>
      </c>
      <c r="AP160" s="26" t="s">
        <v>155</v>
      </c>
      <c r="AQ160" s="26" t="s">
        <v>119</v>
      </c>
      <c r="AR160" s="26" t="s">
        <v>114</v>
      </c>
      <c r="AS160" s="26" t="s">
        <v>120</v>
      </c>
      <c r="AT160" s="26" t="s">
        <v>116</v>
      </c>
      <c r="AU160" s="26" t="s">
        <v>198</v>
      </c>
      <c r="AV160" s="26">
        <v>2</v>
      </c>
      <c r="BO160" s="32" t="s">
        <v>155</v>
      </c>
      <c r="BP160" s="32" t="s">
        <v>199</v>
      </c>
      <c r="BQ160" s="32"/>
      <c r="BR160" s="32" t="s">
        <v>200</v>
      </c>
      <c r="BS160" s="32" t="s">
        <v>111</v>
      </c>
      <c r="BT160" s="32">
        <v>9.2999999999999992E-3</v>
      </c>
      <c r="BU160" s="32">
        <v>9.8099999999999993E-3</v>
      </c>
      <c r="BV160" s="32" t="s">
        <v>129</v>
      </c>
      <c r="BW160" s="32">
        <v>45</v>
      </c>
      <c r="BX160" s="32" t="s">
        <v>111</v>
      </c>
      <c r="BY160" s="32">
        <v>1.18E-2</v>
      </c>
      <c r="BZ160" s="32">
        <v>1.23E-3</v>
      </c>
      <c r="CA160" s="32" t="s">
        <v>129</v>
      </c>
      <c r="CB160" s="32">
        <v>45</v>
      </c>
      <c r="CC160" s="32" t="s">
        <v>201</v>
      </c>
      <c r="CD160" s="32" t="s">
        <v>202</v>
      </c>
      <c r="CE160" s="32"/>
    </row>
    <row r="161" spans="1:83" ht="87">
      <c r="A161" s="26">
        <v>10</v>
      </c>
      <c r="B161" s="26" t="s">
        <v>187</v>
      </c>
      <c r="C161" s="26">
        <v>2015</v>
      </c>
      <c r="D161" s="26" t="s">
        <v>188</v>
      </c>
      <c r="E161" s="30">
        <v>44348</v>
      </c>
      <c r="F161" s="31" t="s">
        <v>90</v>
      </c>
      <c r="G161" s="31" t="s">
        <v>495</v>
      </c>
      <c r="H161" s="31"/>
      <c r="I161" s="32" t="s">
        <v>189</v>
      </c>
      <c r="K161" s="26" t="s">
        <v>97</v>
      </c>
      <c r="L161" s="26" t="s">
        <v>97</v>
      </c>
      <c r="M161" s="26" t="s">
        <v>95</v>
      </c>
      <c r="N161" s="26" t="s">
        <v>190</v>
      </c>
      <c r="O161" s="26" t="s">
        <v>97</v>
      </c>
      <c r="P161" s="26" t="s">
        <v>97</v>
      </c>
      <c r="S161" s="26" t="s">
        <v>90</v>
      </c>
      <c r="T161" s="26" t="s">
        <v>191</v>
      </c>
      <c r="U161" s="26" t="s">
        <v>99</v>
      </c>
      <c r="V161" s="26">
        <v>1</v>
      </c>
      <c r="W161" s="26" t="s">
        <v>192</v>
      </c>
      <c r="X161" s="26" t="s">
        <v>193</v>
      </c>
      <c r="Y161" s="26" t="s">
        <v>102</v>
      </c>
      <c r="AA161" s="26" t="s">
        <v>194</v>
      </c>
      <c r="AB161" s="26" t="s">
        <v>105</v>
      </c>
      <c r="AC161" s="26" t="s">
        <v>195</v>
      </c>
      <c r="AD161" s="26" t="s">
        <v>196</v>
      </c>
      <c r="AE161" s="26" t="s">
        <v>197</v>
      </c>
      <c r="AF161" s="26">
        <v>1</v>
      </c>
      <c r="AG161" s="26" t="s">
        <v>160</v>
      </c>
      <c r="AH161" s="26" t="s">
        <v>155</v>
      </c>
      <c r="AI161" s="26" t="s">
        <v>110</v>
      </c>
      <c r="AJ161" s="26">
        <v>2</v>
      </c>
      <c r="AK161" s="26" t="s">
        <v>99</v>
      </c>
      <c r="AL161" s="26" t="s">
        <v>94</v>
      </c>
      <c r="AM161" s="26" t="s">
        <v>94</v>
      </c>
      <c r="AN161" s="26" t="s">
        <v>111</v>
      </c>
      <c r="AO161" s="26" t="s">
        <v>111</v>
      </c>
      <c r="AP161" s="26" t="s">
        <v>155</v>
      </c>
      <c r="AQ161" s="26" t="s">
        <v>119</v>
      </c>
      <c r="AR161" s="26" t="s">
        <v>114</v>
      </c>
      <c r="AS161" s="26" t="s">
        <v>120</v>
      </c>
      <c r="AT161" s="26" t="s">
        <v>116</v>
      </c>
      <c r="AU161" s="26" t="s">
        <v>198</v>
      </c>
      <c r="AV161" s="26">
        <v>2</v>
      </c>
      <c r="BO161" s="32" t="s">
        <v>155</v>
      </c>
      <c r="BP161" s="32" t="s">
        <v>203</v>
      </c>
      <c r="BQ161" s="32"/>
      <c r="BR161" s="32" t="s">
        <v>200</v>
      </c>
      <c r="BS161" s="32" t="s">
        <v>111</v>
      </c>
      <c r="BT161" s="32">
        <v>8.0800000000000004E-3</v>
      </c>
      <c r="BU161" s="32">
        <v>8.6199999999999992E-3</v>
      </c>
      <c r="BV161" s="32" t="s">
        <v>129</v>
      </c>
      <c r="BW161" s="32">
        <v>45</v>
      </c>
      <c r="BX161" s="32" t="s">
        <v>111</v>
      </c>
      <c r="BY161" s="32">
        <v>1.43E-2</v>
      </c>
      <c r="BZ161" s="32">
        <v>1.5100000000000001E-2</v>
      </c>
      <c r="CA161" s="32" t="s">
        <v>129</v>
      </c>
      <c r="CB161" s="32">
        <v>45</v>
      </c>
      <c r="CC161" s="32" t="s">
        <v>201</v>
      </c>
      <c r="CD161" s="32" t="s">
        <v>202</v>
      </c>
      <c r="CE161" s="32"/>
    </row>
    <row r="162" spans="1:83" ht="188.5">
      <c r="A162" s="26">
        <v>17</v>
      </c>
      <c r="B162" s="47">
        <v>2.0170000000000002E+41</v>
      </c>
      <c r="C162" s="26">
        <v>2017</v>
      </c>
      <c r="D162" s="26" t="s">
        <v>525</v>
      </c>
      <c r="E162" s="31"/>
      <c r="F162" s="31"/>
      <c r="G162" s="31"/>
      <c r="H162" s="31"/>
      <c r="I162" s="32" t="s">
        <v>734</v>
      </c>
      <c r="J162" s="26" t="s">
        <v>528</v>
      </c>
      <c r="K162" s="26" t="s">
        <v>97</v>
      </c>
      <c r="L162" s="26" t="s">
        <v>97</v>
      </c>
      <c r="M162" s="26" t="s">
        <v>95</v>
      </c>
      <c r="N162" s="26" t="s">
        <v>529</v>
      </c>
      <c r="O162" s="26" t="s">
        <v>97</v>
      </c>
      <c r="P162" s="26" t="s">
        <v>97</v>
      </c>
      <c r="S162" s="26" t="s">
        <v>90</v>
      </c>
      <c r="T162" s="26" t="s">
        <v>191</v>
      </c>
      <c r="U162" s="26" t="s">
        <v>99</v>
      </c>
      <c r="W162" s="26">
        <v>1</v>
      </c>
      <c r="X162" s="26">
        <v>1</v>
      </c>
      <c r="Y162" s="26" t="s">
        <v>102</v>
      </c>
      <c r="AA162" s="26" t="s">
        <v>319</v>
      </c>
      <c r="AB162" s="26" t="s">
        <v>105</v>
      </c>
      <c r="AC162" s="26" t="s">
        <v>530</v>
      </c>
      <c r="AD162" s="26" t="s">
        <v>531</v>
      </c>
      <c r="AE162" s="26" t="s">
        <v>532</v>
      </c>
      <c r="AF162" s="26">
        <v>2</v>
      </c>
      <c r="AG162" s="26" t="s">
        <v>90</v>
      </c>
      <c r="AH162" s="26" t="s">
        <v>533</v>
      </c>
      <c r="AI162" s="26" t="s">
        <v>508</v>
      </c>
      <c r="AJ162" s="26">
        <v>2</v>
      </c>
      <c r="AK162" s="26" t="s">
        <v>99</v>
      </c>
      <c r="AL162" s="26" t="s">
        <v>97</v>
      </c>
      <c r="AM162" s="26" t="s">
        <v>97</v>
      </c>
      <c r="AN162" s="26" t="s">
        <v>160</v>
      </c>
      <c r="AO162" s="26">
        <v>0</v>
      </c>
      <c r="AP162" s="26" t="s">
        <v>155</v>
      </c>
      <c r="AQ162" s="26" t="s">
        <v>119</v>
      </c>
      <c r="AR162" s="26" t="s">
        <v>114</v>
      </c>
      <c r="AS162" s="26" t="s">
        <v>120</v>
      </c>
      <c r="AT162" s="26" t="s">
        <v>116</v>
      </c>
      <c r="AU162" s="26" t="s">
        <v>534</v>
      </c>
      <c r="AV162" s="26">
        <v>2</v>
      </c>
      <c r="AW162" s="26" t="s">
        <v>535</v>
      </c>
      <c r="AX162" s="26" t="s">
        <v>536</v>
      </c>
      <c r="AY162" s="26" t="s">
        <v>537</v>
      </c>
      <c r="AZ162" s="26" t="s">
        <v>116</v>
      </c>
      <c r="BA162" s="26" t="s">
        <v>538</v>
      </c>
      <c r="BB162" s="26">
        <v>2</v>
      </c>
      <c r="BO162" s="31"/>
      <c r="BP162" s="31"/>
      <c r="BQ162" s="31"/>
      <c r="BR162" s="31"/>
      <c r="BS162" s="31"/>
      <c r="BT162" s="31"/>
      <c r="BU162" s="31"/>
      <c r="BV162" s="31"/>
      <c r="BW162" s="31"/>
      <c r="BX162" s="31"/>
      <c r="BY162" s="31"/>
      <c r="BZ162" s="31"/>
      <c r="CA162" s="31"/>
      <c r="CB162" s="31"/>
      <c r="CC162" s="31"/>
      <c r="CD162" s="31"/>
      <c r="CE162" s="31"/>
    </row>
    <row r="163" spans="1:83" ht="116">
      <c r="A163" s="26">
        <v>5</v>
      </c>
      <c r="B163" s="26" t="s">
        <v>541</v>
      </c>
      <c r="C163" s="26">
        <v>2012</v>
      </c>
      <c r="D163" s="26" t="s">
        <v>542</v>
      </c>
      <c r="E163" s="30">
        <v>44708</v>
      </c>
      <c r="F163" s="31" t="s">
        <v>97</v>
      </c>
      <c r="G163" s="31"/>
      <c r="H163" s="31"/>
      <c r="I163" s="31" t="s">
        <v>543</v>
      </c>
      <c r="J163" s="26" t="s">
        <v>544</v>
      </c>
      <c r="K163" s="26" t="s">
        <v>94</v>
      </c>
      <c r="L163" s="26" t="s">
        <v>94</v>
      </c>
      <c r="M163" s="26" t="s">
        <v>95</v>
      </c>
      <c r="N163" s="26" t="s">
        <v>545</v>
      </c>
      <c r="O163" s="26" t="s">
        <v>97</v>
      </c>
      <c r="P163" s="26" t="s">
        <v>97</v>
      </c>
      <c r="S163" s="26" t="s">
        <v>90</v>
      </c>
      <c r="T163" s="26" t="s">
        <v>191</v>
      </c>
      <c r="U163" s="26" t="s">
        <v>99</v>
      </c>
      <c r="V163" s="26">
        <v>1</v>
      </c>
      <c r="W163" s="26" t="s">
        <v>546</v>
      </c>
      <c r="X163" s="26" t="s">
        <v>546</v>
      </c>
      <c r="Y163" s="26" t="s">
        <v>102</v>
      </c>
      <c r="AA163" s="26" t="s">
        <v>547</v>
      </c>
      <c r="AB163" s="26" t="s">
        <v>105</v>
      </c>
      <c r="AC163" s="26" t="s">
        <v>548</v>
      </c>
      <c r="AD163" s="26" t="s">
        <v>214</v>
      </c>
      <c r="AE163" s="26" t="s">
        <v>549</v>
      </c>
      <c r="AF163" s="26">
        <v>2</v>
      </c>
      <c r="AG163" s="26" t="s">
        <v>90</v>
      </c>
      <c r="AH163" s="26" t="s">
        <v>550</v>
      </c>
      <c r="AI163" s="26" t="s">
        <v>110</v>
      </c>
      <c r="AJ163" s="26">
        <v>2</v>
      </c>
      <c r="AK163" s="26" t="s">
        <v>99</v>
      </c>
      <c r="AL163" s="26" t="s">
        <v>94</v>
      </c>
      <c r="AM163" s="26" t="s">
        <v>94</v>
      </c>
      <c r="AN163" s="26" t="s">
        <v>111</v>
      </c>
      <c r="AO163" s="26" t="s">
        <v>111</v>
      </c>
      <c r="AP163" s="26" t="s">
        <v>551</v>
      </c>
      <c r="AQ163" s="26" t="s">
        <v>113</v>
      </c>
      <c r="AR163" s="26" t="s">
        <v>114</v>
      </c>
      <c r="AS163" s="26" t="s">
        <v>115</v>
      </c>
      <c r="AT163" s="26" t="s">
        <v>116</v>
      </c>
      <c r="AU163" s="26" t="s">
        <v>552</v>
      </c>
      <c r="AV163" s="26">
        <v>2</v>
      </c>
      <c r="AW163" s="26" t="s">
        <v>155</v>
      </c>
      <c r="AX163" s="26" t="s">
        <v>119</v>
      </c>
      <c r="AY163" s="26" t="s">
        <v>120</v>
      </c>
      <c r="AZ163" s="26" t="s">
        <v>116</v>
      </c>
      <c r="BA163" s="26" t="s">
        <v>553</v>
      </c>
      <c r="BB163" s="26">
        <v>2</v>
      </c>
      <c r="BO163" s="31" t="s">
        <v>157</v>
      </c>
      <c r="BP163" s="31" t="s">
        <v>554</v>
      </c>
      <c r="BQ163" s="31"/>
      <c r="BR163" s="31" t="s">
        <v>200</v>
      </c>
      <c r="BS163" s="31">
        <v>2.3204488999999998E-2</v>
      </c>
      <c r="BT163" s="31">
        <v>2.4638403999999999E-2</v>
      </c>
      <c r="BU163" s="31">
        <v>2.6072319E-2</v>
      </c>
      <c r="BV163" s="31" t="s">
        <v>161</v>
      </c>
      <c r="BW163" s="31" t="s">
        <v>160</v>
      </c>
      <c r="BX163" s="31">
        <v>2.1645885E-2</v>
      </c>
      <c r="BY163" s="31">
        <v>2.2955112E-2</v>
      </c>
      <c r="BZ163" s="31">
        <v>2.4326683000000002E-2</v>
      </c>
      <c r="CA163" s="31" t="s">
        <v>161</v>
      </c>
      <c r="CB163" s="31" t="s">
        <v>160</v>
      </c>
      <c r="CC163" s="31" t="s">
        <v>555</v>
      </c>
      <c r="CD163" s="31" t="s">
        <v>556</v>
      </c>
      <c r="CE163" s="31"/>
    </row>
    <row r="164" spans="1:83" ht="116">
      <c r="A164" s="26">
        <v>5</v>
      </c>
      <c r="B164" s="26" t="s">
        <v>541</v>
      </c>
      <c r="C164" s="26">
        <v>2012</v>
      </c>
      <c r="D164" s="26" t="s">
        <v>542</v>
      </c>
      <c r="E164" s="30">
        <v>44708</v>
      </c>
      <c r="F164" s="31" t="s">
        <v>97</v>
      </c>
      <c r="G164" s="31"/>
      <c r="H164" s="31"/>
      <c r="I164" s="31" t="s">
        <v>543</v>
      </c>
      <c r="J164" s="26" t="s">
        <v>544</v>
      </c>
      <c r="K164" s="26" t="s">
        <v>94</v>
      </c>
      <c r="L164" s="26" t="s">
        <v>94</v>
      </c>
      <c r="M164" s="26" t="s">
        <v>95</v>
      </c>
      <c r="N164" s="26" t="s">
        <v>545</v>
      </c>
      <c r="O164" s="26" t="s">
        <v>97</v>
      </c>
      <c r="P164" s="26" t="s">
        <v>97</v>
      </c>
      <c r="S164" s="26" t="s">
        <v>90</v>
      </c>
      <c r="T164" s="26" t="s">
        <v>191</v>
      </c>
      <c r="U164" s="26" t="s">
        <v>99</v>
      </c>
      <c r="V164" s="26">
        <v>1</v>
      </c>
      <c r="W164" s="26" t="s">
        <v>546</v>
      </c>
      <c r="X164" s="26" t="s">
        <v>546</v>
      </c>
      <c r="Y164" s="26" t="s">
        <v>102</v>
      </c>
      <c r="AA164" s="26" t="s">
        <v>547</v>
      </c>
      <c r="AB164" s="26" t="s">
        <v>105</v>
      </c>
      <c r="AC164" s="26" t="s">
        <v>548</v>
      </c>
      <c r="AD164" s="26" t="s">
        <v>214</v>
      </c>
      <c r="AE164" s="26" t="s">
        <v>549</v>
      </c>
      <c r="AF164" s="26">
        <v>2</v>
      </c>
      <c r="AG164" s="26" t="s">
        <v>90</v>
      </c>
      <c r="AH164" s="26" t="s">
        <v>550</v>
      </c>
      <c r="AI164" s="26" t="s">
        <v>110</v>
      </c>
      <c r="AJ164" s="26">
        <v>2</v>
      </c>
      <c r="AK164" s="26" t="s">
        <v>99</v>
      </c>
      <c r="AL164" s="26" t="s">
        <v>94</v>
      </c>
      <c r="AM164" s="26" t="s">
        <v>94</v>
      </c>
      <c r="AN164" s="26" t="s">
        <v>111</v>
      </c>
      <c r="AO164" s="26" t="s">
        <v>111</v>
      </c>
      <c r="AP164" s="26" t="s">
        <v>551</v>
      </c>
      <c r="AQ164" s="26" t="s">
        <v>113</v>
      </c>
      <c r="AR164" s="26" t="s">
        <v>114</v>
      </c>
      <c r="AS164" s="26" t="s">
        <v>115</v>
      </c>
      <c r="AT164" s="26" t="s">
        <v>116</v>
      </c>
      <c r="AU164" s="26" t="s">
        <v>552</v>
      </c>
      <c r="AV164" s="26">
        <v>2</v>
      </c>
      <c r="AW164" s="26" t="s">
        <v>155</v>
      </c>
      <c r="AX164" s="26" t="s">
        <v>119</v>
      </c>
      <c r="AY164" s="26" t="s">
        <v>120</v>
      </c>
      <c r="AZ164" s="26" t="s">
        <v>116</v>
      </c>
      <c r="BA164" s="26" t="s">
        <v>553</v>
      </c>
      <c r="BB164" s="26">
        <v>2</v>
      </c>
      <c r="BO164" s="31" t="s">
        <v>157</v>
      </c>
      <c r="BP164" s="31" t="s">
        <v>554</v>
      </c>
      <c r="BQ164" s="31"/>
      <c r="BR164" s="31" t="s">
        <v>200</v>
      </c>
      <c r="BS164" s="31">
        <v>2.0149626E-2</v>
      </c>
      <c r="BT164" s="31">
        <v>2.1895261999999999E-2</v>
      </c>
      <c r="BU164" s="31">
        <v>2.3640898E-2</v>
      </c>
      <c r="BV164" s="31" t="s">
        <v>161</v>
      </c>
      <c r="BW164" s="31" t="s">
        <v>160</v>
      </c>
      <c r="BX164" s="31">
        <v>1.7344140000000001E-2</v>
      </c>
      <c r="BY164" s="31">
        <v>1.9214464000000001E-2</v>
      </c>
      <c r="BZ164" s="31">
        <v>2.1147131999999999E-2</v>
      </c>
      <c r="CA164" s="31" t="s">
        <v>161</v>
      </c>
      <c r="CB164" s="31" t="s">
        <v>160</v>
      </c>
      <c r="CC164" s="31" t="s">
        <v>555</v>
      </c>
      <c r="CD164" s="31" t="s">
        <v>556</v>
      </c>
      <c r="CE164" s="31"/>
    </row>
    <row r="165" spans="1:83" ht="116">
      <c r="A165" s="26">
        <v>5</v>
      </c>
      <c r="B165" s="26" t="s">
        <v>541</v>
      </c>
      <c r="C165" s="26">
        <v>2012</v>
      </c>
      <c r="D165" s="26" t="s">
        <v>542</v>
      </c>
      <c r="E165" s="30">
        <v>44708</v>
      </c>
      <c r="F165" s="31" t="s">
        <v>97</v>
      </c>
      <c r="G165" s="31"/>
      <c r="H165" s="31"/>
      <c r="I165" s="31" t="s">
        <v>543</v>
      </c>
      <c r="J165" s="26" t="s">
        <v>544</v>
      </c>
      <c r="K165" s="26" t="s">
        <v>94</v>
      </c>
      <c r="L165" s="26" t="s">
        <v>94</v>
      </c>
      <c r="M165" s="26" t="s">
        <v>95</v>
      </c>
      <c r="N165" s="26" t="s">
        <v>545</v>
      </c>
      <c r="O165" s="26" t="s">
        <v>97</v>
      </c>
      <c r="P165" s="26" t="s">
        <v>97</v>
      </c>
      <c r="S165" s="26" t="s">
        <v>90</v>
      </c>
      <c r="T165" s="26" t="s">
        <v>191</v>
      </c>
      <c r="U165" s="26" t="s">
        <v>99</v>
      </c>
      <c r="V165" s="26">
        <v>1</v>
      </c>
      <c r="W165" s="26" t="s">
        <v>546</v>
      </c>
      <c r="X165" s="26" t="s">
        <v>546</v>
      </c>
      <c r="Y165" s="26" t="s">
        <v>102</v>
      </c>
      <c r="AA165" s="26" t="s">
        <v>547</v>
      </c>
      <c r="AB165" s="26" t="s">
        <v>105</v>
      </c>
      <c r="AC165" s="26" t="s">
        <v>548</v>
      </c>
      <c r="AD165" s="26" t="s">
        <v>214</v>
      </c>
      <c r="AE165" s="26" t="s">
        <v>549</v>
      </c>
      <c r="AF165" s="26">
        <v>2</v>
      </c>
      <c r="AG165" s="26" t="s">
        <v>90</v>
      </c>
      <c r="AH165" s="26" t="s">
        <v>550</v>
      </c>
      <c r="AI165" s="26" t="s">
        <v>110</v>
      </c>
      <c r="AJ165" s="26">
        <v>2</v>
      </c>
      <c r="AK165" s="26" t="s">
        <v>99</v>
      </c>
      <c r="AL165" s="26" t="s">
        <v>94</v>
      </c>
      <c r="AM165" s="26" t="s">
        <v>94</v>
      </c>
      <c r="AN165" s="26" t="s">
        <v>111</v>
      </c>
      <c r="AO165" s="26" t="s">
        <v>111</v>
      </c>
      <c r="AP165" s="26" t="s">
        <v>551</v>
      </c>
      <c r="AQ165" s="26" t="s">
        <v>113</v>
      </c>
      <c r="AR165" s="26" t="s">
        <v>114</v>
      </c>
      <c r="AS165" s="26" t="s">
        <v>115</v>
      </c>
      <c r="AT165" s="26" t="s">
        <v>116</v>
      </c>
      <c r="AU165" s="26" t="s">
        <v>552</v>
      </c>
      <c r="AV165" s="26">
        <v>2</v>
      </c>
      <c r="AW165" s="26" t="s">
        <v>155</v>
      </c>
      <c r="AX165" s="26" t="s">
        <v>119</v>
      </c>
      <c r="AY165" s="26" t="s">
        <v>120</v>
      </c>
      <c r="AZ165" s="26" t="s">
        <v>116</v>
      </c>
      <c r="BA165" s="26" t="s">
        <v>553</v>
      </c>
      <c r="BB165" s="26">
        <v>2</v>
      </c>
      <c r="BO165" s="31" t="s">
        <v>157</v>
      </c>
      <c r="BP165" s="31" t="s">
        <v>557</v>
      </c>
      <c r="BQ165" s="31"/>
      <c r="BR165" s="31" t="s">
        <v>200</v>
      </c>
      <c r="BS165" s="31">
        <v>1.6346632999999999E-2</v>
      </c>
      <c r="BT165" s="31">
        <v>1.7531172000000001E-2</v>
      </c>
      <c r="BU165" s="31">
        <v>1.8715710999999999E-2</v>
      </c>
      <c r="BV165" s="31" t="s">
        <v>161</v>
      </c>
      <c r="BW165" s="31" t="s">
        <v>160</v>
      </c>
      <c r="BX165" s="31">
        <v>1.4351621E-2</v>
      </c>
      <c r="BY165" s="31">
        <v>1.5598503999999999E-2</v>
      </c>
      <c r="BZ165" s="31">
        <v>1.6845387E-2</v>
      </c>
      <c r="CA165" s="31" t="s">
        <v>161</v>
      </c>
      <c r="CB165" s="31" t="s">
        <v>160</v>
      </c>
      <c r="CC165" s="31" t="s">
        <v>555</v>
      </c>
      <c r="CD165" s="31" t="s">
        <v>556</v>
      </c>
      <c r="CE165" s="31"/>
    </row>
    <row r="166" spans="1:83" ht="116">
      <c r="A166" s="26">
        <v>5</v>
      </c>
      <c r="B166" s="26" t="s">
        <v>541</v>
      </c>
      <c r="C166" s="26">
        <v>2012</v>
      </c>
      <c r="D166" s="26" t="s">
        <v>542</v>
      </c>
      <c r="E166" s="30">
        <v>44708</v>
      </c>
      <c r="F166" s="31" t="s">
        <v>97</v>
      </c>
      <c r="G166" s="31"/>
      <c r="H166" s="31"/>
      <c r="I166" s="31" t="s">
        <v>543</v>
      </c>
      <c r="J166" s="26" t="s">
        <v>544</v>
      </c>
      <c r="K166" s="26" t="s">
        <v>94</v>
      </c>
      <c r="L166" s="26" t="s">
        <v>94</v>
      </c>
      <c r="M166" s="26" t="s">
        <v>95</v>
      </c>
      <c r="N166" s="26" t="s">
        <v>545</v>
      </c>
      <c r="O166" s="26" t="s">
        <v>97</v>
      </c>
      <c r="P166" s="26" t="s">
        <v>97</v>
      </c>
      <c r="S166" s="26" t="s">
        <v>90</v>
      </c>
      <c r="T166" s="26" t="s">
        <v>191</v>
      </c>
      <c r="U166" s="26" t="s">
        <v>99</v>
      </c>
      <c r="V166" s="26">
        <v>1</v>
      </c>
      <c r="W166" s="26" t="s">
        <v>546</v>
      </c>
      <c r="X166" s="26" t="s">
        <v>546</v>
      </c>
      <c r="Y166" s="26" t="s">
        <v>102</v>
      </c>
      <c r="AA166" s="26" t="s">
        <v>547</v>
      </c>
      <c r="AB166" s="26" t="s">
        <v>105</v>
      </c>
      <c r="AC166" s="26" t="s">
        <v>548</v>
      </c>
      <c r="AD166" s="26" t="s">
        <v>214</v>
      </c>
      <c r="AE166" s="26" t="s">
        <v>549</v>
      </c>
      <c r="AF166" s="26">
        <v>2</v>
      </c>
      <c r="AG166" s="26" t="s">
        <v>90</v>
      </c>
      <c r="AH166" s="26" t="s">
        <v>550</v>
      </c>
      <c r="AI166" s="26" t="s">
        <v>110</v>
      </c>
      <c r="AJ166" s="26">
        <v>2</v>
      </c>
      <c r="AK166" s="26" t="s">
        <v>99</v>
      </c>
      <c r="AL166" s="26" t="s">
        <v>94</v>
      </c>
      <c r="AM166" s="26" t="s">
        <v>94</v>
      </c>
      <c r="AN166" s="26" t="s">
        <v>111</v>
      </c>
      <c r="AO166" s="26" t="s">
        <v>111</v>
      </c>
      <c r="AP166" s="26" t="s">
        <v>551</v>
      </c>
      <c r="AQ166" s="26" t="s">
        <v>113</v>
      </c>
      <c r="AR166" s="26" t="s">
        <v>114</v>
      </c>
      <c r="AS166" s="26" t="s">
        <v>115</v>
      </c>
      <c r="AT166" s="26" t="s">
        <v>116</v>
      </c>
      <c r="AU166" s="26" t="s">
        <v>552</v>
      </c>
      <c r="AV166" s="26">
        <v>2</v>
      </c>
      <c r="AW166" s="26" t="s">
        <v>155</v>
      </c>
      <c r="AX166" s="26" t="s">
        <v>119</v>
      </c>
      <c r="AY166" s="26" t="s">
        <v>120</v>
      </c>
      <c r="AZ166" s="26" t="s">
        <v>116</v>
      </c>
      <c r="BA166" s="26" t="s">
        <v>553</v>
      </c>
      <c r="BB166" s="26">
        <v>2</v>
      </c>
      <c r="BO166" s="31" t="s">
        <v>157</v>
      </c>
      <c r="BP166" s="31" t="s">
        <v>557</v>
      </c>
      <c r="BQ166" s="31"/>
      <c r="BR166" s="31" t="s">
        <v>200</v>
      </c>
      <c r="BS166" s="31">
        <v>1.2668329000000001E-2</v>
      </c>
      <c r="BT166" s="31">
        <v>1.3665834999999999E-2</v>
      </c>
      <c r="BU166" s="31">
        <v>1.4600998E-2</v>
      </c>
      <c r="BV166" s="31" t="s">
        <v>161</v>
      </c>
      <c r="BW166" s="31" t="s">
        <v>160</v>
      </c>
      <c r="BX166" s="31">
        <v>9.3640900000000003E-3</v>
      </c>
      <c r="BY166" s="31">
        <v>1.0548628000000001E-2</v>
      </c>
      <c r="BZ166" s="31">
        <v>1.1608479E-2</v>
      </c>
      <c r="CA166" s="31" t="s">
        <v>161</v>
      </c>
      <c r="CB166" s="31" t="s">
        <v>160</v>
      </c>
      <c r="CC166" s="31" t="s">
        <v>555</v>
      </c>
      <c r="CD166" s="31" t="s">
        <v>556</v>
      </c>
      <c r="CE166" s="31"/>
    </row>
    <row r="167" spans="1:83" s="76" customFormat="1" ht="22.5" customHeight="1">
      <c r="A167" s="76" t="s">
        <v>344</v>
      </c>
      <c r="B167" s="76" t="s">
        <v>7</v>
      </c>
      <c r="C167" s="76" t="s">
        <v>8</v>
      </c>
      <c r="D167" s="75" t="s">
        <v>9</v>
      </c>
      <c r="E167" s="76" t="s">
        <v>10</v>
      </c>
      <c r="F167" s="76" t="s">
        <v>11</v>
      </c>
      <c r="G167" s="76" t="s">
        <v>12</v>
      </c>
      <c r="H167" s="76" t="s">
        <v>13</v>
      </c>
      <c r="I167" s="75" t="s">
        <v>14</v>
      </c>
      <c r="J167" s="76" t="s">
        <v>15</v>
      </c>
      <c r="K167" s="85" t="s">
        <v>16</v>
      </c>
      <c r="L167" s="85" t="s">
        <v>17</v>
      </c>
      <c r="M167" s="85" t="s">
        <v>18</v>
      </c>
      <c r="N167" s="81" t="s">
        <v>19</v>
      </c>
      <c r="O167" s="85" t="s">
        <v>20</v>
      </c>
      <c r="P167" s="85" t="s">
        <v>21</v>
      </c>
      <c r="Q167" s="85" t="s">
        <v>22</v>
      </c>
      <c r="R167" s="85" t="s">
        <v>23</v>
      </c>
      <c r="S167" s="85" t="s">
        <v>24</v>
      </c>
      <c r="T167" s="85" t="s">
        <v>25</v>
      </c>
      <c r="U167" s="86" t="s">
        <v>26</v>
      </c>
      <c r="V167" s="86" t="s">
        <v>27</v>
      </c>
      <c r="W167" s="86" t="s">
        <v>28</v>
      </c>
      <c r="X167" s="86" t="s">
        <v>29</v>
      </c>
      <c r="Y167" s="86" t="s">
        <v>30</v>
      </c>
      <c r="Z167" s="86" t="s">
        <v>31</v>
      </c>
      <c r="AA167" s="85" t="s">
        <v>32</v>
      </c>
      <c r="AB167" s="85" t="s">
        <v>33</v>
      </c>
      <c r="AC167" s="86" t="s">
        <v>34</v>
      </c>
      <c r="AD167" s="86" t="s">
        <v>35</v>
      </c>
      <c r="AE167" s="86" t="s">
        <v>36</v>
      </c>
      <c r="AF167" s="85" t="s">
        <v>37</v>
      </c>
      <c r="AG167" s="85" t="s">
        <v>38</v>
      </c>
      <c r="AH167" s="85" t="s">
        <v>39</v>
      </c>
      <c r="AI167" s="85" t="s">
        <v>40</v>
      </c>
      <c r="AJ167" s="86" t="s">
        <v>41</v>
      </c>
      <c r="AK167" s="86" t="s">
        <v>42</v>
      </c>
      <c r="AL167" s="86" t="s">
        <v>43</v>
      </c>
      <c r="AM167" s="86" t="s">
        <v>44</v>
      </c>
      <c r="AN167" s="86" t="s">
        <v>45</v>
      </c>
      <c r="AO167" s="86" t="s">
        <v>46</v>
      </c>
      <c r="AP167" s="85" t="s">
        <v>47</v>
      </c>
      <c r="AQ167" s="85" t="s">
        <v>48</v>
      </c>
      <c r="AR167" s="85" t="s">
        <v>49</v>
      </c>
      <c r="AS167" s="85" t="s">
        <v>50</v>
      </c>
      <c r="AT167" s="85" t="s">
        <v>51</v>
      </c>
      <c r="AU167" s="85" t="s">
        <v>52</v>
      </c>
      <c r="AV167" s="85" t="s">
        <v>53</v>
      </c>
      <c r="AW167" s="85" t="s">
        <v>54</v>
      </c>
      <c r="AX167" s="85" t="s">
        <v>55</v>
      </c>
      <c r="AY167" s="85" t="s">
        <v>56</v>
      </c>
      <c r="AZ167" s="85" t="s">
        <v>57</v>
      </c>
      <c r="BA167" s="85" t="s">
        <v>58</v>
      </c>
      <c r="BB167" s="85" t="s">
        <v>59</v>
      </c>
      <c r="BC167" s="85" t="s">
        <v>60</v>
      </c>
      <c r="BD167" s="85" t="s">
        <v>61</v>
      </c>
      <c r="BE167" s="85" t="s">
        <v>62</v>
      </c>
      <c r="BF167" s="85" t="s">
        <v>63</v>
      </c>
      <c r="BG167" s="85" t="s">
        <v>64</v>
      </c>
      <c r="BH167" s="85" t="s">
        <v>65</v>
      </c>
      <c r="BI167" s="85" t="s">
        <v>66</v>
      </c>
      <c r="BJ167" s="85" t="s">
        <v>67</v>
      </c>
      <c r="BK167" s="85" t="s">
        <v>68</v>
      </c>
      <c r="BL167" s="85" t="s">
        <v>69</v>
      </c>
      <c r="BM167" s="85" t="s">
        <v>70</v>
      </c>
      <c r="BN167" s="85" t="s">
        <v>71</v>
      </c>
      <c r="BO167" s="76" t="s">
        <v>72</v>
      </c>
      <c r="BP167" s="76" t="s">
        <v>73</v>
      </c>
      <c r="BQ167" s="76" t="s">
        <v>74</v>
      </c>
      <c r="BR167" s="76" t="s">
        <v>345</v>
      </c>
      <c r="BS167" s="76" t="s">
        <v>75</v>
      </c>
      <c r="BT167" s="76" t="s">
        <v>76</v>
      </c>
      <c r="BU167" s="76" t="s">
        <v>77</v>
      </c>
      <c r="BV167" s="76" t="s">
        <v>78</v>
      </c>
      <c r="BW167" s="76" t="s">
        <v>79</v>
      </c>
      <c r="BX167" s="76" t="s">
        <v>80</v>
      </c>
      <c r="BY167" s="76" t="s">
        <v>81</v>
      </c>
      <c r="BZ167" s="76" t="s">
        <v>82</v>
      </c>
      <c r="CA167" s="76" t="s">
        <v>83</v>
      </c>
      <c r="CB167" s="76" t="s">
        <v>84</v>
      </c>
      <c r="CC167" s="76" t="s">
        <v>85</v>
      </c>
      <c r="CD167" s="76" t="s">
        <v>86</v>
      </c>
      <c r="CE167" s="76" t="s">
        <v>87</v>
      </c>
    </row>
    <row r="168" spans="1:83" s="67" customFormat="1" ht="37.5">
      <c r="C168" s="67">
        <v>2020</v>
      </c>
      <c r="D168" s="68" t="s">
        <v>735</v>
      </c>
      <c r="E168" s="69">
        <v>45030</v>
      </c>
      <c r="F168" s="67" t="s">
        <v>90</v>
      </c>
      <c r="G168" s="67" t="s">
        <v>495</v>
      </c>
      <c r="I168" s="70" t="s">
        <v>736</v>
      </c>
      <c r="J168" s="71" t="s">
        <v>737</v>
      </c>
    </row>
    <row r="169" spans="1:83" s="67" customFormat="1" ht="12.5">
      <c r="C169" s="67">
        <v>2019</v>
      </c>
      <c r="D169" s="68" t="s">
        <v>738</v>
      </c>
      <c r="E169" s="69">
        <v>45030</v>
      </c>
      <c r="F169" s="67" t="s">
        <v>90</v>
      </c>
      <c r="G169" s="67" t="s">
        <v>495</v>
      </c>
      <c r="I169" s="70" t="s">
        <v>739</v>
      </c>
      <c r="J169" s="71" t="s">
        <v>740</v>
      </c>
    </row>
    <row r="170" spans="1:83" s="72" customFormat="1" ht="50">
      <c r="A170" s="72" t="s">
        <v>561</v>
      </c>
      <c r="B170" s="72" t="str">
        <f t="shared" ref="B170:B223" si="0">A170&amp;"-"&amp;C170</f>
        <v>addtl3-2022</v>
      </c>
      <c r="C170" s="72">
        <v>2022</v>
      </c>
      <c r="D170" s="73" t="s">
        <v>562</v>
      </c>
      <c r="E170" s="74">
        <v>45030</v>
      </c>
      <c r="F170" s="72" t="s">
        <v>90</v>
      </c>
      <c r="G170" s="72" t="s">
        <v>495</v>
      </c>
      <c r="I170" s="75" t="s">
        <v>563</v>
      </c>
      <c r="J170" s="76" t="s">
        <v>564</v>
      </c>
      <c r="K170" s="72" t="s">
        <v>94</v>
      </c>
      <c r="L170" s="72" t="s">
        <v>98</v>
      </c>
      <c r="M170" s="72" t="s">
        <v>138</v>
      </c>
      <c r="N170" s="76" t="s">
        <v>565</v>
      </c>
      <c r="O170" s="72" t="s">
        <v>97</v>
      </c>
      <c r="P170" s="72" t="s">
        <v>97</v>
      </c>
      <c r="S170" s="72" t="s">
        <v>114</v>
      </c>
      <c r="T170" s="72" t="s">
        <v>191</v>
      </c>
      <c r="U170" s="77" t="s">
        <v>99</v>
      </c>
      <c r="V170" s="77">
        <v>1</v>
      </c>
      <c r="W170" s="77" t="s">
        <v>566</v>
      </c>
      <c r="X170" s="77" t="s">
        <v>567</v>
      </c>
      <c r="Y170" s="77" t="s">
        <v>568</v>
      </c>
      <c r="Z170" s="77" t="s">
        <v>569</v>
      </c>
      <c r="AA170" s="72" t="s">
        <v>570</v>
      </c>
      <c r="AB170" s="72" t="s">
        <v>105</v>
      </c>
      <c r="AC170" s="77"/>
      <c r="AD170" s="77"/>
      <c r="AE170" s="77"/>
      <c r="AF170" s="72">
        <v>1</v>
      </c>
      <c r="AG170" s="72" t="s">
        <v>97</v>
      </c>
      <c r="AH170" s="76" t="s">
        <v>155</v>
      </c>
      <c r="AI170" s="72" t="s">
        <v>110</v>
      </c>
      <c r="AJ170" s="77"/>
      <c r="AK170" s="77"/>
      <c r="AL170" s="77"/>
      <c r="AM170" s="77"/>
      <c r="AN170" s="77"/>
      <c r="AO170" s="77"/>
      <c r="AP170" s="72" t="s">
        <v>155</v>
      </c>
      <c r="AQ170" s="72" t="s">
        <v>119</v>
      </c>
      <c r="AR170" s="72" t="s">
        <v>114</v>
      </c>
      <c r="AS170" s="72" t="s">
        <v>120</v>
      </c>
      <c r="AT170" s="72" t="s">
        <v>116</v>
      </c>
      <c r="AU170" s="72" t="s">
        <v>571</v>
      </c>
      <c r="AV170" s="72">
        <v>3</v>
      </c>
      <c r="BO170" s="72" t="s">
        <v>126</v>
      </c>
      <c r="BP170" s="72" t="s">
        <v>572</v>
      </c>
      <c r="BQ170" s="72" t="s">
        <v>184</v>
      </c>
      <c r="BR170" s="72" t="s">
        <v>573</v>
      </c>
      <c r="BS170" s="72">
        <v>0.43807993498356401</v>
      </c>
      <c r="BT170" s="72">
        <v>0.51746727418636795</v>
      </c>
      <c r="BU170" s="72">
        <v>0.60183539622669702</v>
      </c>
      <c r="BV170" s="72" t="s">
        <v>161</v>
      </c>
      <c r="BW170" s="72">
        <v>22</v>
      </c>
      <c r="BX170" s="72">
        <v>0.76777431359393999</v>
      </c>
      <c r="BY170" s="72">
        <v>0.890829692504577</v>
      </c>
      <c r="BZ170" s="72">
        <v>1.01449919187552</v>
      </c>
      <c r="CA170" s="72" t="s">
        <v>161</v>
      </c>
      <c r="CB170" s="72">
        <v>22</v>
      </c>
      <c r="CC170" s="72" t="s">
        <v>574</v>
      </c>
      <c r="CD170" s="72" t="s">
        <v>349</v>
      </c>
    </row>
    <row r="171" spans="1:83" s="72" customFormat="1" ht="50">
      <c r="A171" s="72" t="s">
        <v>561</v>
      </c>
      <c r="B171" s="72" t="str">
        <f t="shared" si="0"/>
        <v>addtl3-2022</v>
      </c>
      <c r="C171" s="72">
        <v>2022</v>
      </c>
      <c r="D171" s="73" t="s">
        <v>562</v>
      </c>
      <c r="E171" s="74">
        <v>45030</v>
      </c>
      <c r="F171" s="72" t="s">
        <v>90</v>
      </c>
      <c r="G171" s="72" t="s">
        <v>495</v>
      </c>
      <c r="I171" s="75" t="s">
        <v>563</v>
      </c>
      <c r="J171" s="76" t="s">
        <v>564</v>
      </c>
      <c r="K171" s="72" t="s">
        <v>94</v>
      </c>
      <c r="L171" s="72" t="s">
        <v>98</v>
      </c>
      <c r="M171" s="72" t="s">
        <v>138</v>
      </c>
      <c r="N171" s="76" t="s">
        <v>565</v>
      </c>
      <c r="O171" s="72" t="s">
        <v>97</v>
      </c>
      <c r="P171" s="72" t="s">
        <v>97</v>
      </c>
      <c r="S171" s="72" t="s">
        <v>114</v>
      </c>
      <c r="T171" s="72" t="s">
        <v>191</v>
      </c>
      <c r="U171" s="77" t="s">
        <v>99</v>
      </c>
      <c r="V171" s="77">
        <v>1</v>
      </c>
      <c r="W171" s="77" t="s">
        <v>566</v>
      </c>
      <c r="X171" s="77" t="s">
        <v>567</v>
      </c>
      <c r="Y171" s="77" t="s">
        <v>568</v>
      </c>
      <c r="Z171" s="77" t="s">
        <v>569</v>
      </c>
      <c r="AA171" s="72" t="s">
        <v>570</v>
      </c>
      <c r="AB171" s="72" t="s">
        <v>105</v>
      </c>
      <c r="AC171" s="77"/>
      <c r="AD171" s="77"/>
      <c r="AE171" s="77"/>
      <c r="AF171" s="72">
        <v>1</v>
      </c>
      <c r="AG171" s="72" t="s">
        <v>97</v>
      </c>
      <c r="AH171" s="76" t="s">
        <v>155</v>
      </c>
      <c r="AI171" s="72" t="s">
        <v>110</v>
      </c>
      <c r="AJ171" s="77"/>
      <c r="AK171" s="77"/>
      <c r="AL171" s="77"/>
      <c r="AM171" s="77"/>
      <c r="AN171" s="77"/>
      <c r="AO171" s="77"/>
      <c r="AP171" s="72" t="s">
        <v>155</v>
      </c>
      <c r="AQ171" s="72" t="s">
        <v>119</v>
      </c>
      <c r="AR171" s="72" t="s">
        <v>114</v>
      </c>
      <c r="AS171" s="72" t="s">
        <v>120</v>
      </c>
      <c r="AT171" s="72" t="s">
        <v>116</v>
      </c>
      <c r="AU171" s="72" t="s">
        <v>571</v>
      </c>
      <c r="AV171" s="72">
        <v>3</v>
      </c>
      <c r="BO171" s="72" t="s">
        <v>126</v>
      </c>
      <c r="BP171" s="72" t="s">
        <v>575</v>
      </c>
      <c r="BQ171" s="72" t="s">
        <v>184</v>
      </c>
      <c r="BR171" s="72" t="s">
        <v>573</v>
      </c>
      <c r="BS171" s="72">
        <v>0.65205372101652503</v>
      </c>
      <c r="BT171" s="72">
        <v>0.51746727418636795</v>
      </c>
      <c r="BU171" s="72">
        <v>0.92279611692130503</v>
      </c>
      <c r="BV171" s="72" t="s">
        <v>161</v>
      </c>
      <c r="BW171" s="72">
        <v>22</v>
      </c>
      <c r="BX171" s="72">
        <v>0.76777431359393999</v>
      </c>
      <c r="BY171" s="72">
        <v>0.890829692504577</v>
      </c>
      <c r="BZ171" s="72">
        <v>1.01449919187552</v>
      </c>
      <c r="CA171" s="72" t="s">
        <v>161</v>
      </c>
      <c r="CB171" s="72">
        <v>22</v>
      </c>
      <c r="CC171" s="72" t="s">
        <v>574</v>
      </c>
      <c r="CD171" s="72" t="s">
        <v>349</v>
      </c>
    </row>
    <row r="172" spans="1:83" s="72" customFormat="1" ht="50">
      <c r="A172" s="72" t="s">
        <v>561</v>
      </c>
      <c r="B172" s="72" t="str">
        <f t="shared" si="0"/>
        <v>addtl3-2022</v>
      </c>
      <c r="C172" s="72">
        <v>2022</v>
      </c>
      <c r="D172" s="73" t="s">
        <v>562</v>
      </c>
      <c r="E172" s="74">
        <v>45030</v>
      </c>
      <c r="F172" s="72" t="s">
        <v>90</v>
      </c>
      <c r="G172" s="72" t="s">
        <v>495</v>
      </c>
      <c r="I172" s="75" t="s">
        <v>563</v>
      </c>
      <c r="J172" s="76" t="s">
        <v>564</v>
      </c>
      <c r="K172" s="72" t="s">
        <v>94</v>
      </c>
      <c r="L172" s="72" t="s">
        <v>98</v>
      </c>
      <c r="M172" s="72" t="s">
        <v>138</v>
      </c>
      <c r="N172" s="76" t="s">
        <v>565</v>
      </c>
      <c r="O172" s="72" t="s">
        <v>97</v>
      </c>
      <c r="P172" s="72" t="s">
        <v>97</v>
      </c>
      <c r="S172" s="72" t="s">
        <v>114</v>
      </c>
      <c r="T172" s="72" t="s">
        <v>191</v>
      </c>
      <c r="U172" s="77" t="s">
        <v>99</v>
      </c>
      <c r="V172" s="77">
        <v>1</v>
      </c>
      <c r="W172" s="77" t="s">
        <v>566</v>
      </c>
      <c r="X172" s="77" t="s">
        <v>567</v>
      </c>
      <c r="Y172" s="77" t="s">
        <v>568</v>
      </c>
      <c r="Z172" s="77" t="s">
        <v>569</v>
      </c>
      <c r="AA172" s="72" t="s">
        <v>570</v>
      </c>
      <c r="AB172" s="72" t="s">
        <v>105</v>
      </c>
      <c r="AC172" s="77"/>
      <c r="AD172" s="77"/>
      <c r="AE172" s="77"/>
      <c r="AF172" s="72">
        <v>1</v>
      </c>
      <c r="AG172" s="72" t="s">
        <v>97</v>
      </c>
      <c r="AH172" s="76" t="s">
        <v>155</v>
      </c>
      <c r="AI172" s="72" t="s">
        <v>110</v>
      </c>
      <c r="AJ172" s="77"/>
      <c r="AK172" s="77"/>
      <c r="AL172" s="77"/>
      <c r="AM172" s="77"/>
      <c r="AN172" s="77"/>
      <c r="AO172" s="77"/>
      <c r="AP172" s="72" t="s">
        <v>155</v>
      </c>
      <c r="AQ172" s="72" t="s">
        <v>119</v>
      </c>
      <c r="AR172" s="72" t="s">
        <v>114</v>
      </c>
      <c r="AS172" s="72" t="s">
        <v>120</v>
      </c>
      <c r="AT172" s="72" t="s">
        <v>116</v>
      </c>
      <c r="AU172" s="72" t="s">
        <v>571</v>
      </c>
      <c r="AV172" s="72">
        <v>3</v>
      </c>
      <c r="BO172" s="72">
        <v>2</v>
      </c>
      <c r="BP172" s="72" t="s">
        <v>576</v>
      </c>
      <c r="BQ172" s="72" t="s">
        <v>184</v>
      </c>
      <c r="BR172" s="72" t="s">
        <v>573</v>
      </c>
      <c r="BS172" s="72">
        <v>0.63895331743320805</v>
      </c>
      <c r="BT172" s="72">
        <v>0.80925898046800004</v>
      </c>
      <c r="BU172" s="72">
        <v>0.98174809962690102</v>
      </c>
      <c r="BV172" s="72" t="s">
        <v>161</v>
      </c>
      <c r="BW172" s="72">
        <v>22</v>
      </c>
      <c r="BX172" s="72">
        <v>0.997031917689159</v>
      </c>
      <c r="BY172" s="72">
        <v>1.11930267041306</v>
      </c>
      <c r="BZ172" s="72">
        <v>1.2393900086580301</v>
      </c>
      <c r="CA172" s="72" t="s">
        <v>161</v>
      </c>
      <c r="CB172" s="72">
        <v>22</v>
      </c>
      <c r="CC172" s="72" t="s">
        <v>574</v>
      </c>
      <c r="CD172" s="72" t="s">
        <v>349</v>
      </c>
    </row>
    <row r="173" spans="1:83" s="72" customFormat="1" ht="50">
      <c r="A173" s="72" t="s">
        <v>561</v>
      </c>
      <c r="B173" s="72" t="str">
        <f t="shared" si="0"/>
        <v>addtl3-2022</v>
      </c>
      <c r="C173" s="72">
        <v>2022</v>
      </c>
      <c r="D173" s="73" t="s">
        <v>562</v>
      </c>
      <c r="E173" s="74">
        <v>45030</v>
      </c>
      <c r="F173" s="72" t="s">
        <v>90</v>
      </c>
      <c r="G173" s="72" t="s">
        <v>495</v>
      </c>
      <c r="I173" s="75" t="s">
        <v>563</v>
      </c>
      <c r="J173" s="76" t="s">
        <v>564</v>
      </c>
      <c r="K173" s="72" t="s">
        <v>94</v>
      </c>
      <c r="L173" s="72" t="s">
        <v>98</v>
      </c>
      <c r="M173" s="72" t="s">
        <v>138</v>
      </c>
      <c r="N173" s="76" t="s">
        <v>565</v>
      </c>
      <c r="O173" s="72" t="s">
        <v>97</v>
      </c>
      <c r="P173" s="72" t="s">
        <v>97</v>
      </c>
      <c r="S173" s="72" t="s">
        <v>114</v>
      </c>
      <c r="T173" s="72" t="s">
        <v>191</v>
      </c>
      <c r="U173" s="77" t="s">
        <v>99</v>
      </c>
      <c r="V173" s="77">
        <v>1</v>
      </c>
      <c r="W173" s="77" t="s">
        <v>566</v>
      </c>
      <c r="X173" s="77" t="s">
        <v>567</v>
      </c>
      <c r="Y173" s="77" t="s">
        <v>568</v>
      </c>
      <c r="Z173" s="77" t="s">
        <v>569</v>
      </c>
      <c r="AA173" s="72" t="s">
        <v>570</v>
      </c>
      <c r="AB173" s="72" t="s">
        <v>105</v>
      </c>
      <c r="AC173" s="77"/>
      <c r="AD173" s="77"/>
      <c r="AE173" s="77"/>
      <c r="AF173" s="72">
        <v>1</v>
      </c>
      <c r="AG173" s="72" t="s">
        <v>97</v>
      </c>
      <c r="AH173" s="76" t="s">
        <v>155</v>
      </c>
      <c r="AI173" s="72" t="s">
        <v>110</v>
      </c>
      <c r="AJ173" s="77"/>
      <c r="AK173" s="77"/>
      <c r="AL173" s="77"/>
      <c r="AM173" s="77"/>
      <c r="AN173" s="77"/>
      <c r="AO173" s="77"/>
      <c r="AP173" s="72" t="s">
        <v>155</v>
      </c>
      <c r="AQ173" s="72" t="s">
        <v>119</v>
      </c>
      <c r="AR173" s="72" t="s">
        <v>114</v>
      </c>
      <c r="AS173" s="72" t="s">
        <v>120</v>
      </c>
      <c r="AT173" s="72" t="s">
        <v>116</v>
      </c>
      <c r="AU173" s="72" t="s">
        <v>571</v>
      </c>
      <c r="AV173" s="72">
        <v>3</v>
      </c>
      <c r="BO173" s="72">
        <v>2</v>
      </c>
      <c r="BP173" s="72" t="s">
        <v>577</v>
      </c>
      <c r="BQ173" s="72" t="s">
        <v>184</v>
      </c>
      <c r="BR173" s="72" t="s">
        <v>573</v>
      </c>
      <c r="BS173" s="72">
        <v>0.74157342313697205</v>
      </c>
      <c r="BT173" s="72">
        <v>0.89441185363056297</v>
      </c>
      <c r="BU173" s="72">
        <v>1.03851666785355</v>
      </c>
      <c r="BV173" s="72" t="s">
        <v>161</v>
      </c>
      <c r="BW173" s="72">
        <v>22</v>
      </c>
      <c r="BX173" s="72">
        <v>0.997031917689159</v>
      </c>
      <c r="BY173" s="72">
        <v>1.11930267041306</v>
      </c>
      <c r="BZ173" s="72">
        <v>1.2393900086580301</v>
      </c>
      <c r="CA173" s="72" t="s">
        <v>161</v>
      </c>
      <c r="CB173" s="72">
        <v>22</v>
      </c>
      <c r="CC173" s="72" t="s">
        <v>574</v>
      </c>
      <c r="CD173" s="72" t="s">
        <v>349</v>
      </c>
    </row>
    <row r="174" spans="1:83" s="72" customFormat="1" ht="50">
      <c r="A174" s="72" t="s">
        <v>561</v>
      </c>
      <c r="B174" s="72" t="str">
        <f t="shared" si="0"/>
        <v>addtl3-2022</v>
      </c>
      <c r="C174" s="72">
        <v>2022</v>
      </c>
      <c r="D174" s="73" t="s">
        <v>562</v>
      </c>
      <c r="E174" s="74">
        <v>45030</v>
      </c>
      <c r="F174" s="72" t="s">
        <v>90</v>
      </c>
      <c r="G174" s="72" t="s">
        <v>495</v>
      </c>
      <c r="I174" s="75" t="s">
        <v>563</v>
      </c>
      <c r="J174" s="76" t="s">
        <v>564</v>
      </c>
      <c r="K174" s="72" t="s">
        <v>94</v>
      </c>
      <c r="L174" s="72" t="s">
        <v>98</v>
      </c>
      <c r="M174" s="72" t="s">
        <v>138</v>
      </c>
      <c r="N174" s="76" t="s">
        <v>565</v>
      </c>
      <c r="O174" s="72" t="s">
        <v>97</v>
      </c>
      <c r="P174" s="72" t="s">
        <v>97</v>
      </c>
      <c r="S174" s="72" t="s">
        <v>114</v>
      </c>
      <c r="T174" s="72" t="s">
        <v>191</v>
      </c>
      <c r="U174" s="77" t="s">
        <v>99</v>
      </c>
      <c r="V174" s="77">
        <v>1</v>
      </c>
      <c r="W174" s="77" t="s">
        <v>566</v>
      </c>
      <c r="X174" s="77" t="s">
        <v>567</v>
      </c>
      <c r="Y174" s="77" t="s">
        <v>568</v>
      </c>
      <c r="Z174" s="77" t="s">
        <v>569</v>
      </c>
      <c r="AA174" s="72" t="s">
        <v>570</v>
      </c>
      <c r="AB174" s="72" t="s">
        <v>105</v>
      </c>
      <c r="AC174" s="77"/>
      <c r="AD174" s="77"/>
      <c r="AE174" s="77"/>
      <c r="AF174" s="72">
        <v>1</v>
      </c>
      <c r="AG174" s="72" t="s">
        <v>97</v>
      </c>
      <c r="AH174" s="76" t="s">
        <v>155</v>
      </c>
      <c r="AI174" s="72" t="s">
        <v>110</v>
      </c>
      <c r="AJ174" s="77"/>
      <c r="AK174" s="77"/>
      <c r="AL174" s="77"/>
      <c r="AM174" s="77"/>
      <c r="AN174" s="77"/>
      <c r="AO174" s="77"/>
      <c r="AP174" s="72" t="s">
        <v>155</v>
      </c>
      <c r="AQ174" s="72" t="s">
        <v>119</v>
      </c>
      <c r="AR174" s="72" t="s">
        <v>114</v>
      </c>
      <c r="AS174" s="72" t="s">
        <v>120</v>
      </c>
      <c r="AT174" s="72" t="s">
        <v>116</v>
      </c>
      <c r="AU174" s="72" t="s">
        <v>571</v>
      </c>
      <c r="AV174" s="72">
        <v>3</v>
      </c>
      <c r="BO174" s="72">
        <v>4</v>
      </c>
      <c r="BP174" s="72" t="s">
        <v>578</v>
      </c>
      <c r="BQ174" s="72" t="s">
        <v>184</v>
      </c>
      <c r="BR174" s="72" t="s">
        <v>573</v>
      </c>
      <c r="BS174" s="72">
        <v>0.78305809001103099</v>
      </c>
      <c r="BT174" s="72">
        <v>0.85729393242405205</v>
      </c>
      <c r="BU174" s="72">
        <v>0.931529774837073</v>
      </c>
      <c r="BV174" s="72" t="s">
        <v>161</v>
      </c>
      <c r="BW174" s="72">
        <v>22</v>
      </c>
      <c r="BX174" s="72">
        <v>0.892228397506453</v>
      </c>
      <c r="BY174" s="72">
        <v>1.05161707143687</v>
      </c>
      <c r="BZ174" s="72">
        <v>1.2066389164094</v>
      </c>
      <c r="CA174" s="72" t="s">
        <v>161</v>
      </c>
      <c r="CB174" s="72">
        <v>22</v>
      </c>
      <c r="CC174" s="72" t="s">
        <v>574</v>
      </c>
      <c r="CD174" s="72" t="s">
        <v>349</v>
      </c>
    </row>
    <row r="175" spans="1:83" s="72" customFormat="1" ht="50">
      <c r="A175" s="72" t="s">
        <v>561</v>
      </c>
      <c r="B175" s="72" t="str">
        <f t="shared" si="0"/>
        <v>addtl3-2022</v>
      </c>
      <c r="C175" s="72">
        <v>2022</v>
      </c>
      <c r="D175" s="73" t="s">
        <v>562</v>
      </c>
      <c r="E175" s="74">
        <v>45030</v>
      </c>
      <c r="F175" s="72" t="s">
        <v>90</v>
      </c>
      <c r="G175" s="72" t="s">
        <v>495</v>
      </c>
      <c r="I175" s="75" t="s">
        <v>563</v>
      </c>
      <c r="J175" s="76" t="s">
        <v>564</v>
      </c>
      <c r="K175" s="72" t="s">
        <v>94</v>
      </c>
      <c r="L175" s="72" t="s">
        <v>98</v>
      </c>
      <c r="M175" s="72" t="s">
        <v>138</v>
      </c>
      <c r="N175" s="76" t="s">
        <v>565</v>
      </c>
      <c r="O175" s="72" t="s">
        <v>97</v>
      </c>
      <c r="P175" s="72" t="s">
        <v>97</v>
      </c>
      <c r="S175" s="72" t="s">
        <v>114</v>
      </c>
      <c r="T175" s="72" t="s">
        <v>191</v>
      </c>
      <c r="U175" s="77" t="s">
        <v>99</v>
      </c>
      <c r="V175" s="77">
        <v>1</v>
      </c>
      <c r="W175" s="77" t="s">
        <v>566</v>
      </c>
      <c r="X175" s="77" t="s">
        <v>567</v>
      </c>
      <c r="Y175" s="77" t="s">
        <v>568</v>
      </c>
      <c r="Z175" s="77" t="s">
        <v>569</v>
      </c>
      <c r="AA175" s="72" t="s">
        <v>570</v>
      </c>
      <c r="AB175" s="72" t="s">
        <v>105</v>
      </c>
      <c r="AC175" s="77"/>
      <c r="AD175" s="77"/>
      <c r="AE175" s="77"/>
      <c r="AF175" s="72">
        <v>1</v>
      </c>
      <c r="AG175" s="72" t="s">
        <v>97</v>
      </c>
      <c r="AH175" s="76" t="s">
        <v>155</v>
      </c>
      <c r="AI175" s="72" t="s">
        <v>110</v>
      </c>
      <c r="AJ175" s="77"/>
      <c r="AK175" s="77"/>
      <c r="AL175" s="77"/>
      <c r="AM175" s="77"/>
      <c r="AN175" s="77"/>
      <c r="AO175" s="77"/>
      <c r="AP175" s="72" t="s">
        <v>155</v>
      </c>
      <c r="AQ175" s="72" t="s">
        <v>119</v>
      </c>
      <c r="AR175" s="72" t="s">
        <v>114</v>
      </c>
      <c r="AS175" s="72" t="s">
        <v>120</v>
      </c>
      <c r="AT175" s="72" t="s">
        <v>116</v>
      </c>
      <c r="AU175" s="72" t="s">
        <v>571</v>
      </c>
      <c r="AV175" s="72">
        <v>3</v>
      </c>
      <c r="BO175" s="72">
        <v>4</v>
      </c>
      <c r="BP175" s="72" t="s">
        <v>578</v>
      </c>
      <c r="BQ175" s="72" t="s">
        <v>184</v>
      </c>
      <c r="BR175" s="72" t="s">
        <v>573</v>
      </c>
      <c r="BS175" s="72">
        <v>0.74375679597074595</v>
      </c>
      <c r="BT175" s="72">
        <v>0.87039433600736904</v>
      </c>
      <c r="BU175" s="72">
        <v>0.997031917689159</v>
      </c>
      <c r="BV175" s="72" t="s">
        <v>161</v>
      </c>
      <c r="BW175" s="72">
        <v>22</v>
      </c>
      <c r="BX175" s="72">
        <v>0.892228397506453</v>
      </c>
      <c r="BY175" s="72">
        <v>1.05161707143687</v>
      </c>
      <c r="BZ175" s="72">
        <v>1.2066389164094</v>
      </c>
      <c r="CA175" s="72" t="s">
        <v>161</v>
      </c>
      <c r="CB175" s="72">
        <v>22</v>
      </c>
      <c r="CC175" s="72" t="s">
        <v>574</v>
      </c>
      <c r="CD175" s="72" t="s">
        <v>349</v>
      </c>
    </row>
    <row r="176" spans="1:83" s="72" customFormat="1" ht="50">
      <c r="A176" s="72" t="s">
        <v>579</v>
      </c>
      <c r="B176" s="72" t="str">
        <f t="shared" si="0"/>
        <v>addtl4-2022</v>
      </c>
      <c r="C176" s="72">
        <v>2022</v>
      </c>
      <c r="D176" s="73" t="s">
        <v>580</v>
      </c>
      <c r="E176" s="74">
        <v>45033</v>
      </c>
      <c r="F176" s="72" t="s">
        <v>90</v>
      </c>
      <c r="G176" s="72" t="s">
        <v>495</v>
      </c>
      <c r="I176" s="75" t="s">
        <v>563</v>
      </c>
      <c r="J176" s="76" t="s">
        <v>581</v>
      </c>
      <c r="K176" s="72" t="s">
        <v>94</v>
      </c>
      <c r="L176" s="72" t="s">
        <v>94</v>
      </c>
      <c r="M176" s="72" t="s">
        <v>95</v>
      </c>
      <c r="N176" s="76" t="s">
        <v>582</v>
      </c>
      <c r="O176" s="72" t="s">
        <v>97</v>
      </c>
      <c r="P176" s="72" t="s">
        <v>97</v>
      </c>
      <c r="S176" s="72" t="s">
        <v>114</v>
      </c>
      <c r="T176" s="72" t="s">
        <v>98</v>
      </c>
      <c r="U176" s="77" t="s">
        <v>99</v>
      </c>
      <c r="V176" s="77">
        <v>1</v>
      </c>
      <c r="W176" s="77" t="s">
        <v>583</v>
      </c>
      <c r="X176" s="77" t="s">
        <v>584</v>
      </c>
      <c r="Y176" s="77" t="s">
        <v>568</v>
      </c>
      <c r="Z176" s="77" t="s">
        <v>299</v>
      </c>
      <c r="AA176" s="72" t="s">
        <v>585</v>
      </c>
      <c r="AB176" s="72" t="s">
        <v>105</v>
      </c>
      <c r="AC176" s="77"/>
      <c r="AD176" s="77"/>
      <c r="AE176" s="77"/>
      <c r="AF176" s="72">
        <v>2</v>
      </c>
      <c r="AG176" s="72" t="s">
        <v>90</v>
      </c>
      <c r="AH176" s="76" t="s">
        <v>586</v>
      </c>
      <c r="AI176" s="72" t="s">
        <v>110</v>
      </c>
      <c r="AJ176" s="77"/>
      <c r="AK176" s="77"/>
      <c r="AL176" s="77"/>
      <c r="AM176" s="77"/>
      <c r="AN176" s="77"/>
      <c r="AO176" s="77"/>
      <c r="AP176" s="72" t="s">
        <v>155</v>
      </c>
      <c r="AQ176" s="72" t="s">
        <v>119</v>
      </c>
      <c r="AR176" s="72" t="s">
        <v>114</v>
      </c>
      <c r="AS176" s="72" t="s">
        <v>120</v>
      </c>
      <c r="AT176" s="72" t="s">
        <v>116</v>
      </c>
      <c r="AU176" s="72" t="s">
        <v>587</v>
      </c>
      <c r="AV176" s="72">
        <v>2</v>
      </c>
      <c r="AW176" s="72" t="s">
        <v>588</v>
      </c>
      <c r="AX176" s="72" t="s">
        <v>119</v>
      </c>
      <c r="AY176" s="72" t="s">
        <v>120</v>
      </c>
      <c r="AZ176" s="72" t="s">
        <v>116</v>
      </c>
      <c r="BA176" s="76" t="s">
        <v>589</v>
      </c>
      <c r="BB176" s="72">
        <v>2</v>
      </c>
      <c r="BO176" s="72" t="s">
        <v>126</v>
      </c>
      <c r="BP176" s="72" t="s">
        <v>590</v>
      </c>
      <c r="BQ176" s="72" t="s">
        <v>591</v>
      </c>
      <c r="BR176" s="72" t="s">
        <v>592</v>
      </c>
      <c r="BS176" s="72">
        <v>0.10674843380926501</v>
      </c>
      <c r="BT176" s="72" t="s">
        <v>593</v>
      </c>
      <c r="BU176" s="72">
        <v>0.22208588124308501</v>
      </c>
      <c r="BV176" s="72" t="s">
        <v>594</v>
      </c>
      <c r="BW176" s="72">
        <v>4</v>
      </c>
      <c r="BX176" s="72">
        <v>0.105521458609245</v>
      </c>
      <c r="BY176" s="72">
        <v>0.247852734892335</v>
      </c>
      <c r="BZ176" s="72" t="s">
        <v>595</v>
      </c>
      <c r="CA176" s="72" t="s">
        <v>594</v>
      </c>
      <c r="CB176" s="72">
        <v>4</v>
      </c>
      <c r="CC176" s="72" t="s">
        <v>596</v>
      </c>
      <c r="CD176" s="72" t="s">
        <v>597</v>
      </c>
    </row>
    <row r="177" spans="1:82" s="72" customFormat="1" ht="50">
      <c r="A177" s="72" t="s">
        <v>579</v>
      </c>
      <c r="B177" s="72" t="str">
        <f t="shared" si="0"/>
        <v>addtl4-2022</v>
      </c>
      <c r="C177" s="72">
        <v>2022</v>
      </c>
      <c r="D177" s="73" t="s">
        <v>580</v>
      </c>
      <c r="E177" s="74">
        <v>45033</v>
      </c>
      <c r="F177" s="72" t="s">
        <v>90</v>
      </c>
      <c r="G177" s="72" t="s">
        <v>495</v>
      </c>
      <c r="I177" s="75" t="s">
        <v>563</v>
      </c>
      <c r="J177" s="76" t="s">
        <v>581</v>
      </c>
      <c r="K177" s="72" t="s">
        <v>94</v>
      </c>
      <c r="L177" s="72" t="s">
        <v>94</v>
      </c>
      <c r="M177" s="72" t="s">
        <v>95</v>
      </c>
      <c r="N177" s="76" t="s">
        <v>582</v>
      </c>
      <c r="O177" s="72" t="s">
        <v>97</v>
      </c>
      <c r="P177" s="72" t="s">
        <v>97</v>
      </c>
      <c r="S177" s="72" t="s">
        <v>114</v>
      </c>
      <c r="T177" s="72" t="s">
        <v>98</v>
      </c>
      <c r="U177" s="77" t="s">
        <v>99</v>
      </c>
      <c r="V177" s="77">
        <v>1</v>
      </c>
      <c r="W177" s="77" t="s">
        <v>583</v>
      </c>
      <c r="X177" s="77" t="s">
        <v>584</v>
      </c>
      <c r="Y177" s="77" t="s">
        <v>568</v>
      </c>
      <c r="Z177" s="77" t="s">
        <v>299</v>
      </c>
      <c r="AA177" s="72" t="s">
        <v>585</v>
      </c>
      <c r="AB177" s="72" t="s">
        <v>105</v>
      </c>
      <c r="AC177" s="77"/>
      <c r="AD177" s="77"/>
      <c r="AE177" s="77"/>
      <c r="AF177" s="72">
        <v>2</v>
      </c>
      <c r="AG177" s="72" t="s">
        <v>90</v>
      </c>
      <c r="AH177" s="76" t="s">
        <v>586</v>
      </c>
      <c r="AI177" s="72" t="s">
        <v>110</v>
      </c>
      <c r="AJ177" s="77"/>
      <c r="AK177" s="77"/>
      <c r="AL177" s="77"/>
      <c r="AM177" s="77"/>
      <c r="AN177" s="77"/>
      <c r="AO177" s="77"/>
      <c r="AP177" s="72" t="s">
        <v>155</v>
      </c>
      <c r="AQ177" s="72" t="s">
        <v>119</v>
      </c>
      <c r="AR177" s="72" t="s">
        <v>114</v>
      </c>
      <c r="AS177" s="72" t="s">
        <v>120</v>
      </c>
      <c r="AT177" s="72" t="s">
        <v>116</v>
      </c>
      <c r="AU177" s="72" t="s">
        <v>587</v>
      </c>
      <c r="AV177" s="72">
        <v>2</v>
      </c>
      <c r="AW177" s="72" t="s">
        <v>588</v>
      </c>
      <c r="AX177" s="72" t="s">
        <v>119</v>
      </c>
      <c r="AY177" s="72" t="s">
        <v>120</v>
      </c>
      <c r="AZ177" s="72" t="s">
        <v>116</v>
      </c>
      <c r="BA177" s="76" t="s">
        <v>589</v>
      </c>
      <c r="BB177" s="72">
        <v>2</v>
      </c>
      <c r="BO177" s="72" t="s">
        <v>126</v>
      </c>
      <c r="BP177" s="72" t="s">
        <v>598</v>
      </c>
      <c r="BQ177" s="72" t="s">
        <v>591</v>
      </c>
      <c r="BR177" s="72" t="s">
        <v>592</v>
      </c>
      <c r="BS177" s="72" t="s">
        <v>599</v>
      </c>
      <c r="BT177" s="72">
        <v>0.160736185120012</v>
      </c>
      <c r="BU177" s="72" t="s">
        <v>600</v>
      </c>
      <c r="BV177" s="72" t="s">
        <v>594</v>
      </c>
      <c r="BW177" s="72">
        <v>4</v>
      </c>
      <c r="BX177" s="72">
        <v>0.214723889624654</v>
      </c>
      <c r="BY177" s="72">
        <v>0.26871164093540101</v>
      </c>
      <c r="BZ177" s="72">
        <v>0.30674843380926498</v>
      </c>
      <c r="CA177" s="72" t="s">
        <v>594</v>
      </c>
      <c r="CB177" s="72">
        <v>4</v>
      </c>
      <c r="CC177" s="72" t="s">
        <v>596</v>
      </c>
      <c r="CD177" s="72" t="s">
        <v>597</v>
      </c>
    </row>
    <row r="178" spans="1:82" s="72" customFormat="1" ht="50">
      <c r="A178" s="72" t="s">
        <v>579</v>
      </c>
      <c r="B178" s="72" t="str">
        <f t="shared" si="0"/>
        <v>addtl4-2022</v>
      </c>
      <c r="C178" s="72">
        <v>2022</v>
      </c>
      <c r="D178" s="73" t="s">
        <v>580</v>
      </c>
      <c r="E178" s="74">
        <v>45033</v>
      </c>
      <c r="F178" s="72" t="s">
        <v>90</v>
      </c>
      <c r="G178" s="72" t="s">
        <v>495</v>
      </c>
      <c r="I178" s="75" t="s">
        <v>563</v>
      </c>
      <c r="J178" s="76" t="s">
        <v>581</v>
      </c>
      <c r="K178" s="72" t="s">
        <v>94</v>
      </c>
      <c r="L178" s="72" t="s">
        <v>94</v>
      </c>
      <c r="M178" s="72" t="s">
        <v>95</v>
      </c>
      <c r="N178" s="76" t="s">
        <v>582</v>
      </c>
      <c r="O178" s="72" t="s">
        <v>97</v>
      </c>
      <c r="P178" s="72" t="s">
        <v>97</v>
      </c>
      <c r="S178" s="72" t="s">
        <v>114</v>
      </c>
      <c r="T178" s="72" t="s">
        <v>98</v>
      </c>
      <c r="U178" s="77" t="s">
        <v>99</v>
      </c>
      <c r="V178" s="77">
        <v>1</v>
      </c>
      <c r="W178" s="77" t="s">
        <v>583</v>
      </c>
      <c r="X178" s="77" t="s">
        <v>584</v>
      </c>
      <c r="Y178" s="77" t="s">
        <v>568</v>
      </c>
      <c r="Z178" s="77" t="s">
        <v>299</v>
      </c>
      <c r="AA178" s="72" t="s">
        <v>585</v>
      </c>
      <c r="AB178" s="72" t="s">
        <v>105</v>
      </c>
      <c r="AC178" s="77"/>
      <c r="AD178" s="77"/>
      <c r="AE178" s="77"/>
      <c r="AF178" s="72">
        <v>2</v>
      </c>
      <c r="AG178" s="72" t="s">
        <v>90</v>
      </c>
      <c r="AH178" s="76" t="s">
        <v>586</v>
      </c>
      <c r="AI178" s="72" t="s">
        <v>110</v>
      </c>
      <c r="AJ178" s="77"/>
      <c r="AK178" s="77"/>
      <c r="AL178" s="77"/>
      <c r="AM178" s="77"/>
      <c r="AN178" s="77"/>
      <c r="AO178" s="77"/>
      <c r="AP178" s="72" t="s">
        <v>155</v>
      </c>
      <c r="AQ178" s="72" t="s">
        <v>119</v>
      </c>
      <c r="AR178" s="72" t="s">
        <v>114</v>
      </c>
      <c r="AS178" s="72" t="s">
        <v>120</v>
      </c>
      <c r="AT178" s="72" t="s">
        <v>116</v>
      </c>
      <c r="AU178" s="72" t="s">
        <v>587</v>
      </c>
      <c r="AV178" s="72">
        <v>2</v>
      </c>
      <c r="AW178" s="72" t="s">
        <v>588</v>
      </c>
      <c r="AX178" s="72" t="s">
        <v>119</v>
      </c>
      <c r="AY178" s="72" t="s">
        <v>120</v>
      </c>
      <c r="AZ178" s="72" t="s">
        <v>116</v>
      </c>
      <c r="BA178" s="76" t="s">
        <v>589</v>
      </c>
      <c r="BB178" s="72">
        <v>2</v>
      </c>
      <c r="BO178" s="72" t="s">
        <v>126</v>
      </c>
      <c r="BP178" s="72" t="s">
        <v>601</v>
      </c>
      <c r="BQ178" s="72" t="s">
        <v>591</v>
      </c>
      <c r="BR178" s="72" t="s">
        <v>592</v>
      </c>
      <c r="BS178" s="72">
        <v>0.114110378621593</v>
      </c>
      <c r="BT178" s="72">
        <v>0.26993861613542097</v>
      </c>
      <c r="BU178" s="72">
        <v>0.36196316032003201</v>
      </c>
      <c r="BV178" s="72" t="s">
        <v>594</v>
      </c>
      <c r="BW178" s="72">
        <v>4</v>
      </c>
      <c r="BX178" s="72">
        <v>6.8711640935401302E-2</v>
      </c>
      <c r="BY178" s="72">
        <v>0.15828209430166101</v>
      </c>
      <c r="BZ178" s="72" t="s">
        <v>602</v>
      </c>
      <c r="CA178" s="72" t="s">
        <v>594</v>
      </c>
      <c r="CB178" s="72">
        <v>4</v>
      </c>
      <c r="CC178" s="72" t="s">
        <v>596</v>
      </c>
      <c r="CD178" s="72" t="s">
        <v>597</v>
      </c>
    </row>
    <row r="179" spans="1:82" s="72" customFormat="1" ht="50">
      <c r="A179" s="72" t="s">
        <v>579</v>
      </c>
      <c r="B179" s="72" t="str">
        <f t="shared" si="0"/>
        <v>addtl4-2022</v>
      </c>
      <c r="C179" s="72">
        <v>2022</v>
      </c>
      <c r="D179" s="73" t="s">
        <v>580</v>
      </c>
      <c r="E179" s="74">
        <v>45033</v>
      </c>
      <c r="F179" s="72" t="s">
        <v>90</v>
      </c>
      <c r="G179" s="72" t="s">
        <v>495</v>
      </c>
      <c r="I179" s="75" t="s">
        <v>563</v>
      </c>
      <c r="J179" s="76" t="s">
        <v>581</v>
      </c>
      <c r="K179" s="72" t="s">
        <v>94</v>
      </c>
      <c r="L179" s="72" t="s">
        <v>94</v>
      </c>
      <c r="M179" s="72" t="s">
        <v>95</v>
      </c>
      <c r="N179" s="76" t="s">
        <v>582</v>
      </c>
      <c r="O179" s="72" t="s">
        <v>97</v>
      </c>
      <c r="P179" s="72" t="s">
        <v>97</v>
      </c>
      <c r="S179" s="72" t="s">
        <v>114</v>
      </c>
      <c r="T179" s="72" t="s">
        <v>98</v>
      </c>
      <c r="U179" s="77" t="s">
        <v>99</v>
      </c>
      <c r="V179" s="77">
        <v>1</v>
      </c>
      <c r="W179" s="77" t="s">
        <v>583</v>
      </c>
      <c r="X179" s="77" t="s">
        <v>584</v>
      </c>
      <c r="Y179" s="77" t="s">
        <v>568</v>
      </c>
      <c r="Z179" s="77" t="s">
        <v>299</v>
      </c>
      <c r="AA179" s="72" t="s">
        <v>585</v>
      </c>
      <c r="AB179" s="72" t="s">
        <v>105</v>
      </c>
      <c r="AC179" s="77"/>
      <c r="AD179" s="77"/>
      <c r="AE179" s="77"/>
      <c r="AF179" s="72">
        <v>2</v>
      </c>
      <c r="AG179" s="72" t="s">
        <v>90</v>
      </c>
      <c r="AH179" s="76" t="s">
        <v>586</v>
      </c>
      <c r="AI179" s="72" t="s">
        <v>110</v>
      </c>
      <c r="AJ179" s="77"/>
      <c r="AK179" s="77"/>
      <c r="AL179" s="77"/>
      <c r="AM179" s="77"/>
      <c r="AN179" s="77"/>
      <c r="AO179" s="77"/>
      <c r="AP179" s="72" t="s">
        <v>155</v>
      </c>
      <c r="AQ179" s="72" t="s">
        <v>119</v>
      </c>
      <c r="AR179" s="72" t="s">
        <v>114</v>
      </c>
      <c r="AS179" s="72" t="s">
        <v>120</v>
      </c>
      <c r="AT179" s="72" t="s">
        <v>116</v>
      </c>
      <c r="AU179" s="72" t="s">
        <v>587</v>
      </c>
      <c r="AV179" s="72">
        <v>2</v>
      </c>
      <c r="AW179" s="72" t="s">
        <v>588</v>
      </c>
      <c r="AX179" s="72" t="s">
        <v>119</v>
      </c>
      <c r="AY179" s="72" t="s">
        <v>120</v>
      </c>
      <c r="AZ179" s="72" t="s">
        <v>116</v>
      </c>
      <c r="BA179" s="76" t="s">
        <v>589</v>
      </c>
      <c r="BB179" s="72">
        <v>2</v>
      </c>
      <c r="BO179" s="72">
        <v>5</v>
      </c>
      <c r="BP179" s="72" t="s">
        <v>603</v>
      </c>
      <c r="BQ179" s="72" t="s">
        <v>591</v>
      </c>
      <c r="BR179" s="72" t="s">
        <v>592</v>
      </c>
      <c r="BS179" s="72" t="s">
        <v>604</v>
      </c>
      <c r="BT179" s="72" t="s">
        <v>605</v>
      </c>
      <c r="BU179" s="72">
        <v>0.520245395040004</v>
      </c>
      <c r="BV179" s="72" t="s">
        <v>594</v>
      </c>
      <c r="BW179" s="72">
        <v>4</v>
      </c>
      <c r="BX179" s="72" t="s">
        <v>604</v>
      </c>
      <c r="BY179" s="72">
        <v>0.16932515193846301</v>
      </c>
      <c r="BZ179" s="72">
        <v>0.30674843380926498</v>
      </c>
      <c r="CA179" s="72" t="s">
        <v>594</v>
      </c>
      <c r="CB179" s="72">
        <v>4</v>
      </c>
      <c r="CC179" s="72" t="s">
        <v>596</v>
      </c>
      <c r="CD179" s="72" t="s">
        <v>597</v>
      </c>
    </row>
    <row r="180" spans="1:82" s="72" customFormat="1" ht="76">
      <c r="A180" s="72" t="s">
        <v>606</v>
      </c>
      <c r="B180" s="72" t="str">
        <f t="shared" si="0"/>
        <v>addtl5-2021</v>
      </c>
      <c r="C180" s="72">
        <v>2021</v>
      </c>
      <c r="D180" s="73" t="s">
        <v>607</v>
      </c>
      <c r="E180" s="74">
        <v>45033</v>
      </c>
      <c r="F180" s="72" t="s">
        <v>90</v>
      </c>
      <c r="G180" s="72" t="s">
        <v>495</v>
      </c>
      <c r="I180" s="75" t="s">
        <v>563</v>
      </c>
      <c r="J180" s="76" t="s">
        <v>608</v>
      </c>
      <c r="K180" s="72" t="s">
        <v>94</v>
      </c>
      <c r="L180" s="72" t="s">
        <v>94</v>
      </c>
      <c r="M180" s="72" t="s">
        <v>95</v>
      </c>
      <c r="N180" s="76" t="s">
        <v>609</v>
      </c>
      <c r="O180" s="72" t="s">
        <v>97</v>
      </c>
      <c r="P180" s="72" t="s">
        <v>97</v>
      </c>
      <c r="S180" s="72" t="s">
        <v>114</v>
      </c>
      <c r="T180" s="72" t="s">
        <v>98</v>
      </c>
      <c r="U180" s="77" t="s">
        <v>99</v>
      </c>
      <c r="V180" s="77">
        <v>1</v>
      </c>
      <c r="W180" s="77" t="s">
        <v>610</v>
      </c>
      <c r="X180" s="77" t="s">
        <v>611</v>
      </c>
      <c r="Y180" s="77" t="s">
        <v>568</v>
      </c>
      <c r="Z180" s="77" t="s">
        <v>569</v>
      </c>
      <c r="AA180" s="72" t="s">
        <v>612</v>
      </c>
      <c r="AB180" s="72" t="s">
        <v>105</v>
      </c>
      <c r="AC180" s="77"/>
      <c r="AD180" s="77"/>
      <c r="AE180" s="77"/>
      <c r="AF180" s="72">
        <v>3</v>
      </c>
      <c r="AG180" s="72" t="s">
        <v>90</v>
      </c>
      <c r="AH180" s="78" t="s">
        <v>613</v>
      </c>
      <c r="AI180" s="72" t="s">
        <v>110</v>
      </c>
      <c r="AJ180" s="77"/>
      <c r="AK180" s="77"/>
      <c r="AL180" s="77"/>
      <c r="AM180" s="77"/>
      <c r="AN180" s="77"/>
      <c r="AO180" s="77"/>
      <c r="AP180" s="72" t="s">
        <v>155</v>
      </c>
      <c r="AQ180" s="72" t="s">
        <v>119</v>
      </c>
      <c r="AR180" s="72" t="s">
        <v>114</v>
      </c>
      <c r="AS180" s="72" t="s">
        <v>120</v>
      </c>
      <c r="AT180" s="72" t="s">
        <v>116</v>
      </c>
      <c r="AU180" s="72" t="s">
        <v>587</v>
      </c>
      <c r="AV180" s="72">
        <v>2</v>
      </c>
      <c r="AW180" s="72" t="s">
        <v>588</v>
      </c>
      <c r="AX180" s="72" t="s">
        <v>119</v>
      </c>
      <c r="AY180" s="72" t="s">
        <v>120</v>
      </c>
      <c r="AZ180" s="72" t="s">
        <v>116</v>
      </c>
      <c r="BA180" s="76" t="s">
        <v>589</v>
      </c>
      <c r="BB180" s="72">
        <v>2</v>
      </c>
      <c r="BC180" s="72" t="s">
        <v>614</v>
      </c>
      <c r="BD180" s="72" t="s">
        <v>123</v>
      </c>
      <c r="BE180" s="72" t="s">
        <v>615</v>
      </c>
      <c r="BF180" s="72" t="s">
        <v>116</v>
      </c>
      <c r="BG180" s="76" t="s">
        <v>616</v>
      </c>
      <c r="BH180" s="72">
        <v>3</v>
      </c>
      <c r="BO180" s="72" t="s">
        <v>126</v>
      </c>
      <c r="BP180" s="72" t="s">
        <v>617</v>
      </c>
      <c r="BQ180" s="72" t="s">
        <v>591</v>
      </c>
      <c r="BR180" s="72" t="s">
        <v>592</v>
      </c>
      <c r="BS180" s="72">
        <v>1.1014021911698001E-2</v>
      </c>
      <c r="BT180" s="72">
        <v>3.65120246196085E-2</v>
      </c>
      <c r="BU180" s="72">
        <v>5.9123970654493103E-2</v>
      </c>
      <c r="BV180" s="72" t="s">
        <v>594</v>
      </c>
      <c r="BW180" s="72">
        <v>4</v>
      </c>
      <c r="BX180" s="72">
        <v>1.1343008800938201E-3</v>
      </c>
      <c r="BY180" s="72">
        <v>2.1477661540946099E-2</v>
      </c>
      <c r="BZ180" s="72">
        <v>4.2800951160605102E-2</v>
      </c>
      <c r="CA180" s="72" t="s">
        <v>594</v>
      </c>
      <c r="CB180" s="72">
        <v>4</v>
      </c>
      <c r="CC180" s="72" t="s">
        <v>596</v>
      </c>
      <c r="CD180" s="72" t="s">
        <v>618</v>
      </c>
    </row>
    <row r="181" spans="1:82" s="72" customFormat="1" ht="76">
      <c r="A181" s="72" t="s">
        <v>606</v>
      </c>
      <c r="B181" s="72" t="str">
        <f t="shared" si="0"/>
        <v>addtl5-2021</v>
      </c>
      <c r="C181" s="72">
        <v>2021</v>
      </c>
      <c r="D181" s="73" t="s">
        <v>607</v>
      </c>
      <c r="E181" s="74">
        <v>45033</v>
      </c>
      <c r="F181" s="72" t="s">
        <v>90</v>
      </c>
      <c r="G181" s="72" t="s">
        <v>495</v>
      </c>
      <c r="I181" s="75" t="s">
        <v>563</v>
      </c>
      <c r="J181" s="76" t="s">
        <v>608</v>
      </c>
      <c r="K181" s="72" t="s">
        <v>94</v>
      </c>
      <c r="L181" s="72" t="s">
        <v>94</v>
      </c>
      <c r="M181" s="72" t="s">
        <v>95</v>
      </c>
      <c r="N181" s="76" t="s">
        <v>609</v>
      </c>
      <c r="O181" s="72" t="s">
        <v>97</v>
      </c>
      <c r="P181" s="72" t="s">
        <v>97</v>
      </c>
      <c r="S181" s="72" t="s">
        <v>114</v>
      </c>
      <c r="T181" s="72" t="s">
        <v>98</v>
      </c>
      <c r="U181" s="77" t="s">
        <v>99</v>
      </c>
      <c r="V181" s="77">
        <v>1</v>
      </c>
      <c r="W181" s="77" t="s">
        <v>610</v>
      </c>
      <c r="X181" s="77" t="s">
        <v>611</v>
      </c>
      <c r="Y181" s="77" t="s">
        <v>568</v>
      </c>
      <c r="Z181" s="77" t="s">
        <v>569</v>
      </c>
      <c r="AA181" s="72" t="s">
        <v>612</v>
      </c>
      <c r="AB181" s="72" t="s">
        <v>105</v>
      </c>
      <c r="AC181" s="77"/>
      <c r="AD181" s="77"/>
      <c r="AE181" s="77"/>
      <c r="AF181" s="72">
        <v>3</v>
      </c>
      <c r="AG181" s="72" t="s">
        <v>90</v>
      </c>
      <c r="AH181" s="78" t="s">
        <v>613</v>
      </c>
      <c r="AI181" s="72" t="s">
        <v>110</v>
      </c>
      <c r="AJ181" s="77"/>
      <c r="AK181" s="77"/>
      <c r="AL181" s="77"/>
      <c r="AM181" s="77"/>
      <c r="AN181" s="77"/>
      <c r="AO181" s="77"/>
      <c r="AP181" s="72" t="s">
        <v>155</v>
      </c>
      <c r="AQ181" s="72" t="s">
        <v>119</v>
      </c>
      <c r="AR181" s="72" t="s">
        <v>114</v>
      </c>
      <c r="AS181" s="72" t="s">
        <v>120</v>
      </c>
      <c r="AT181" s="72" t="s">
        <v>116</v>
      </c>
      <c r="AU181" s="72" t="s">
        <v>587</v>
      </c>
      <c r="AV181" s="72">
        <v>2</v>
      </c>
      <c r="AW181" s="72" t="s">
        <v>588</v>
      </c>
      <c r="AX181" s="72" t="s">
        <v>119</v>
      </c>
      <c r="AY181" s="72" t="s">
        <v>120</v>
      </c>
      <c r="AZ181" s="72" t="s">
        <v>116</v>
      </c>
      <c r="BA181" s="76" t="s">
        <v>589</v>
      </c>
      <c r="BB181" s="72">
        <v>2</v>
      </c>
      <c r="BC181" s="72" t="s">
        <v>614</v>
      </c>
      <c r="BD181" s="72" t="s">
        <v>123</v>
      </c>
      <c r="BE181" s="72" t="s">
        <v>615</v>
      </c>
      <c r="BF181" s="72" t="s">
        <v>116</v>
      </c>
      <c r="BG181" s="76" t="s">
        <v>616</v>
      </c>
      <c r="BH181" s="72">
        <v>3</v>
      </c>
      <c r="BO181" s="72" t="s">
        <v>126</v>
      </c>
      <c r="BP181" s="72" t="s">
        <v>619</v>
      </c>
      <c r="BQ181" s="72" t="s">
        <v>591</v>
      </c>
      <c r="BR181" s="72" t="s">
        <v>592</v>
      </c>
      <c r="BS181" s="72">
        <v>1.1014021911698001E-2</v>
      </c>
      <c r="BT181" s="72">
        <v>2.36254276950408E-2</v>
      </c>
      <c r="BU181" s="72">
        <v>4.0653185006510502E-2</v>
      </c>
      <c r="BV181" s="72" t="s">
        <v>594</v>
      </c>
      <c r="BW181" s="72">
        <v>4</v>
      </c>
      <c r="BX181" s="72">
        <v>1.1343008800938201E-3</v>
      </c>
      <c r="BY181" s="72">
        <v>2.1477661540946099E-2</v>
      </c>
      <c r="BZ181" s="72">
        <v>4.2800951160605102E-2</v>
      </c>
      <c r="CA181" s="72" t="s">
        <v>594</v>
      </c>
      <c r="CB181" s="72">
        <v>4</v>
      </c>
      <c r="CC181" s="72" t="s">
        <v>596</v>
      </c>
      <c r="CD181" s="72" t="s">
        <v>618</v>
      </c>
    </row>
    <row r="182" spans="1:82" s="72" customFormat="1" ht="76">
      <c r="A182" s="72" t="s">
        <v>606</v>
      </c>
      <c r="B182" s="72" t="str">
        <f t="shared" si="0"/>
        <v>addtl5-2021</v>
      </c>
      <c r="C182" s="72">
        <v>2021</v>
      </c>
      <c r="D182" s="73" t="s">
        <v>607</v>
      </c>
      <c r="E182" s="74">
        <v>45033</v>
      </c>
      <c r="F182" s="72" t="s">
        <v>90</v>
      </c>
      <c r="G182" s="72" t="s">
        <v>495</v>
      </c>
      <c r="I182" s="75" t="s">
        <v>563</v>
      </c>
      <c r="J182" s="76" t="s">
        <v>608</v>
      </c>
      <c r="K182" s="72" t="s">
        <v>94</v>
      </c>
      <c r="L182" s="72" t="s">
        <v>94</v>
      </c>
      <c r="M182" s="72" t="s">
        <v>95</v>
      </c>
      <c r="N182" s="76" t="s">
        <v>609</v>
      </c>
      <c r="O182" s="72" t="s">
        <v>97</v>
      </c>
      <c r="P182" s="72" t="s">
        <v>97</v>
      </c>
      <c r="S182" s="72" t="s">
        <v>114</v>
      </c>
      <c r="T182" s="72" t="s">
        <v>98</v>
      </c>
      <c r="U182" s="77" t="s">
        <v>99</v>
      </c>
      <c r="V182" s="77">
        <v>1</v>
      </c>
      <c r="W182" s="77" t="s">
        <v>610</v>
      </c>
      <c r="X182" s="77" t="s">
        <v>611</v>
      </c>
      <c r="Y182" s="77" t="s">
        <v>568</v>
      </c>
      <c r="Z182" s="77" t="s">
        <v>569</v>
      </c>
      <c r="AA182" s="72" t="s">
        <v>612</v>
      </c>
      <c r="AB182" s="72" t="s">
        <v>105</v>
      </c>
      <c r="AC182" s="77"/>
      <c r="AD182" s="77"/>
      <c r="AE182" s="77"/>
      <c r="AF182" s="72">
        <v>3</v>
      </c>
      <c r="AG182" s="72" t="s">
        <v>90</v>
      </c>
      <c r="AH182" s="78" t="s">
        <v>613</v>
      </c>
      <c r="AI182" s="72" t="s">
        <v>110</v>
      </c>
      <c r="AJ182" s="77"/>
      <c r="AK182" s="77"/>
      <c r="AL182" s="77"/>
      <c r="AM182" s="77"/>
      <c r="AN182" s="77"/>
      <c r="AO182" s="77"/>
      <c r="AP182" s="72" t="s">
        <v>155</v>
      </c>
      <c r="AQ182" s="72" t="s">
        <v>119</v>
      </c>
      <c r="AR182" s="72" t="s">
        <v>114</v>
      </c>
      <c r="AS182" s="72" t="s">
        <v>120</v>
      </c>
      <c r="AT182" s="72" t="s">
        <v>116</v>
      </c>
      <c r="AU182" s="72" t="s">
        <v>587</v>
      </c>
      <c r="AV182" s="72">
        <v>2</v>
      </c>
      <c r="AW182" s="72" t="s">
        <v>588</v>
      </c>
      <c r="AX182" s="72" t="s">
        <v>119</v>
      </c>
      <c r="AY182" s="72" t="s">
        <v>120</v>
      </c>
      <c r="AZ182" s="72" t="s">
        <v>116</v>
      </c>
      <c r="BA182" s="76" t="s">
        <v>589</v>
      </c>
      <c r="BB182" s="72">
        <v>2</v>
      </c>
      <c r="BC182" s="72" t="s">
        <v>614</v>
      </c>
      <c r="BD182" s="72" t="s">
        <v>123</v>
      </c>
      <c r="BE182" s="72" t="s">
        <v>615</v>
      </c>
      <c r="BF182" s="72" t="s">
        <v>116</v>
      </c>
      <c r="BG182" s="76" t="s">
        <v>616</v>
      </c>
      <c r="BH182" s="72">
        <v>3</v>
      </c>
      <c r="BO182" s="72" t="s">
        <v>126</v>
      </c>
      <c r="BP182" s="72" t="s">
        <v>620</v>
      </c>
      <c r="BQ182" s="72" t="s">
        <v>591</v>
      </c>
      <c r="BR182" s="72" t="s">
        <v>592</v>
      </c>
      <c r="BS182" s="72">
        <v>4.5707234494141201E-3</v>
      </c>
      <c r="BT182" s="72">
        <v>1.20274871856988E-2</v>
      </c>
      <c r="BU182" s="72">
        <v>1.6168647572600801E-2</v>
      </c>
      <c r="BV182" s="72" t="s">
        <v>594</v>
      </c>
      <c r="BW182" s="72">
        <v>4</v>
      </c>
      <c r="BX182" s="72">
        <v>1.1343008800938201E-3</v>
      </c>
      <c r="BY182" s="72">
        <v>2.1477661540946099E-2</v>
      </c>
      <c r="BZ182" s="72">
        <v>4.2800951160605102E-2</v>
      </c>
      <c r="CA182" s="72" t="s">
        <v>594</v>
      </c>
      <c r="CB182" s="72">
        <v>4</v>
      </c>
      <c r="CC182" s="72" t="s">
        <v>596</v>
      </c>
      <c r="CD182" s="72" t="s">
        <v>618</v>
      </c>
    </row>
    <row r="183" spans="1:82" s="72" customFormat="1" ht="76">
      <c r="A183" s="72" t="s">
        <v>606</v>
      </c>
      <c r="B183" s="72" t="str">
        <f t="shared" si="0"/>
        <v>addtl5-2021</v>
      </c>
      <c r="C183" s="72">
        <v>2021</v>
      </c>
      <c r="D183" s="73" t="s">
        <v>607</v>
      </c>
      <c r="E183" s="74">
        <v>45033</v>
      </c>
      <c r="F183" s="72" t="s">
        <v>90</v>
      </c>
      <c r="G183" s="72" t="s">
        <v>495</v>
      </c>
      <c r="I183" s="75" t="s">
        <v>563</v>
      </c>
      <c r="J183" s="76" t="s">
        <v>608</v>
      </c>
      <c r="K183" s="72" t="s">
        <v>94</v>
      </c>
      <c r="L183" s="72" t="s">
        <v>94</v>
      </c>
      <c r="M183" s="72" t="s">
        <v>95</v>
      </c>
      <c r="N183" s="76" t="s">
        <v>609</v>
      </c>
      <c r="O183" s="72" t="s">
        <v>97</v>
      </c>
      <c r="P183" s="72" t="s">
        <v>97</v>
      </c>
      <c r="S183" s="72" t="s">
        <v>114</v>
      </c>
      <c r="T183" s="72" t="s">
        <v>98</v>
      </c>
      <c r="U183" s="77" t="s">
        <v>99</v>
      </c>
      <c r="V183" s="77">
        <v>1</v>
      </c>
      <c r="W183" s="77" t="s">
        <v>610</v>
      </c>
      <c r="X183" s="77" t="s">
        <v>611</v>
      </c>
      <c r="Y183" s="77" t="s">
        <v>568</v>
      </c>
      <c r="Z183" s="77" t="s">
        <v>569</v>
      </c>
      <c r="AA183" s="72" t="s">
        <v>612</v>
      </c>
      <c r="AB183" s="72" t="s">
        <v>105</v>
      </c>
      <c r="AC183" s="77"/>
      <c r="AD183" s="77"/>
      <c r="AE183" s="77"/>
      <c r="AF183" s="72">
        <v>3</v>
      </c>
      <c r="AG183" s="72" t="s">
        <v>90</v>
      </c>
      <c r="AH183" s="78" t="s">
        <v>613</v>
      </c>
      <c r="AI183" s="72" t="s">
        <v>110</v>
      </c>
      <c r="AJ183" s="77"/>
      <c r="AK183" s="77"/>
      <c r="AL183" s="77"/>
      <c r="AM183" s="77"/>
      <c r="AN183" s="77"/>
      <c r="AO183" s="77"/>
      <c r="AP183" s="72" t="s">
        <v>155</v>
      </c>
      <c r="AQ183" s="72" t="s">
        <v>119</v>
      </c>
      <c r="AR183" s="72" t="s">
        <v>114</v>
      </c>
      <c r="AS183" s="72" t="s">
        <v>120</v>
      </c>
      <c r="AT183" s="72" t="s">
        <v>116</v>
      </c>
      <c r="AU183" s="72" t="s">
        <v>587</v>
      </c>
      <c r="AV183" s="72">
        <v>2</v>
      </c>
      <c r="AW183" s="72" t="s">
        <v>588</v>
      </c>
      <c r="AX183" s="72" t="s">
        <v>119</v>
      </c>
      <c r="AY183" s="72" t="s">
        <v>120</v>
      </c>
      <c r="AZ183" s="72" t="s">
        <v>116</v>
      </c>
      <c r="BA183" s="76" t="s">
        <v>589</v>
      </c>
      <c r="BB183" s="72">
        <v>2</v>
      </c>
      <c r="BC183" s="72" t="s">
        <v>614</v>
      </c>
      <c r="BD183" s="72" t="s">
        <v>123</v>
      </c>
      <c r="BE183" s="72" t="s">
        <v>615</v>
      </c>
      <c r="BF183" s="72" t="s">
        <v>116</v>
      </c>
      <c r="BG183" s="76" t="s">
        <v>616</v>
      </c>
      <c r="BH183" s="72">
        <v>3</v>
      </c>
      <c r="BO183" s="72" t="s">
        <v>126</v>
      </c>
      <c r="BP183" s="72" t="s">
        <v>621</v>
      </c>
      <c r="BQ183" s="72" t="s">
        <v>591</v>
      </c>
      <c r="BR183" s="72" t="s">
        <v>592</v>
      </c>
      <c r="BS183" s="72">
        <v>1.57390681239333E-2</v>
      </c>
      <c r="BT183" s="72">
        <v>3.2491683452644103E-2</v>
      </c>
      <c r="BU183" s="72">
        <v>9.6065558336613802E-2</v>
      </c>
      <c r="BV183" s="72" t="s">
        <v>594</v>
      </c>
      <c r="BW183" s="72">
        <v>4</v>
      </c>
      <c r="BX183" s="72">
        <v>2.7517475506956199E-4</v>
      </c>
      <c r="BY183" s="72">
        <v>1.18731152644115E-2</v>
      </c>
      <c r="BZ183" s="72">
        <v>1.7457320373981799E-2</v>
      </c>
      <c r="CA183" s="72" t="s">
        <v>594</v>
      </c>
      <c r="CB183" s="72">
        <v>4</v>
      </c>
      <c r="CC183" s="72" t="s">
        <v>596</v>
      </c>
      <c r="CD183" s="72" t="s">
        <v>618</v>
      </c>
    </row>
    <row r="184" spans="1:82" s="72" customFormat="1" ht="76">
      <c r="A184" s="72" t="s">
        <v>606</v>
      </c>
      <c r="B184" s="72" t="str">
        <f t="shared" si="0"/>
        <v>addtl5-2021</v>
      </c>
      <c r="C184" s="72">
        <v>2021</v>
      </c>
      <c r="D184" s="73" t="s">
        <v>607</v>
      </c>
      <c r="E184" s="74">
        <v>45033</v>
      </c>
      <c r="F184" s="72" t="s">
        <v>90</v>
      </c>
      <c r="G184" s="72" t="s">
        <v>495</v>
      </c>
      <c r="I184" s="75" t="s">
        <v>563</v>
      </c>
      <c r="J184" s="76" t="s">
        <v>608</v>
      </c>
      <c r="K184" s="72" t="s">
        <v>94</v>
      </c>
      <c r="L184" s="72" t="s">
        <v>94</v>
      </c>
      <c r="M184" s="72" t="s">
        <v>95</v>
      </c>
      <c r="N184" s="76" t="s">
        <v>609</v>
      </c>
      <c r="O184" s="72" t="s">
        <v>97</v>
      </c>
      <c r="P184" s="72" t="s">
        <v>97</v>
      </c>
      <c r="S184" s="72" t="s">
        <v>114</v>
      </c>
      <c r="T184" s="72" t="s">
        <v>98</v>
      </c>
      <c r="U184" s="77" t="s">
        <v>99</v>
      </c>
      <c r="V184" s="77">
        <v>1</v>
      </c>
      <c r="W184" s="77" t="s">
        <v>610</v>
      </c>
      <c r="X184" s="77" t="s">
        <v>611</v>
      </c>
      <c r="Y184" s="77" t="s">
        <v>568</v>
      </c>
      <c r="Z184" s="77" t="s">
        <v>569</v>
      </c>
      <c r="AA184" s="72" t="s">
        <v>612</v>
      </c>
      <c r="AB184" s="72" t="s">
        <v>105</v>
      </c>
      <c r="AC184" s="77"/>
      <c r="AD184" s="77"/>
      <c r="AE184" s="77"/>
      <c r="AF184" s="72">
        <v>3</v>
      </c>
      <c r="AG184" s="72" t="s">
        <v>90</v>
      </c>
      <c r="AH184" s="78" t="s">
        <v>613</v>
      </c>
      <c r="AI184" s="72" t="s">
        <v>110</v>
      </c>
      <c r="AJ184" s="77"/>
      <c r="AK184" s="77"/>
      <c r="AL184" s="77"/>
      <c r="AM184" s="77"/>
      <c r="AN184" s="77"/>
      <c r="AO184" s="77"/>
      <c r="AP184" s="72" t="s">
        <v>155</v>
      </c>
      <c r="AQ184" s="72" t="s">
        <v>119</v>
      </c>
      <c r="AR184" s="72" t="s">
        <v>114</v>
      </c>
      <c r="AS184" s="72" t="s">
        <v>120</v>
      </c>
      <c r="AT184" s="72" t="s">
        <v>116</v>
      </c>
      <c r="AU184" s="72" t="s">
        <v>587</v>
      </c>
      <c r="AV184" s="72">
        <v>2</v>
      </c>
      <c r="AW184" s="72" t="s">
        <v>588</v>
      </c>
      <c r="AX184" s="72" t="s">
        <v>119</v>
      </c>
      <c r="AY184" s="72" t="s">
        <v>120</v>
      </c>
      <c r="AZ184" s="72" t="s">
        <v>116</v>
      </c>
      <c r="BA184" s="76" t="s">
        <v>589</v>
      </c>
      <c r="BB184" s="72">
        <v>2</v>
      </c>
      <c r="BC184" s="72" t="s">
        <v>614</v>
      </c>
      <c r="BD184" s="72" t="s">
        <v>123</v>
      </c>
      <c r="BE184" s="72" t="s">
        <v>615</v>
      </c>
      <c r="BF184" s="72" t="s">
        <v>116</v>
      </c>
      <c r="BG184" s="76" t="s">
        <v>616</v>
      </c>
      <c r="BH184" s="72">
        <v>3</v>
      </c>
      <c r="BO184" s="72" t="s">
        <v>126</v>
      </c>
      <c r="BP184" s="72" t="s">
        <v>622</v>
      </c>
      <c r="BQ184" s="72" t="s">
        <v>591</v>
      </c>
      <c r="BR184" s="72" t="s">
        <v>592</v>
      </c>
      <c r="BS184" s="72">
        <v>2.4229572953195699E-3</v>
      </c>
      <c r="BT184" s="72">
        <v>3.2491683452644103E-2</v>
      </c>
      <c r="BU184" s="72">
        <v>1.7457320373981799E-2</v>
      </c>
      <c r="BV184" s="72" t="s">
        <v>594</v>
      </c>
      <c r="BW184" s="72">
        <v>4</v>
      </c>
      <c r="BX184" s="72">
        <v>2.7517475506956199E-4</v>
      </c>
      <c r="BY184" s="72">
        <v>1.18731152644115E-2</v>
      </c>
      <c r="BZ184" s="72">
        <v>1.7457320373981799E-2</v>
      </c>
      <c r="CA184" s="72" t="s">
        <v>594</v>
      </c>
      <c r="CB184" s="72">
        <v>4</v>
      </c>
      <c r="CC184" s="72" t="s">
        <v>596</v>
      </c>
      <c r="CD184" s="72" t="s">
        <v>618</v>
      </c>
    </row>
    <row r="185" spans="1:82" s="72" customFormat="1" ht="76">
      <c r="A185" s="72" t="s">
        <v>606</v>
      </c>
      <c r="B185" s="72" t="str">
        <f t="shared" si="0"/>
        <v>addtl5-2021</v>
      </c>
      <c r="C185" s="72">
        <v>2021</v>
      </c>
      <c r="D185" s="73" t="s">
        <v>607</v>
      </c>
      <c r="E185" s="74">
        <v>45033</v>
      </c>
      <c r="F185" s="72" t="s">
        <v>90</v>
      </c>
      <c r="G185" s="72" t="s">
        <v>495</v>
      </c>
      <c r="I185" s="75" t="s">
        <v>563</v>
      </c>
      <c r="J185" s="76" t="s">
        <v>608</v>
      </c>
      <c r="K185" s="72" t="s">
        <v>94</v>
      </c>
      <c r="L185" s="72" t="s">
        <v>94</v>
      </c>
      <c r="M185" s="72" t="s">
        <v>95</v>
      </c>
      <c r="N185" s="76" t="s">
        <v>609</v>
      </c>
      <c r="O185" s="72" t="s">
        <v>97</v>
      </c>
      <c r="P185" s="72" t="s">
        <v>97</v>
      </c>
      <c r="S185" s="72" t="s">
        <v>114</v>
      </c>
      <c r="T185" s="72" t="s">
        <v>98</v>
      </c>
      <c r="U185" s="77" t="s">
        <v>99</v>
      </c>
      <c r="V185" s="77">
        <v>1</v>
      </c>
      <c r="W185" s="77" t="s">
        <v>610</v>
      </c>
      <c r="X185" s="77" t="s">
        <v>611</v>
      </c>
      <c r="Y185" s="77" t="s">
        <v>568</v>
      </c>
      <c r="Z185" s="77" t="s">
        <v>569</v>
      </c>
      <c r="AA185" s="72" t="s">
        <v>612</v>
      </c>
      <c r="AB185" s="72" t="s">
        <v>105</v>
      </c>
      <c r="AC185" s="77"/>
      <c r="AD185" s="77"/>
      <c r="AE185" s="77"/>
      <c r="AF185" s="72">
        <v>3</v>
      </c>
      <c r="AG185" s="72" t="s">
        <v>90</v>
      </c>
      <c r="AH185" s="78" t="s">
        <v>613</v>
      </c>
      <c r="AI185" s="72" t="s">
        <v>110</v>
      </c>
      <c r="AJ185" s="77"/>
      <c r="AK185" s="77"/>
      <c r="AL185" s="77"/>
      <c r="AM185" s="77"/>
      <c r="AN185" s="77"/>
      <c r="AO185" s="77"/>
      <c r="AP185" s="72" t="s">
        <v>155</v>
      </c>
      <c r="AQ185" s="72" t="s">
        <v>119</v>
      </c>
      <c r="AR185" s="72" t="s">
        <v>114</v>
      </c>
      <c r="AS185" s="72" t="s">
        <v>120</v>
      </c>
      <c r="AT185" s="72" t="s">
        <v>116</v>
      </c>
      <c r="AU185" s="72" t="s">
        <v>587</v>
      </c>
      <c r="AV185" s="72">
        <v>2</v>
      </c>
      <c r="AW185" s="72" t="s">
        <v>588</v>
      </c>
      <c r="AX185" s="72" t="s">
        <v>119</v>
      </c>
      <c r="AY185" s="72" t="s">
        <v>120</v>
      </c>
      <c r="AZ185" s="72" t="s">
        <v>116</v>
      </c>
      <c r="BA185" s="76" t="s">
        <v>589</v>
      </c>
      <c r="BB185" s="72">
        <v>2</v>
      </c>
      <c r="BC185" s="72" t="s">
        <v>614</v>
      </c>
      <c r="BD185" s="72" t="s">
        <v>123</v>
      </c>
      <c r="BE185" s="72" t="s">
        <v>615</v>
      </c>
      <c r="BF185" s="72" t="s">
        <v>116</v>
      </c>
      <c r="BG185" s="76" t="s">
        <v>616</v>
      </c>
      <c r="BH185" s="72">
        <v>3</v>
      </c>
      <c r="BO185" s="72" t="s">
        <v>126</v>
      </c>
      <c r="BP185" s="72" t="s">
        <v>623</v>
      </c>
      <c r="BQ185" s="72" t="s">
        <v>591</v>
      </c>
      <c r="BR185" s="72" t="s">
        <v>592</v>
      </c>
      <c r="BS185" s="72">
        <v>7.5775829562223403E-3</v>
      </c>
      <c r="BT185" s="72">
        <v>1.18731152644115E-2</v>
      </c>
      <c r="BU185" s="72">
        <v>1.7457320373981799E-2</v>
      </c>
      <c r="BV185" s="72" t="s">
        <v>594</v>
      </c>
      <c r="BW185" s="72">
        <v>4</v>
      </c>
      <c r="BX185" s="72">
        <v>2.7517475506956199E-4</v>
      </c>
      <c r="BY185" s="72">
        <v>1.18731152644115E-2</v>
      </c>
      <c r="BZ185" s="72">
        <v>1.7457320373981799E-2</v>
      </c>
      <c r="CA185" s="72" t="s">
        <v>594</v>
      </c>
      <c r="CB185" s="72">
        <v>4</v>
      </c>
      <c r="CC185" s="72" t="s">
        <v>596</v>
      </c>
      <c r="CD185" s="72" t="s">
        <v>618</v>
      </c>
    </row>
    <row r="186" spans="1:82" s="72" customFormat="1" ht="76">
      <c r="A186" s="72" t="s">
        <v>606</v>
      </c>
      <c r="B186" s="72" t="str">
        <f t="shared" si="0"/>
        <v>addtl5-2021</v>
      </c>
      <c r="C186" s="72">
        <v>2021</v>
      </c>
      <c r="D186" s="73" t="s">
        <v>607</v>
      </c>
      <c r="E186" s="74">
        <v>45033</v>
      </c>
      <c r="F186" s="72" t="s">
        <v>90</v>
      </c>
      <c r="G186" s="72" t="s">
        <v>495</v>
      </c>
      <c r="I186" s="75" t="s">
        <v>563</v>
      </c>
      <c r="J186" s="76" t="s">
        <v>608</v>
      </c>
      <c r="K186" s="72" t="s">
        <v>94</v>
      </c>
      <c r="L186" s="72" t="s">
        <v>94</v>
      </c>
      <c r="M186" s="72" t="s">
        <v>95</v>
      </c>
      <c r="N186" s="76" t="s">
        <v>609</v>
      </c>
      <c r="O186" s="72" t="s">
        <v>97</v>
      </c>
      <c r="P186" s="72" t="s">
        <v>97</v>
      </c>
      <c r="S186" s="72" t="s">
        <v>114</v>
      </c>
      <c r="T186" s="72" t="s">
        <v>98</v>
      </c>
      <c r="U186" s="77" t="s">
        <v>99</v>
      </c>
      <c r="V186" s="77">
        <v>1</v>
      </c>
      <c r="W186" s="77" t="s">
        <v>610</v>
      </c>
      <c r="X186" s="77" t="s">
        <v>611</v>
      </c>
      <c r="Y186" s="77" t="s">
        <v>568</v>
      </c>
      <c r="Z186" s="77" t="s">
        <v>569</v>
      </c>
      <c r="AA186" s="72" t="s">
        <v>612</v>
      </c>
      <c r="AB186" s="72" t="s">
        <v>105</v>
      </c>
      <c r="AC186" s="77"/>
      <c r="AD186" s="77"/>
      <c r="AE186" s="77"/>
      <c r="AF186" s="72">
        <v>3</v>
      </c>
      <c r="AG186" s="72" t="s">
        <v>90</v>
      </c>
      <c r="AH186" s="78" t="s">
        <v>613</v>
      </c>
      <c r="AI186" s="72" t="s">
        <v>110</v>
      </c>
      <c r="AJ186" s="77"/>
      <c r="AK186" s="77"/>
      <c r="AL186" s="77"/>
      <c r="AM186" s="77"/>
      <c r="AN186" s="77"/>
      <c r="AO186" s="77"/>
      <c r="AP186" s="72" t="s">
        <v>155</v>
      </c>
      <c r="AQ186" s="72" t="s">
        <v>119</v>
      </c>
      <c r="AR186" s="72" t="s">
        <v>114</v>
      </c>
      <c r="AS186" s="72" t="s">
        <v>120</v>
      </c>
      <c r="AT186" s="72" t="s">
        <v>116</v>
      </c>
      <c r="AU186" s="72" t="s">
        <v>587</v>
      </c>
      <c r="AV186" s="72">
        <v>2</v>
      </c>
      <c r="AW186" s="72" t="s">
        <v>588</v>
      </c>
      <c r="AX186" s="72" t="s">
        <v>119</v>
      </c>
      <c r="AY186" s="72" t="s">
        <v>120</v>
      </c>
      <c r="AZ186" s="72" t="s">
        <v>116</v>
      </c>
      <c r="BA186" s="76" t="s">
        <v>589</v>
      </c>
      <c r="BB186" s="72">
        <v>2</v>
      </c>
      <c r="BC186" s="72" t="s">
        <v>614</v>
      </c>
      <c r="BD186" s="72" t="s">
        <v>123</v>
      </c>
      <c r="BE186" s="72" t="s">
        <v>615</v>
      </c>
      <c r="BF186" s="72" t="s">
        <v>116</v>
      </c>
      <c r="BG186" s="76" t="s">
        <v>616</v>
      </c>
      <c r="BH186" s="72">
        <v>3</v>
      </c>
      <c r="BO186" s="72">
        <v>5</v>
      </c>
      <c r="BP186" s="72" t="s">
        <v>624</v>
      </c>
      <c r="BQ186" s="72" t="s">
        <v>591</v>
      </c>
      <c r="BR186" s="72" t="s">
        <v>592</v>
      </c>
      <c r="BS186" s="72">
        <v>1.5638475564506199E-3</v>
      </c>
      <c r="BT186" s="72">
        <v>2.85247119936563E-3</v>
      </c>
      <c r="BU186" s="72">
        <v>6.7184896035087597E-3</v>
      </c>
      <c r="BV186" s="72" t="s">
        <v>594</v>
      </c>
      <c r="BW186" s="72">
        <v>4</v>
      </c>
      <c r="BX186" s="72">
        <v>2.0034600432122501E-2</v>
      </c>
      <c r="BY186" s="72">
        <v>7.5775829562223403E-3</v>
      </c>
      <c r="BZ186" s="72">
        <v>2.4229572953195699E-3</v>
      </c>
      <c r="CA186" s="72" t="s">
        <v>594</v>
      </c>
      <c r="CB186" s="72">
        <v>4</v>
      </c>
      <c r="CC186" s="72" t="s">
        <v>596</v>
      </c>
      <c r="CD186" s="72" t="s">
        <v>618</v>
      </c>
    </row>
    <row r="187" spans="1:82" s="72" customFormat="1" ht="76">
      <c r="A187" s="72" t="s">
        <v>606</v>
      </c>
      <c r="B187" s="72" t="str">
        <f t="shared" si="0"/>
        <v>addtl5-2021</v>
      </c>
      <c r="C187" s="72">
        <v>2021</v>
      </c>
      <c r="D187" s="73" t="s">
        <v>607</v>
      </c>
      <c r="E187" s="74">
        <v>45033</v>
      </c>
      <c r="F187" s="72" t="s">
        <v>90</v>
      </c>
      <c r="G187" s="72" t="s">
        <v>495</v>
      </c>
      <c r="I187" s="75" t="s">
        <v>563</v>
      </c>
      <c r="J187" s="76" t="s">
        <v>608</v>
      </c>
      <c r="K187" s="72" t="s">
        <v>94</v>
      </c>
      <c r="L187" s="72" t="s">
        <v>94</v>
      </c>
      <c r="M187" s="72" t="s">
        <v>95</v>
      </c>
      <c r="N187" s="76" t="s">
        <v>609</v>
      </c>
      <c r="O187" s="72" t="s">
        <v>97</v>
      </c>
      <c r="P187" s="72" t="s">
        <v>97</v>
      </c>
      <c r="S187" s="72" t="s">
        <v>114</v>
      </c>
      <c r="T187" s="72" t="s">
        <v>98</v>
      </c>
      <c r="U187" s="77" t="s">
        <v>99</v>
      </c>
      <c r="V187" s="77">
        <v>1</v>
      </c>
      <c r="W187" s="77" t="s">
        <v>610</v>
      </c>
      <c r="X187" s="77" t="s">
        <v>611</v>
      </c>
      <c r="Y187" s="77" t="s">
        <v>568</v>
      </c>
      <c r="Z187" s="77" t="s">
        <v>569</v>
      </c>
      <c r="AA187" s="72" t="s">
        <v>612</v>
      </c>
      <c r="AB187" s="72" t="s">
        <v>105</v>
      </c>
      <c r="AC187" s="77"/>
      <c r="AD187" s="77"/>
      <c r="AE187" s="77"/>
      <c r="AF187" s="72">
        <v>3</v>
      </c>
      <c r="AG187" s="72" t="s">
        <v>90</v>
      </c>
      <c r="AH187" s="78" t="s">
        <v>613</v>
      </c>
      <c r="AI187" s="72" t="s">
        <v>110</v>
      </c>
      <c r="AJ187" s="77"/>
      <c r="AK187" s="77"/>
      <c r="AL187" s="77"/>
      <c r="AM187" s="77"/>
      <c r="AN187" s="77"/>
      <c r="AO187" s="77"/>
      <c r="AP187" s="72" t="s">
        <v>155</v>
      </c>
      <c r="AQ187" s="72" t="s">
        <v>119</v>
      </c>
      <c r="AR187" s="72" t="s">
        <v>114</v>
      </c>
      <c r="AS187" s="72" t="s">
        <v>120</v>
      </c>
      <c r="AT187" s="72" t="s">
        <v>116</v>
      </c>
      <c r="AU187" s="72" t="s">
        <v>587</v>
      </c>
      <c r="AV187" s="72">
        <v>2</v>
      </c>
      <c r="AW187" s="72" t="s">
        <v>588</v>
      </c>
      <c r="AX187" s="72" t="s">
        <v>119</v>
      </c>
      <c r="AY187" s="72" t="s">
        <v>120</v>
      </c>
      <c r="AZ187" s="72" t="s">
        <v>116</v>
      </c>
      <c r="BA187" s="76" t="s">
        <v>589</v>
      </c>
      <c r="BB187" s="72">
        <v>2</v>
      </c>
      <c r="BC187" s="72" t="s">
        <v>614</v>
      </c>
      <c r="BD187" s="72" t="s">
        <v>123</v>
      </c>
      <c r="BE187" s="72" t="s">
        <v>615</v>
      </c>
      <c r="BF187" s="72" t="s">
        <v>116</v>
      </c>
      <c r="BG187" s="76" t="s">
        <v>616</v>
      </c>
      <c r="BH187" s="72">
        <v>3</v>
      </c>
      <c r="BO187" s="72">
        <v>5</v>
      </c>
      <c r="BP187" s="72" t="s">
        <v>625</v>
      </c>
      <c r="BQ187" s="72" t="s">
        <v>591</v>
      </c>
      <c r="BR187" s="72" t="s">
        <v>592</v>
      </c>
      <c r="BS187" s="72">
        <v>3.2820506480331201E-3</v>
      </c>
      <c r="BT187" s="72">
        <v>6.7184896035087597E-3</v>
      </c>
      <c r="BU187" s="72">
        <v>3.2062120390132003E-2</v>
      </c>
      <c r="BV187" s="72" t="s">
        <v>594</v>
      </c>
      <c r="BW187" s="72">
        <v>4</v>
      </c>
      <c r="BX187" s="72">
        <v>2.0034600432122501E-2</v>
      </c>
      <c r="BY187" s="72">
        <v>7.5775829562223403E-3</v>
      </c>
      <c r="BZ187" s="72">
        <v>2.4229572953195699E-3</v>
      </c>
      <c r="CA187" s="72" t="s">
        <v>594</v>
      </c>
      <c r="CB187" s="72">
        <v>4</v>
      </c>
      <c r="CC187" s="72" t="s">
        <v>596</v>
      </c>
      <c r="CD187" s="72" t="s">
        <v>618</v>
      </c>
    </row>
    <row r="188" spans="1:82" s="72" customFormat="1" ht="76">
      <c r="A188" s="72" t="s">
        <v>606</v>
      </c>
      <c r="B188" s="72" t="str">
        <f t="shared" si="0"/>
        <v>addtl5-2021</v>
      </c>
      <c r="C188" s="72">
        <v>2021</v>
      </c>
      <c r="D188" s="73" t="s">
        <v>607</v>
      </c>
      <c r="E188" s="74">
        <v>45033</v>
      </c>
      <c r="F188" s="72" t="s">
        <v>90</v>
      </c>
      <c r="G188" s="72" t="s">
        <v>495</v>
      </c>
      <c r="I188" s="75" t="s">
        <v>563</v>
      </c>
      <c r="J188" s="76" t="s">
        <v>608</v>
      </c>
      <c r="K188" s="72" t="s">
        <v>94</v>
      </c>
      <c r="L188" s="72" t="s">
        <v>94</v>
      </c>
      <c r="M188" s="72" t="s">
        <v>95</v>
      </c>
      <c r="N188" s="76" t="s">
        <v>609</v>
      </c>
      <c r="O188" s="72" t="s">
        <v>97</v>
      </c>
      <c r="P188" s="72" t="s">
        <v>97</v>
      </c>
      <c r="S188" s="72" t="s">
        <v>114</v>
      </c>
      <c r="T188" s="72" t="s">
        <v>98</v>
      </c>
      <c r="U188" s="77" t="s">
        <v>99</v>
      </c>
      <c r="V188" s="77">
        <v>1</v>
      </c>
      <c r="W188" s="77" t="s">
        <v>610</v>
      </c>
      <c r="X188" s="77" t="s">
        <v>611</v>
      </c>
      <c r="Y188" s="77" t="s">
        <v>568</v>
      </c>
      <c r="Z188" s="77" t="s">
        <v>569</v>
      </c>
      <c r="AA188" s="72" t="s">
        <v>612</v>
      </c>
      <c r="AB188" s="72" t="s">
        <v>105</v>
      </c>
      <c r="AC188" s="77"/>
      <c r="AD188" s="77"/>
      <c r="AE188" s="77"/>
      <c r="AF188" s="72">
        <v>3</v>
      </c>
      <c r="AG188" s="72" t="s">
        <v>90</v>
      </c>
      <c r="AH188" s="78" t="s">
        <v>613</v>
      </c>
      <c r="AI188" s="72" t="s">
        <v>110</v>
      </c>
      <c r="AJ188" s="77"/>
      <c r="AK188" s="77"/>
      <c r="AL188" s="77"/>
      <c r="AM188" s="77"/>
      <c r="AN188" s="77"/>
      <c r="AO188" s="77"/>
      <c r="AP188" s="72" t="s">
        <v>155</v>
      </c>
      <c r="AQ188" s="72" t="s">
        <v>119</v>
      </c>
      <c r="AR188" s="72" t="s">
        <v>114</v>
      </c>
      <c r="AS188" s="72" t="s">
        <v>120</v>
      </c>
      <c r="AT188" s="72" t="s">
        <v>116</v>
      </c>
      <c r="AU188" s="72" t="s">
        <v>587</v>
      </c>
      <c r="AV188" s="72">
        <v>2</v>
      </c>
      <c r="AW188" s="72" t="s">
        <v>588</v>
      </c>
      <c r="AX188" s="72" t="s">
        <v>119</v>
      </c>
      <c r="AY188" s="72" t="s">
        <v>120</v>
      </c>
      <c r="AZ188" s="72" t="s">
        <v>116</v>
      </c>
      <c r="BA188" s="76" t="s">
        <v>589</v>
      </c>
      <c r="BB188" s="72">
        <v>2</v>
      </c>
      <c r="BC188" s="72" t="s">
        <v>614</v>
      </c>
      <c r="BD188" s="72" t="s">
        <v>123</v>
      </c>
      <c r="BE188" s="72" t="s">
        <v>615</v>
      </c>
      <c r="BF188" s="72" t="s">
        <v>116</v>
      </c>
      <c r="BG188" s="76" t="s">
        <v>616</v>
      </c>
      <c r="BH188" s="72">
        <v>3</v>
      </c>
      <c r="BO188" s="72">
        <v>5</v>
      </c>
      <c r="BP188" s="72" t="s">
        <v>626</v>
      </c>
      <c r="BQ188" s="72" t="s">
        <v>591</v>
      </c>
      <c r="BR188" s="72" t="s">
        <v>592</v>
      </c>
      <c r="BS188" s="72">
        <v>4.1411603869020404E-3</v>
      </c>
      <c r="BT188" s="72">
        <v>7.5775829562223403E-3</v>
      </c>
      <c r="BU188" s="72">
        <v>1.18731152644115E-2</v>
      </c>
      <c r="BV188" s="72" t="s">
        <v>594</v>
      </c>
      <c r="BW188" s="72">
        <v>4</v>
      </c>
      <c r="BX188" s="72">
        <v>2.0034600432122501E-2</v>
      </c>
      <c r="BY188" s="72">
        <v>7.5775829562223403E-3</v>
      </c>
      <c r="BZ188" s="72">
        <v>2.4229572953195699E-3</v>
      </c>
      <c r="CA188" s="72" t="s">
        <v>594</v>
      </c>
      <c r="CB188" s="72">
        <v>4</v>
      </c>
      <c r="CC188" s="72" t="s">
        <v>596</v>
      </c>
      <c r="CD188" s="72" t="s">
        <v>618</v>
      </c>
    </row>
    <row r="189" spans="1:82" s="72" customFormat="1" ht="76">
      <c r="A189" s="72" t="s">
        <v>606</v>
      </c>
      <c r="B189" s="72" t="str">
        <f t="shared" si="0"/>
        <v>addtl5-2021</v>
      </c>
      <c r="C189" s="72">
        <v>2021</v>
      </c>
      <c r="D189" s="73" t="s">
        <v>607</v>
      </c>
      <c r="E189" s="74">
        <v>45033</v>
      </c>
      <c r="F189" s="72" t="s">
        <v>90</v>
      </c>
      <c r="G189" s="72" t="s">
        <v>495</v>
      </c>
      <c r="I189" s="75" t="s">
        <v>563</v>
      </c>
      <c r="J189" s="76" t="s">
        <v>608</v>
      </c>
      <c r="K189" s="72" t="s">
        <v>94</v>
      </c>
      <c r="L189" s="72" t="s">
        <v>94</v>
      </c>
      <c r="M189" s="72" t="s">
        <v>95</v>
      </c>
      <c r="N189" s="76" t="s">
        <v>609</v>
      </c>
      <c r="O189" s="72" t="s">
        <v>97</v>
      </c>
      <c r="P189" s="72" t="s">
        <v>97</v>
      </c>
      <c r="S189" s="72" t="s">
        <v>114</v>
      </c>
      <c r="T189" s="72" t="s">
        <v>98</v>
      </c>
      <c r="U189" s="77" t="s">
        <v>99</v>
      </c>
      <c r="V189" s="77">
        <v>1</v>
      </c>
      <c r="W189" s="77" t="s">
        <v>610</v>
      </c>
      <c r="X189" s="77" t="s">
        <v>611</v>
      </c>
      <c r="Y189" s="77" t="s">
        <v>568</v>
      </c>
      <c r="Z189" s="77" t="s">
        <v>569</v>
      </c>
      <c r="AA189" s="72" t="s">
        <v>612</v>
      </c>
      <c r="AB189" s="72" t="s">
        <v>105</v>
      </c>
      <c r="AC189" s="77"/>
      <c r="AD189" s="77"/>
      <c r="AE189" s="77"/>
      <c r="AF189" s="72">
        <v>3</v>
      </c>
      <c r="AG189" s="72" t="s">
        <v>90</v>
      </c>
      <c r="AH189" s="78" t="s">
        <v>613</v>
      </c>
      <c r="AI189" s="72" t="s">
        <v>110</v>
      </c>
      <c r="AJ189" s="77"/>
      <c r="AK189" s="77"/>
      <c r="AL189" s="77"/>
      <c r="AM189" s="77"/>
      <c r="AN189" s="77"/>
      <c r="AO189" s="77"/>
      <c r="AP189" s="72" t="s">
        <v>155</v>
      </c>
      <c r="AQ189" s="72" t="s">
        <v>119</v>
      </c>
      <c r="AR189" s="72" t="s">
        <v>114</v>
      </c>
      <c r="AS189" s="72" t="s">
        <v>120</v>
      </c>
      <c r="AT189" s="72" t="s">
        <v>116</v>
      </c>
      <c r="AU189" s="72" t="s">
        <v>587</v>
      </c>
      <c r="AV189" s="72">
        <v>2</v>
      </c>
      <c r="AW189" s="72" t="s">
        <v>588</v>
      </c>
      <c r="AX189" s="72" t="s">
        <v>119</v>
      </c>
      <c r="AY189" s="72" t="s">
        <v>120</v>
      </c>
      <c r="AZ189" s="72" t="s">
        <v>116</v>
      </c>
      <c r="BA189" s="76" t="s">
        <v>589</v>
      </c>
      <c r="BB189" s="72">
        <v>2</v>
      </c>
      <c r="BC189" s="72" t="s">
        <v>614</v>
      </c>
      <c r="BD189" s="72" t="s">
        <v>123</v>
      </c>
      <c r="BE189" s="72" t="s">
        <v>615</v>
      </c>
      <c r="BF189" s="72" t="s">
        <v>116</v>
      </c>
      <c r="BG189" s="76" t="s">
        <v>616</v>
      </c>
      <c r="BH189" s="72">
        <v>3</v>
      </c>
      <c r="BO189" s="72">
        <v>5</v>
      </c>
      <c r="BP189" s="72" t="s">
        <v>627</v>
      </c>
      <c r="BQ189" s="72" t="s">
        <v>591</v>
      </c>
      <c r="BR189" s="72" t="s">
        <v>592</v>
      </c>
      <c r="BS189" s="72">
        <v>7.0472143142633395E-4</v>
      </c>
      <c r="BT189" s="72">
        <v>7.5775829562223403E-3</v>
      </c>
      <c r="BU189" s="72">
        <v>1.3161788065792599E-2</v>
      </c>
      <c r="BV189" s="72" t="s">
        <v>594</v>
      </c>
      <c r="BW189" s="72">
        <v>4</v>
      </c>
      <c r="BX189" s="72">
        <v>-1.54371921287209E-4</v>
      </c>
      <c r="BY189" s="72">
        <v>1.9933942328074299E-3</v>
      </c>
      <c r="BZ189" s="72">
        <v>7.1480035075548801E-3</v>
      </c>
      <c r="CA189" s="72" t="s">
        <v>594</v>
      </c>
      <c r="CB189" s="72">
        <v>4</v>
      </c>
      <c r="CC189" s="72" t="s">
        <v>596</v>
      </c>
      <c r="CD189" s="72" t="s">
        <v>618</v>
      </c>
    </row>
    <row r="190" spans="1:82" s="72" customFormat="1" ht="76">
      <c r="A190" s="72" t="s">
        <v>606</v>
      </c>
      <c r="B190" s="72" t="str">
        <f t="shared" si="0"/>
        <v>addtl5-2021</v>
      </c>
      <c r="C190" s="72">
        <v>2021</v>
      </c>
      <c r="D190" s="73" t="s">
        <v>607</v>
      </c>
      <c r="E190" s="74">
        <v>45033</v>
      </c>
      <c r="F190" s="72" t="s">
        <v>90</v>
      </c>
      <c r="G190" s="72" t="s">
        <v>495</v>
      </c>
      <c r="I190" s="75" t="s">
        <v>563</v>
      </c>
      <c r="J190" s="76" t="s">
        <v>608</v>
      </c>
      <c r="K190" s="72" t="s">
        <v>94</v>
      </c>
      <c r="L190" s="72" t="s">
        <v>94</v>
      </c>
      <c r="M190" s="72" t="s">
        <v>95</v>
      </c>
      <c r="N190" s="76" t="s">
        <v>609</v>
      </c>
      <c r="O190" s="72" t="s">
        <v>97</v>
      </c>
      <c r="P190" s="72" t="s">
        <v>97</v>
      </c>
      <c r="S190" s="72" t="s">
        <v>114</v>
      </c>
      <c r="T190" s="72" t="s">
        <v>98</v>
      </c>
      <c r="U190" s="77" t="s">
        <v>99</v>
      </c>
      <c r="V190" s="77">
        <v>1</v>
      </c>
      <c r="W190" s="77" t="s">
        <v>610</v>
      </c>
      <c r="X190" s="77" t="s">
        <v>611</v>
      </c>
      <c r="Y190" s="77" t="s">
        <v>568</v>
      </c>
      <c r="Z190" s="77" t="s">
        <v>569</v>
      </c>
      <c r="AA190" s="72" t="s">
        <v>612</v>
      </c>
      <c r="AB190" s="72" t="s">
        <v>105</v>
      </c>
      <c r="AC190" s="77"/>
      <c r="AD190" s="77"/>
      <c r="AE190" s="77"/>
      <c r="AF190" s="72">
        <v>3</v>
      </c>
      <c r="AG190" s="72" t="s">
        <v>90</v>
      </c>
      <c r="AH190" s="78" t="s">
        <v>613</v>
      </c>
      <c r="AI190" s="72" t="s">
        <v>110</v>
      </c>
      <c r="AJ190" s="77"/>
      <c r="AK190" s="77"/>
      <c r="AL190" s="77"/>
      <c r="AM190" s="77"/>
      <c r="AN190" s="77"/>
      <c r="AO190" s="77"/>
      <c r="AP190" s="72" t="s">
        <v>155</v>
      </c>
      <c r="AQ190" s="72" t="s">
        <v>119</v>
      </c>
      <c r="AR190" s="72" t="s">
        <v>114</v>
      </c>
      <c r="AS190" s="72" t="s">
        <v>120</v>
      </c>
      <c r="AT190" s="72" t="s">
        <v>116</v>
      </c>
      <c r="AU190" s="72" t="s">
        <v>587</v>
      </c>
      <c r="AV190" s="72">
        <v>2</v>
      </c>
      <c r="AW190" s="72" t="s">
        <v>588</v>
      </c>
      <c r="AX190" s="72" t="s">
        <v>119</v>
      </c>
      <c r="AY190" s="72" t="s">
        <v>120</v>
      </c>
      <c r="AZ190" s="72" t="s">
        <v>116</v>
      </c>
      <c r="BA190" s="76" t="s">
        <v>589</v>
      </c>
      <c r="BB190" s="72">
        <v>2</v>
      </c>
      <c r="BC190" s="72" t="s">
        <v>614</v>
      </c>
      <c r="BD190" s="72" t="s">
        <v>123</v>
      </c>
      <c r="BE190" s="72" t="s">
        <v>615</v>
      </c>
      <c r="BF190" s="72" t="s">
        <v>116</v>
      </c>
      <c r="BG190" s="76" t="s">
        <v>616</v>
      </c>
      <c r="BH190" s="72">
        <v>3</v>
      </c>
      <c r="BO190" s="72">
        <v>5</v>
      </c>
      <c r="BP190" s="72" t="s">
        <v>628</v>
      </c>
      <c r="BQ190" s="72" t="s">
        <v>591</v>
      </c>
      <c r="BR190" s="72" t="s">
        <v>592</v>
      </c>
      <c r="BS190" s="72">
        <v>5.0002373534602396E-3</v>
      </c>
      <c r="BT190" s="72">
        <v>8.8662557576033706E-3</v>
      </c>
      <c r="BU190" s="72">
        <v>2.1323289619658899E-2</v>
      </c>
      <c r="BV190" s="72" t="s">
        <v>594</v>
      </c>
      <c r="BW190" s="72">
        <v>4</v>
      </c>
      <c r="BX190" s="72">
        <v>-1.54371921287209E-4</v>
      </c>
      <c r="BY190" s="72">
        <v>1.9933942328074299E-3</v>
      </c>
      <c r="BZ190" s="72">
        <v>7.1480035075548801E-3</v>
      </c>
      <c r="CA190" s="72" t="s">
        <v>594</v>
      </c>
      <c r="CB190" s="72">
        <v>4</v>
      </c>
      <c r="CC190" s="72" t="s">
        <v>596</v>
      </c>
      <c r="CD190" s="72" t="s">
        <v>618</v>
      </c>
    </row>
    <row r="191" spans="1:82" s="72" customFormat="1" ht="76">
      <c r="A191" s="72" t="s">
        <v>606</v>
      </c>
      <c r="B191" s="72" t="str">
        <f t="shared" si="0"/>
        <v>addtl5-2021</v>
      </c>
      <c r="C191" s="72">
        <v>2021</v>
      </c>
      <c r="D191" s="73" t="s">
        <v>607</v>
      </c>
      <c r="E191" s="74">
        <v>45033</v>
      </c>
      <c r="F191" s="72" t="s">
        <v>90</v>
      </c>
      <c r="G191" s="72" t="s">
        <v>495</v>
      </c>
      <c r="I191" s="75" t="s">
        <v>563</v>
      </c>
      <c r="J191" s="76" t="s">
        <v>608</v>
      </c>
      <c r="K191" s="72" t="s">
        <v>94</v>
      </c>
      <c r="L191" s="72" t="s">
        <v>94</v>
      </c>
      <c r="M191" s="72" t="s">
        <v>95</v>
      </c>
      <c r="N191" s="76" t="s">
        <v>609</v>
      </c>
      <c r="O191" s="72" t="s">
        <v>97</v>
      </c>
      <c r="P191" s="72" t="s">
        <v>97</v>
      </c>
      <c r="S191" s="72" t="s">
        <v>114</v>
      </c>
      <c r="T191" s="72" t="s">
        <v>98</v>
      </c>
      <c r="U191" s="77" t="s">
        <v>99</v>
      </c>
      <c r="V191" s="77">
        <v>1</v>
      </c>
      <c r="W191" s="77" t="s">
        <v>610</v>
      </c>
      <c r="X191" s="77" t="s">
        <v>611</v>
      </c>
      <c r="Y191" s="77" t="s">
        <v>568</v>
      </c>
      <c r="Z191" s="77" t="s">
        <v>569</v>
      </c>
      <c r="AA191" s="72" t="s">
        <v>612</v>
      </c>
      <c r="AB191" s="72" t="s">
        <v>105</v>
      </c>
      <c r="AC191" s="77"/>
      <c r="AD191" s="77"/>
      <c r="AE191" s="77"/>
      <c r="AF191" s="72">
        <v>3</v>
      </c>
      <c r="AG191" s="72" t="s">
        <v>90</v>
      </c>
      <c r="AH191" s="78" t="s">
        <v>613</v>
      </c>
      <c r="AI191" s="72" t="s">
        <v>110</v>
      </c>
      <c r="AJ191" s="77"/>
      <c r="AK191" s="77"/>
      <c r="AL191" s="77"/>
      <c r="AM191" s="77"/>
      <c r="AN191" s="77"/>
      <c r="AO191" s="77"/>
      <c r="AP191" s="72" t="s">
        <v>155</v>
      </c>
      <c r="AQ191" s="72" t="s">
        <v>119</v>
      </c>
      <c r="AR191" s="72" t="s">
        <v>114</v>
      </c>
      <c r="AS191" s="72" t="s">
        <v>120</v>
      </c>
      <c r="AT191" s="72" t="s">
        <v>116</v>
      </c>
      <c r="AU191" s="72" t="s">
        <v>587</v>
      </c>
      <c r="AV191" s="72">
        <v>2</v>
      </c>
      <c r="AW191" s="72" t="s">
        <v>588</v>
      </c>
      <c r="AX191" s="72" t="s">
        <v>119</v>
      </c>
      <c r="AY191" s="72" t="s">
        <v>120</v>
      </c>
      <c r="AZ191" s="72" t="s">
        <v>116</v>
      </c>
      <c r="BA191" s="76" t="s">
        <v>589</v>
      </c>
      <c r="BB191" s="72">
        <v>2</v>
      </c>
      <c r="BC191" s="72" t="s">
        <v>614</v>
      </c>
      <c r="BD191" s="72" t="s">
        <v>123</v>
      </c>
      <c r="BE191" s="72" t="s">
        <v>615</v>
      </c>
      <c r="BF191" s="72" t="s">
        <v>116</v>
      </c>
      <c r="BG191" s="76" t="s">
        <v>616</v>
      </c>
      <c r="BH191" s="72">
        <v>3</v>
      </c>
      <c r="BO191" s="72">
        <v>5</v>
      </c>
      <c r="BP191" s="72" t="s">
        <v>629</v>
      </c>
      <c r="BQ191" s="72" t="s">
        <v>591</v>
      </c>
      <c r="BR191" s="72" t="s">
        <v>592</v>
      </c>
      <c r="BS191" s="72">
        <v>-1.54371921287209E-4</v>
      </c>
      <c r="BT191" s="72">
        <v>1.5638475564506199E-3</v>
      </c>
      <c r="BU191" s="72">
        <v>6.7184896035087597E-3</v>
      </c>
      <c r="BV191" s="72" t="s">
        <v>594</v>
      </c>
      <c r="BW191" s="72">
        <v>4</v>
      </c>
      <c r="BX191" s="72">
        <v>-1.54371921287209E-4</v>
      </c>
      <c r="BY191" s="72">
        <v>1.9933942328074299E-3</v>
      </c>
      <c r="BZ191" s="72">
        <v>7.1480035075548801E-3</v>
      </c>
      <c r="CA191" s="72" t="s">
        <v>594</v>
      </c>
      <c r="CB191" s="72">
        <v>4</v>
      </c>
      <c r="CC191" s="72" t="s">
        <v>596</v>
      </c>
      <c r="CD191" s="72" t="s">
        <v>618</v>
      </c>
    </row>
    <row r="192" spans="1:82" s="72" customFormat="1" ht="50.5">
      <c r="A192" s="72" t="s">
        <v>741</v>
      </c>
      <c r="B192" s="72" t="str">
        <f t="shared" si="0"/>
        <v>addtl6-2022</v>
      </c>
      <c r="C192" s="72">
        <v>2022</v>
      </c>
      <c r="D192" s="73" t="s">
        <v>742</v>
      </c>
      <c r="E192" s="74">
        <v>45044</v>
      </c>
      <c r="F192" s="72" t="s">
        <v>743</v>
      </c>
      <c r="G192" s="72" t="s">
        <v>495</v>
      </c>
      <c r="I192" s="79" t="s">
        <v>744</v>
      </c>
      <c r="J192" s="76" t="s">
        <v>745</v>
      </c>
      <c r="K192" s="72" t="s">
        <v>94</v>
      </c>
      <c r="L192" s="72" t="s">
        <v>94</v>
      </c>
      <c r="M192" s="72" t="s">
        <v>138</v>
      </c>
      <c r="N192" s="76" t="s">
        <v>565</v>
      </c>
      <c r="O192" s="72" t="s">
        <v>97</v>
      </c>
      <c r="P192" s="72" t="s">
        <v>97</v>
      </c>
      <c r="S192" s="72" t="s">
        <v>114</v>
      </c>
      <c r="T192" s="72" t="s">
        <v>191</v>
      </c>
      <c r="U192" s="77" t="s">
        <v>99</v>
      </c>
      <c r="V192" s="77">
        <v>1</v>
      </c>
      <c r="W192" s="77" t="s">
        <v>566</v>
      </c>
      <c r="X192" s="77" t="s">
        <v>567</v>
      </c>
      <c r="Y192" s="77" t="s">
        <v>568</v>
      </c>
      <c r="Z192" s="77" t="s">
        <v>569</v>
      </c>
      <c r="AA192" s="72" t="s">
        <v>570</v>
      </c>
      <c r="AB192" s="72" t="s">
        <v>105</v>
      </c>
      <c r="AC192" s="77"/>
      <c r="AD192" s="77"/>
      <c r="AE192" s="77"/>
      <c r="AF192" s="72">
        <v>1</v>
      </c>
      <c r="AG192" s="72" t="s">
        <v>97</v>
      </c>
      <c r="AH192" s="72" t="s">
        <v>155</v>
      </c>
      <c r="AI192" s="72" t="s">
        <v>746</v>
      </c>
      <c r="AJ192" s="77"/>
      <c r="AK192" s="77"/>
      <c r="AL192" s="77"/>
      <c r="AM192" s="77"/>
      <c r="AN192" s="77"/>
      <c r="AO192" s="77"/>
      <c r="AP192" s="72" t="s">
        <v>155</v>
      </c>
      <c r="AQ192" s="72" t="s">
        <v>119</v>
      </c>
      <c r="AR192" s="72" t="s">
        <v>114</v>
      </c>
      <c r="AS192" s="72" t="s">
        <v>120</v>
      </c>
      <c r="AT192" s="72" t="s">
        <v>116</v>
      </c>
      <c r="AU192" s="72" t="s">
        <v>571</v>
      </c>
      <c r="AV192" s="72">
        <v>3</v>
      </c>
    </row>
    <row r="193" spans="1:82" s="72" customFormat="1" ht="37.5">
      <c r="A193" s="72" t="s">
        <v>630</v>
      </c>
      <c r="B193" s="72" t="str">
        <f t="shared" si="0"/>
        <v>addtl7-2020</v>
      </c>
      <c r="C193" s="72">
        <v>2020</v>
      </c>
      <c r="D193" s="73" t="s">
        <v>631</v>
      </c>
      <c r="E193" s="74">
        <v>45044</v>
      </c>
      <c r="F193" s="72" t="s">
        <v>743</v>
      </c>
      <c r="G193" s="72" t="s">
        <v>495</v>
      </c>
      <c r="I193" s="75" t="s">
        <v>747</v>
      </c>
      <c r="J193" s="76" t="s">
        <v>633</v>
      </c>
      <c r="K193" s="72" t="s">
        <v>94</v>
      </c>
      <c r="L193" s="72" t="s">
        <v>94</v>
      </c>
      <c r="M193" s="72" t="s">
        <v>95</v>
      </c>
      <c r="N193" s="76" t="s">
        <v>634</v>
      </c>
      <c r="O193" s="72" t="s">
        <v>97</v>
      </c>
      <c r="P193" s="72" t="s">
        <v>97</v>
      </c>
      <c r="S193" s="72" t="s">
        <v>114</v>
      </c>
      <c r="T193" s="72" t="s">
        <v>191</v>
      </c>
      <c r="U193" s="77" t="s">
        <v>99</v>
      </c>
      <c r="V193" s="77">
        <v>1</v>
      </c>
      <c r="W193" s="77" t="s">
        <v>635</v>
      </c>
      <c r="X193" s="77" t="s">
        <v>567</v>
      </c>
      <c r="Y193" s="77" t="s">
        <v>568</v>
      </c>
      <c r="Z193" s="77"/>
      <c r="AA193" s="72" t="s">
        <v>636</v>
      </c>
      <c r="AB193" s="72" t="s">
        <v>105</v>
      </c>
      <c r="AC193" s="77"/>
      <c r="AD193" s="77"/>
      <c r="AE193" s="77"/>
      <c r="AF193" s="72">
        <v>1</v>
      </c>
      <c r="AG193" s="72" t="s">
        <v>97</v>
      </c>
      <c r="AH193" s="72" t="s">
        <v>155</v>
      </c>
      <c r="AI193" s="72" t="s">
        <v>637</v>
      </c>
      <c r="AJ193" s="77"/>
      <c r="AK193" s="77"/>
      <c r="AL193" s="77"/>
      <c r="AM193" s="77"/>
      <c r="AN193" s="77"/>
      <c r="AO193" s="77"/>
      <c r="AP193" s="72" t="s">
        <v>155</v>
      </c>
      <c r="AQ193" s="72" t="s">
        <v>119</v>
      </c>
      <c r="AR193" s="72" t="s">
        <v>114</v>
      </c>
      <c r="AS193" s="72" t="s">
        <v>120</v>
      </c>
      <c r="AT193" s="72" t="s">
        <v>116</v>
      </c>
      <c r="AU193" s="72" t="s">
        <v>638</v>
      </c>
      <c r="AV193" s="72">
        <v>3</v>
      </c>
    </row>
    <row r="194" spans="1:82" s="72" customFormat="1" ht="101.5">
      <c r="A194" s="72" t="s">
        <v>639</v>
      </c>
      <c r="B194" s="72" t="str">
        <f t="shared" si="0"/>
        <v>addtl8-2019</v>
      </c>
      <c r="C194" s="72">
        <v>2019</v>
      </c>
      <c r="D194" s="73" t="s">
        <v>640</v>
      </c>
      <c r="E194" s="74">
        <v>45044</v>
      </c>
      <c r="F194" s="72" t="s">
        <v>90</v>
      </c>
      <c r="G194" s="72" t="s">
        <v>495</v>
      </c>
      <c r="I194" s="75" t="s">
        <v>641</v>
      </c>
      <c r="J194" s="76" t="s">
        <v>642</v>
      </c>
      <c r="K194" s="72" t="s">
        <v>94</v>
      </c>
      <c r="L194" s="72" t="s">
        <v>94</v>
      </c>
      <c r="M194" s="72" t="s">
        <v>95</v>
      </c>
      <c r="N194" s="80" t="s">
        <v>643</v>
      </c>
      <c r="O194" s="81" t="s">
        <v>97</v>
      </c>
      <c r="P194" s="72" t="s">
        <v>97</v>
      </c>
      <c r="S194" s="72" t="s">
        <v>90</v>
      </c>
      <c r="T194" s="72" t="s">
        <v>191</v>
      </c>
      <c r="U194" s="77" t="s">
        <v>99</v>
      </c>
      <c r="V194" s="77">
        <v>1</v>
      </c>
      <c r="W194" s="77" t="s">
        <v>635</v>
      </c>
      <c r="X194" s="77" t="s">
        <v>211</v>
      </c>
      <c r="Y194" s="77" t="s">
        <v>568</v>
      </c>
      <c r="Z194" s="77"/>
      <c r="AA194" s="72" t="s">
        <v>644</v>
      </c>
      <c r="AB194" s="72" t="s">
        <v>105</v>
      </c>
      <c r="AC194" s="77"/>
      <c r="AD194" s="77"/>
      <c r="AE194" s="77"/>
      <c r="AF194" s="72">
        <v>2</v>
      </c>
      <c r="AG194" s="72" t="s">
        <v>90</v>
      </c>
      <c r="AH194" s="76" t="s">
        <v>645</v>
      </c>
      <c r="AI194" s="72" t="s">
        <v>637</v>
      </c>
      <c r="AJ194" s="77"/>
      <c r="AK194" s="77"/>
      <c r="AL194" s="77"/>
      <c r="AM194" s="77"/>
      <c r="AN194" s="77"/>
      <c r="AO194" s="77"/>
      <c r="AP194" s="72" t="s">
        <v>155</v>
      </c>
      <c r="AQ194" s="72" t="s">
        <v>119</v>
      </c>
      <c r="AR194" s="72" t="s">
        <v>114</v>
      </c>
      <c r="AS194" s="72" t="s">
        <v>120</v>
      </c>
      <c r="AT194" s="72" t="s">
        <v>116</v>
      </c>
      <c r="AU194" t="s">
        <v>646</v>
      </c>
      <c r="AV194" s="72">
        <v>7</v>
      </c>
      <c r="AW194" s="72" t="s">
        <v>647</v>
      </c>
      <c r="AX194" s="72" t="s">
        <v>123</v>
      </c>
      <c r="AZ194" s="72" t="s">
        <v>116</v>
      </c>
      <c r="BA194" s="72" t="s">
        <v>648</v>
      </c>
      <c r="BB194" s="72">
        <v>3</v>
      </c>
      <c r="BO194" s="72">
        <v>-6</v>
      </c>
      <c r="BP194" s="72" t="s">
        <v>649</v>
      </c>
      <c r="BQ194" s="72" t="s">
        <v>591</v>
      </c>
      <c r="BR194" s="72" t="s">
        <v>650</v>
      </c>
      <c r="BS194" s="82">
        <v>0.103783</v>
      </c>
      <c r="BT194" s="72">
        <v>0.13650306712572</v>
      </c>
      <c r="BU194" s="82">
        <v>0.15695300000000001</v>
      </c>
      <c r="BV194" s="72" t="s">
        <v>594</v>
      </c>
      <c r="BW194" s="72">
        <v>1</v>
      </c>
      <c r="BX194" s="76">
        <v>3.7832316999999997E-2</v>
      </c>
      <c r="BY194" s="72">
        <v>5.6748437183327401E-2</v>
      </c>
      <c r="BZ194" s="72">
        <v>8.9979519999999993E-2</v>
      </c>
      <c r="CA194" s="72" t="s">
        <v>594</v>
      </c>
      <c r="CB194" s="72">
        <v>1</v>
      </c>
      <c r="CC194" s="72" t="s">
        <v>537</v>
      </c>
      <c r="CD194" s="72" t="s">
        <v>163</v>
      </c>
    </row>
    <row r="195" spans="1:82" s="72" customFormat="1" ht="101.5">
      <c r="A195" s="72" t="s">
        <v>639</v>
      </c>
      <c r="B195" s="72" t="str">
        <f t="shared" si="0"/>
        <v>addtl8-2019</v>
      </c>
      <c r="C195" s="72">
        <v>2019</v>
      </c>
      <c r="D195" s="73" t="s">
        <v>640</v>
      </c>
      <c r="E195" s="74">
        <v>45044</v>
      </c>
      <c r="F195" s="72" t="s">
        <v>90</v>
      </c>
      <c r="G195" s="72" t="s">
        <v>495</v>
      </c>
      <c r="I195" s="75" t="s">
        <v>641</v>
      </c>
      <c r="J195" s="76" t="s">
        <v>642</v>
      </c>
      <c r="K195" s="72" t="s">
        <v>94</v>
      </c>
      <c r="L195" s="72" t="s">
        <v>94</v>
      </c>
      <c r="M195" s="72" t="s">
        <v>95</v>
      </c>
      <c r="N195" s="80" t="s">
        <v>643</v>
      </c>
      <c r="O195" s="81" t="s">
        <v>97</v>
      </c>
      <c r="P195" s="72" t="s">
        <v>97</v>
      </c>
      <c r="S195" s="72" t="s">
        <v>90</v>
      </c>
      <c r="T195" s="72" t="s">
        <v>191</v>
      </c>
      <c r="U195" s="77" t="s">
        <v>99</v>
      </c>
      <c r="V195" s="77">
        <v>1</v>
      </c>
      <c r="W195" s="77" t="s">
        <v>635</v>
      </c>
      <c r="X195" s="77" t="s">
        <v>211</v>
      </c>
      <c r="Y195" s="77" t="s">
        <v>568</v>
      </c>
      <c r="Z195" s="77"/>
      <c r="AA195" s="72" t="s">
        <v>644</v>
      </c>
      <c r="AB195" s="72" t="s">
        <v>105</v>
      </c>
      <c r="AC195" s="77"/>
      <c r="AD195" s="77"/>
      <c r="AE195" s="77"/>
      <c r="AF195" s="72">
        <v>2</v>
      </c>
      <c r="AG195" s="72" t="s">
        <v>90</v>
      </c>
      <c r="AH195" s="76" t="s">
        <v>645</v>
      </c>
      <c r="AI195" s="72" t="s">
        <v>637</v>
      </c>
      <c r="AJ195" s="77"/>
      <c r="AK195" s="77"/>
      <c r="AL195" s="77"/>
      <c r="AM195" s="77"/>
      <c r="AN195" s="77"/>
      <c r="AO195" s="77"/>
      <c r="AP195" s="72" t="s">
        <v>155</v>
      </c>
      <c r="AQ195" s="72" t="s">
        <v>119</v>
      </c>
      <c r="AR195" s="72" t="s">
        <v>114</v>
      </c>
      <c r="AS195" s="72" t="s">
        <v>120</v>
      </c>
      <c r="AT195" s="72" t="s">
        <v>116</v>
      </c>
      <c r="AU195" t="s">
        <v>646</v>
      </c>
      <c r="AV195" s="72">
        <v>7</v>
      </c>
      <c r="AW195" s="72" t="s">
        <v>647</v>
      </c>
      <c r="AX195" s="72" t="s">
        <v>123</v>
      </c>
      <c r="AZ195" s="72" t="s">
        <v>116</v>
      </c>
      <c r="BA195" s="72" t="s">
        <v>648</v>
      </c>
      <c r="BB195" s="72">
        <v>3</v>
      </c>
      <c r="BO195" s="72">
        <v>-6</v>
      </c>
      <c r="BP195" s="72" t="s">
        <v>651</v>
      </c>
      <c r="BQ195" s="72" t="s">
        <v>591</v>
      </c>
      <c r="BR195" s="72" t="s">
        <v>650</v>
      </c>
      <c r="BS195" s="82">
        <v>5.1636000000000001E-2</v>
      </c>
      <c r="BT195" s="72">
        <v>7.4130896534959995E-2</v>
      </c>
      <c r="BU195" s="82">
        <v>0.100716</v>
      </c>
      <c r="BV195" s="72" t="s">
        <v>594</v>
      </c>
      <c r="BW195" s="72">
        <v>1</v>
      </c>
      <c r="BX195" s="76">
        <v>3.7832316999999997E-2</v>
      </c>
      <c r="BY195" s="72">
        <v>5.6748437183327401E-2</v>
      </c>
      <c r="BZ195" s="72">
        <v>8.9979519999999993E-2</v>
      </c>
      <c r="CA195" s="72" t="s">
        <v>594</v>
      </c>
      <c r="CB195" s="72">
        <v>1</v>
      </c>
      <c r="CC195" s="72" t="s">
        <v>537</v>
      </c>
      <c r="CD195" s="72" t="s">
        <v>163</v>
      </c>
    </row>
    <row r="196" spans="1:82" s="72" customFormat="1" ht="101.5">
      <c r="A196" s="72" t="s">
        <v>639</v>
      </c>
      <c r="B196" s="72" t="str">
        <f t="shared" si="0"/>
        <v>addtl8-2019</v>
      </c>
      <c r="C196" s="72">
        <v>2019</v>
      </c>
      <c r="D196" s="73" t="s">
        <v>640</v>
      </c>
      <c r="E196" s="74">
        <v>45044</v>
      </c>
      <c r="F196" s="72" t="s">
        <v>90</v>
      </c>
      <c r="G196" s="72" t="s">
        <v>495</v>
      </c>
      <c r="I196" s="75" t="s">
        <v>641</v>
      </c>
      <c r="J196" s="76" t="s">
        <v>642</v>
      </c>
      <c r="K196" s="72" t="s">
        <v>94</v>
      </c>
      <c r="L196" s="72" t="s">
        <v>94</v>
      </c>
      <c r="M196" s="72" t="s">
        <v>95</v>
      </c>
      <c r="N196" s="80" t="s">
        <v>643</v>
      </c>
      <c r="O196" s="81" t="s">
        <v>97</v>
      </c>
      <c r="P196" s="72" t="s">
        <v>97</v>
      </c>
      <c r="S196" s="72" t="s">
        <v>90</v>
      </c>
      <c r="T196" s="72" t="s">
        <v>191</v>
      </c>
      <c r="U196" s="77" t="s">
        <v>99</v>
      </c>
      <c r="V196" s="77">
        <v>1</v>
      </c>
      <c r="W196" s="77" t="s">
        <v>635</v>
      </c>
      <c r="X196" s="77" t="s">
        <v>211</v>
      </c>
      <c r="Y196" s="77" t="s">
        <v>568</v>
      </c>
      <c r="Z196" s="77"/>
      <c r="AA196" s="72" t="s">
        <v>644</v>
      </c>
      <c r="AB196" s="72" t="s">
        <v>105</v>
      </c>
      <c r="AC196" s="77"/>
      <c r="AD196" s="77"/>
      <c r="AE196" s="77"/>
      <c r="AF196" s="72">
        <v>2</v>
      </c>
      <c r="AG196" s="72" t="s">
        <v>90</v>
      </c>
      <c r="AH196" s="76" t="s">
        <v>645</v>
      </c>
      <c r="AI196" s="72" t="s">
        <v>637</v>
      </c>
      <c r="AJ196" s="77"/>
      <c r="AK196" s="77"/>
      <c r="AL196" s="77"/>
      <c r="AM196" s="77"/>
      <c r="AN196" s="77"/>
      <c r="AO196" s="77"/>
      <c r="AP196" s="72" t="s">
        <v>155</v>
      </c>
      <c r="AQ196" s="72" t="s">
        <v>119</v>
      </c>
      <c r="AR196" s="72" t="s">
        <v>114</v>
      </c>
      <c r="AS196" s="72" t="s">
        <v>120</v>
      </c>
      <c r="AT196" s="72" t="s">
        <v>116</v>
      </c>
      <c r="AU196" t="s">
        <v>646</v>
      </c>
      <c r="AV196" s="72">
        <v>7</v>
      </c>
      <c r="AW196" s="72" t="s">
        <v>647</v>
      </c>
      <c r="AX196" s="72" t="s">
        <v>123</v>
      </c>
      <c r="AZ196" s="72" t="s">
        <v>116</v>
      </c>
      <c r="BA196" s="72" t="s">
        <v>648</v>
      </c>
      <c r="BB196" s="72">
        <v>3</v>
      </c>
      <c r="BO196" s="72">
        <v>-6</v>
      </c>
      <c r="BP196" s="72" t="s">
        <v>652</v>
      </c>
      <c r="BQ196" s="72" t="s">
        <v>591</v>
      </c>
      <c r="BR196" s="72" t="s">
        <v>650</v>
      </c>
      <c r="BS196" s="82">
        <v>0.11503099999999999</v>
      </c>
      <c r="BT196" s="72">
        <v>0.14519427729899401</v>
      </c>
      <c r="BU196" s="82">
        <v>0.16462199999999999</v>
      </c>
      <c r="BV196" s="72" t="s">
        <v>594</v>
      </c>
      <c r="BW196" s="72">
        <v>1</v>
      </c>
      <c r="BX196" s="76">
        <v>3.7832316999999997E-2</v>
      </c>
      <c r="BY196" s="72">
        <v>5.6748437183327401E-2</v>
      </c>
      <c r="BZ196" s="72">
        <v>8.9979519999999993E-2</v>
      </c>
      <c r="CA196" s="72" t="s">
        <v>594</v>
      </c>
      <c r="CB196" s="72">
        <v>1</v>
      </c>
      <c r="CC196" s="72" t="s">
        <v>537</v>
      </c>
      <c r="CD196" s="72" t="s">
        <v>163</v>
      </c>
    </row>
    <row r="197" spans="1:82" s="72" customFormat="1" ht="101.5">
      <c r="A197" s="72" t="s">
        <v>639</v>
      </c>
      <c r="B197" s="72" t="str">
        <f t="shared" si="0"/>
        <v>addtl8-2019</v>
      </c>
      <c r="C197" s="72">
        <v>2019</v>
      </c>
      <c r="D197" s="73" t="s">
        <v>640</v>
      </c>
      <c r="E197" s="74">
        <v>45044</v>
      </c>
      <c r="F197" s="72" t="s">
        <v>90</v>
      </c>
      <c r="G197" s="72" t="s">
        <v>495</v>
      </c>
      <c r="I197" s="75" t="s">
        <v>641</v>
      </c>
      <c r="J197" s="76" t="s">
        <v>642</v>
      </c>
      <c r="K197" s="72" t="s">
        <v>94</v>
      </c>
      <c r="L197" s="72" t="s">
        <v>94</v>
      </c>
      <c r="M197" s="72" t="s">
        <v>95</v>
      </c>
      <c r="N197" s="80" t="s">
        <v>643</v>
      </c>
      <c r="O197" s="81" t="s">
        <v>97</v>
      </c>
      <c r="P197" s="72" t="s">
        <v>97</v>
      </c>
      <c r="S197" s="72" t="s">
        <v>90</v>
      </c>
      <c r="T197" s="72" t="s">
        <v>191</v>
      </c>
      <c r="U197" s="77" t="s">
        <v>99</v>
      </c>
      <c r="V197" s="77">
        <v>1</v>
      </c>
      <c r="W197" s="77" t="s">
        <v>635</v>
      </c>
      <c r="X197" s="77" t="s">
        <v>211</v>
      </c>
      <c r="Y197" s="77" t="s">
        <v>568</v>
      </c>
      <c r="Z197" s="77"/>
      <c r="AA197" s="72" t="s">
        <v>644</v>
      </c>
      <c r="AB197" s="72" t="s">
        <v>105</v>
      </c>
      <c r="AC197" s="77"/>
      <c r="AD197" s="77"/>
      <c r="AE197" s="77"/>
      <c r="AF197" s="72">
        <v>2</v>
      </c>
      <c r="AG197" s="72" t="s">
        <v>90</v>
      </c>
      <c r="AH197" s="76" t="s">
        <v>645</v>
      </c>
      <c r="AI197" s="72" t="s">
        <v>637</v>
      </c>
      <c r="AJ197" s="77"/>
      <c r="AK197" s="77"/>
      <c r="AL197" s="77"/>
      <c r="AM197" s="77"/>
      <c r="AN197" s="77"/>
      <c r="AO197" s="77"/>
      <c r="AP197" s="72" t="s">
        <v>155</v>
      </c>
      <c r="AQ197" s="72" t="s">
        <v>119</v>
      </c>
      <c r="AR197" s="72" t="s">
        <v>114</v>
      </c>
      <c r="AS197" s="72" t="s">
        <v>120</v>
      </c>
      <c r="AT197" s="72" t="s">
        <v>116</v>
      </c>
      <c r="AU197" t="s">
        <v>646</v>
      </c>
      <c r="AV197" s="72">
        <v>7</v>
      </c>
      <c r="AW197" s="72" t="s">
        <v>647</v>
      </c>
      <c r="AX197" s="72" t="s">
        <v>123</v>
      </c>
      <c r="AZ197" s="72" t="s">
        <v>116</v>
      </c>
      <c r="BA197" s="72" t="s">
        <v>648</v>
      </c>
      <c r="BB197" s="72">
        <v>3</v>
      </c>
      <c r="BO197" s="72" t="s">
        <v>126</v>
      </c>
      <c r="BP197" s="72" t="s">
        <v>653</v>
      </c>
      <c r="BQ197" s="72" t="s">
        <v>591</v>
      </c>
      <c r="BR197" s="72" t="s">
        <v>650</v>
      </c>
      <c r="BS197" s="82">
        <v>0.15490799999999999</v>
      </c>
      <c r="BT197" s="72">
        <v>0.15848672212357401</v>
      </c>
      <c r="BU197" s="82">
        <v>0.19222900000000001</v>
      </c>
      <c r="BV197" s="72" t="s">
        <v>594</v>
      </c>
      <c r="BW197" s="72">
        <v>1</v>
      </c>
      <c r="BX197" s="72">
        <v>0.119120666</v>
      </c>
      <c r="BY197" s="72">
        <v>0.14570553642832901</v>
      </c>
      <c r="BZ197" s="72">
        <v>0.15950920099999999</v>
      </c>
      <c r="CA197" s="72" t="s">
        <v>594</v>
      </c>
      <c r="CB197" s="72">
        <v>1</v>
      </c>
      <c r="CC197" s="72" t="s">
        <v>537</v>
      </c>
      <c r="CD197" s="72" t="s">
        <v>163</v>
      </c>
    </row>
    <row r="198" spans="1:82" s="72" customFormat="1" ht="101.5">
      <c r="A198" s="72" t="s">
        <v>639</v>
      </c>
      <c r="B198" s="72" t="str">
        <f t="shared" si="0"/>
        <v>addtl8-2019</v>
      </c>
      <c r="C198" s="72">
        <v>2019</v>
      </c>
      <c r="D198" s="73" t="s">
        <v>640</v>
      </c>
      <c r="E198" s="74">
        <v>45044</v>
      </c>
      <c r="F198" s="72" t="s">
        <v>90</v>
      </c>
      <c r="G198" s="72" t="s">
        <v>495</v>
      </c>
      <c r="I198" s="75" t="s">
        <v>641</v>
      </c>
      <c r="J198" s="76" t="s">
        <v>642</v>
      </c>
      <c r="K198" s="72" t="s">
        <v>94</v>
      </c>
      <c r="L198" s="72" t="s">
        <v>94</v>
      </c>
      <c r="M198" s="72" t="s">
        <v>95</v>
      </c>
      <c r="N198" s="80" t="s">
        <v>643</v>
      </c>
      <c r="O198" s="81" t="s">
        <v>97</v>
      </c>
      <c r="P198" s="72" t="s">
        <v>97</v>
      </c>
      <c r="S198" s="72" t="s">
        <v>90</v>
      </c>
      <c r="T198" s="72" t="s">
        <v>191</v>
      </c>
      <c r="U198" s="77" t="s">
        <v>99</v>
      </c>
      <c r="V198" s="77">
        <v>1</v>
      </c>
      <c r="W198" s="77" t="s">
        <v>635</v>
      </c>
      <c r="X198" s="77" t="s">
        <v>211</v>
      </c>
      <c r="Y198" s="77" t="s">
        <v>568</v>
      </c>
      <c r="Z198" s="77"/>
      <c r="AA198" s="72" t="s">
        <v>644</v>
      </c>
      <c r="AB198" s="72" t="s">
        <v>105</v>
      </c>
      <c r="AC198" s="77"/>
      <c r="AD198" s="77"/>
      <c r="AE198" s="77"/>
      <c r="AF198" s="72">
        <v>2</v>
      </c>
      <c r="AG198" s="72" t="s">
        <v>90</v>
      </c>
      <c r="AH198" s="76" t="s">
        <v>645</v>
      </c>
      <c r="AI198" s="72" t="s">
        <v>637</v>
      </c>
      <c r="AJ198" s="77"/>
      <c r="AK198" s="77"/>
      <c r="AL198" s="77"/>
      <c r="AM198" s="77"/>
      <c r="AN198" s="77"/>
      <c r="AO198" s="77"/>
      <c r="AP198" s="72" t="s">
        <v>155</v>
      </c>
      <c r="AQ198" s="72" t="s">
        <v>119</v>
      </c>
      <c r="AR198" s="72" t="s">
        <v>114</v>
      </c>
      <c r="AS198" s="72" t="s">
        <v>120</v>
      </c>
      <c r="AT198" s="72" t="s">
        <v>116</v>
      </c>
      <c r="AU198" t="s">
        <v>646</v>
      </c>
      <c r="AV198" s="72">
        <v>7</v>
      </c>
      <c r="AW198" s="72" t="s">
        <v>647</v>
      </c>
      <c r="AX198" s="72" t="s">
        <v>123</v>
      </c>
      <c r="AZ198" s="72" t="s">
        <v>116</v>
      </c>
      <c r="BA198" s="72" t="s">
        <v>648</v>
      </c>
      <c r="BB198" s="72">
        <v>3</v>
      </c>
      <c r="BO198" s="72" t="s">
        <v>126</v>
      </c>
      <c r="BP198" s="72" t="s">
        <v>654</v>
      </c>
      <c r="BQ198" s="72" t="s">
        <v>591</v>
      </c>
      <c r="BR198" s="72" t="s">
        <v>650</v>
      </c>
      <c r="BS198" s="82">
        <v>0.110941</v>
      </c>
      <c r="BT198" s="72">
        <v>0.137014326255054</v>
      </c>
      <c r="BU198" s="82">
        <v>0.14775099999999999</v>
      </c>
      <c r="BV198" s="72" t="s">
        <v>594</v>
      </c>
      <c r="BW198" s="72">
        <v>1</v>
      </c>
      <c r="BX198" s="72">
        <v>0.119120666</v>
      </c>
      <c r="BY198" s="72">
        <v>0.14570553642832901</v>
      </c>
      <c r="BZ198" s="72">
        <v>0.15950920099999999</v>
      </c>
      <c r="CA198" s="72" t="s">
        <v>594</v>
      </c>
      <c r="CB198" s="72">
        <v>1</v>
      </c>
      <c r="CC198" s="72" t="s">
        <v>537</v>
      </c>
      <c r="CD198" s="72" t="s">
        <v>163</v>
      </c>
    </row>
    <row r="199" spans="1:82" s="72" customFormat="1" ht="101.5">
      <c r="A199" s="72" t="s">
        <v>639</v>
      </c>
      <c r="B199" s="72" t="str">
        <f t="shared" si="0"/>
        <v>addtl8-2019</v>
      </c>
      <c r="C199" s="72">
        <v>2019</v>
      </c>
      <c r="D199" s="73" t="s">
        <v>640</v>
      </c>
      <c r="E199" s="74">
        <v>45044</v>
      </c>
      <c r="F199" s="72" t="s">
        <v>90</v>
      </c>
      <c r="G199" s="72" t="s">
        <v>495</v>
      </c>
      <c r="I199" s="75" t="s">
        <v>641</v>
      </c>
      <c r="J199" s="76" t="s">
        <v>642</v>
      </c>
      <c r="K199" s="72" t="s">
        <v>94</v>
      </c>
      <c r="L199" s="72" t="s">
        <v>94</v>
      </c>
      <c r="M199" s="72" t="s">
        <v>95</v>
      </c>
      <c r="N199" s="80" t="s">
        <v>643</v>
      </c>
      <c r="O199" s="81" t="s">
        <v>97</v>
      </c>
      <c r="P199" s="72" t="s">
        <v>97</v>
      </c>
      <c r="S199" s="72" t="s">
        <v>90</v>
      </c>
      <c r="T199" s="72" t="s">
        <v>191</v>
      </c>
      <c r="U199" s="77" t="s">
        <v>99</v>
      </c>
      <c r="V199" s="77">
        <v>1</v>
      </c>
      <c r="W199" s="77" t="s">
        <v>635</v>
      </c>
      <c r="X199" s="77" t="s">
        <v>211</v>
      </c>
      <c r="Y199" s="77" t="s">
        <v>568</v>
      </c>
      <c r="Z199" s="77"/>
      <c r="AA199" s="72" t="s">
        <v>644</v>
      </c>
      <c r="AB199" s="72" t="s">
        <v>105</v>
      </c>
      <c r="AC199" s="77"/>
      <c r="AD199" s="77"/>
      <c r="AE199" s="77"/>
      <c r="AF199" s="72">
        <v>2</v>
      </c>
      <c r="AG199" s="72" t="s">
        <v>90</v>
      </c>
      <c r="AH199" s="76" t="s">
        <v>645</v>
      </c>
      <c r="AI199" s="72" t="s">
        <v>637</v>
      </c>
      <c r="AJ199" s="77"/>
      <c r="AK199" s="77"/>
      <c r="AL199" s="77"/>
      <c r="AM199" s="77"/>
      <c r="AN199" s="77"/>
      <c r="AO199" s="77"/>
      <c r="AP199" s="72" t="s">
        <v>155</v>
      </c>
      <c r="AQ199" s="72" t="s">
        <v>119</v>
      </c>
      <c r="AR199" s="72" t="s">
        <v>114</v>
      </c>
      <c r="AS199" s="72" t="s">
        <v>120</v>
      </c>
      <c r="AT199" s="72" t="s">
        <v>116</v>
      </c>
      <c r="AU199" t="s">
        <v>646</v>
      </c>
      <c r="AV199" s="72">
        <v>7</v>
      </c>
      <c r="AW199" s="72" t="s">
        <v>647</v>
      </c>
      <c r="AX199" s="72" t="s">
        <v>123</v>
      </c>
      <c r="AZ199" s="72" t="s">
        <v>116</v>
      </c>
      <c r="BA199" s="72" t="s">
        <v>648</v>
      </c>
      <c r="BB199" s="72">
        <v>3</v>
      </c>
      <c r="BO199" s="72" t="s">
        <v>126</v>
      </c>
      <c r="BP199" s="72" t="s">
        <v>655</v>
      </c>
      <c r="BQ199" s="72" t="s">
        <v>591</v>
      </c>
      <c r="BR199" s="72" t="s">
        <v>650</v>
      </c>
      <c r="BS199" s="82">
        <v>0.15490799999999999</v>
      </c>
      <c r="BT199" s="72">
        <v>0.169222910306562</v>
      </c>
      <c r="BU199" s="82">
        <v>0.19273999999999999</v>
      </c>
      <c r="BV199" s="72" t="s">
        <v>594</v>
      </c>
      <c r="BW199" s="72">
        <v>1</v>
      </c>
      <c r="BX199" s="72">
        <v>0.119120666</v>
      </c>
      <c r="BY199" s="72">
        <v>0.14570553642832901</v>
      </c>
      <c r="BZ199" s="72">
        <v>0.15950920099999999</v>
      </c>
      <c r="CA199" s="72" t="s">
        <v>594</v>
      </c>
      <c r="CB199" s="72">
        <v>1</v>
      </c>
      <c r="CC199" s="72" t="s">
        <v>537</v>
      </c>
      <c r="CD199" s="72" t="s">
        <v>163</v>
      </c>
    </row>
    <row r="200" spans="1:82" s="72" customFormat="1" ht="101.5">
      <c r="A200" s="72" t="s">
        <v>639</v>
      </c>
      <c r="B200" s="72" t="str">
        <f t="shared" si="0"/>
        <v>addtl8-2019</v>
      </c>
      <c r="C200" s="72">
        <v>2019</v>
      </c>
      <c r="D200" s="73" t="s">
        <v>640</v>
      </c>
      <c r="E200" s="74">
        <v>45044</v>
      </c>
      <c r="F200" s="72" t="s">
        <v>90</v>
      </c>
      <c r="G200" s="72" t="s">
        <v>495</v>
      </c>
      <c r="I200" s="75" t="s">
        <v>641</v>
      </c>
      <c r="J200" s="76" t="s">
        <v>642</v>
      </c>
      <c r="K200" s="72" t="s">
        <v>94</v>
      </c>
      <c r="L200" s="72" t="s">
        <v>94</v>
      </c>
      <c r="M200" s="72" t="s">
        <v>95</v>
      </c>
      <c r="N200" s="80" t="s">
        <v>643</v>
      </c>
      <c r="O200" s="81" t="s">
        <v>97</v>
      </c>
      <c r="P200" s="72" t="s">
        <v>97</v>
      </c>
      <c r="S200" s="72" t="s">
        <v>90</v>
      </c>
      <c r="T200" s="72" t="s">
        <v>191</v>
      </c>
      <c r="U200" s="77" t="s">
        <v>99</v>
      </c>
      <c r="V200" s="77">
        <v>1</v>
      </c>
      <c r="W200" s="77" t="s">
        <v>635</v>
      </c>
      <c r="X200" s="77" t="s">
        <v>211</v>
      </c>
      <c r="Y200" s="77" t="s">
        <v>568</v>
      </c>
      <c r="Z200" s="77"/>
      <c r="AA200" s="72" t="s">
        <v>644</v>
      </c>
      <c r="AB200" s="72" t="s">
        <v>105</v>
      </c>
      <c r="AC200" s="77"/>
      <c r="AD200" s="77"/>
      <c r="AE200" s="77"/>
      <c r="AF200" s="72">
        <v>2</v>
      </c>
      <c r="AG200" s="72" t="s">
        <v>90</v>
      </c>
      <c r="AH200" s="76" t="s">
        <v>645</v>
      </c>
      <c r="AI200" s="72" t="s">
        <v>637</v>
      </c>
      <c r="AJ200" s="77"/>
      <c r="AK200" s="77"/>
      <c r="AL200" s="77"/>
      <c r="AM200" s="77"/>
      <c r="AN200" s="77"/>
      <c r="AO200" s="77"/>
      <c r="AP200" s="72" t="s">
        <v>155</v>
      </c>
      <c r="AQ200" s="72" t="s">
        <v>119</v>
      </c>
      <c r="AR200" s="72" t="s">
        <v>114</v>
      </c>
      <c r="AS200" s="72" t="s">
        <v>120</v>
      </c>
      <c r="AT200" s="72" t="s">
        <v>116</v>
      </c>
      <c r="AU200" t="s">
        <v>646</v>
      </c>
      <c r="AV200" s="72">
        <v>7</v>
      </c>
      <c r="AW200" s="72" t="s">
        <v>647</v>
      </c>
      <c r="AX200" s="72" t="s">
        <v>123</v>
      </c>
      <c r="AZ200" s="72" t="s">
        <v>116</v>
      </c>
      <c r="BA200" s="72" t="s">
        <v>648</v>
      </c>
      <c r="BB200" s="72">
        <v>3</v>
      </c>
      <c r="BO200" s="72">
        <v>6</v>
      </c>
      <c r="BP200" s="72" t="s">
        <v>656</v>
      </c>
      <c r="BQ200" s="72" t="s">
        <v>591</v>
      </c>
      <c r="BR200" s="72" t="s">
        <v>650</v>
      </c>
      <c r="BS200" s="82">
        <v>0.15490799999999999</v>
      </c>
      <c r="BT200" s="72">
        <v>0.17433538458466</v>
      </c>
      <c r="BU200" s="82">
        <v>0.191718</v>
      </c>
      <c r="BV200" s="72" t="s">
        <v>594</v>
      </c>
      <c r="BW200" s="72">
        <v>1</v>
      </c>
      <c r="BX200" s="72">
        <v>0.13701432599999999</v>
      </c>
      <c r="BY200" s="83">
        <v>0.169222910306562</v>
      </c>
      <c r="BZ200" s="72">
        <v>0.176380382</v>
      </c>
      <c r="CA200" s="72" t="s">
        <v>594</v>
      </c>
      <c r="CB200" s="72">
        <v>1</v>
      </c>
      <c r="CC200" s="72" t="s">
        <v>537</v>
      </c>
      <c r="CD200" s="72" t="s">
        <v>163</v>
      </c>
    </row>
    <row r="201" spans="1:82" s="72" customFormat="1" ht="101.5">
      <c r="A201" s="72" t="s">
        <v>639</v>
      </c>
      <c r="B201" s="72" t="str">
        <f t="shared" si="0"/>
        <v>addtl8-2019</v>
      </c>
      <c r="C201" s="72">
        <v>2019</v>
      </c>
      <c r="D201" s="73" t="s">
        <v>640</v>
      </c>
      <c r="E201" s="74">
        <v>45044</v>
      </c>
      <c r="F201" s="72" t="s">
        <v>90</v>
      </c>
      <c r="G201" s="72" t="s">
        <v>495</v>
      </c>
      <c r="I201" s="75" t="s">
        <v>641</v>
      </c>
      <c r="J201" s="76" t="s">
        <v>642</v>
      </c>
      <c r="K201" s="72" t="s">
        <v>94</v>
      </c>
      <c r="L201" s="72" t="s">
        <v>94</v>
      </c>
      <c r="M201" s="72" t="s">
        <v>95</v>
      </c>
      <c r="N201" s="80" t="s">
        <v>643</v>
      </c>
      <c r="O201" s="81" t="s">
        <v>97</v>
      </c>
      <c r="P201" s="72" t="s">
        <v>97</v>
      </c>
      <c r="S201" s="72" t="s">
        <v>90</v>
      </c>
      <c r="T201" s="72" t="s">
        <v>191</v>
      </c>
      <c r="U201" s="77" t="s">
        <v>99</v>
      </c>
      <c r="V201" s="77">
        <v>1</v>
      </c>
      <c r="W201" s="77" t="s">
        <v>635</v>
      </c>
      <c r="X201" s="77" t="s">
        <v>211</v>
      </c>
      <c r="Y201" s="77" t="s">
        <v>568</v>
      </c>
      <c r="Z201" s="77"/>
      <c r="AA201" s="72" t="s">
        <v>644</v>
      </c>
      <c r="AB201" s="72" t="s">
        <v>105</v>
      </c>
      <c r="AC201" s="77"/>
      <c r="AD201" s="77"/>
      <c r="AE201" s="77"/>
      <c r="AF201" s="72">
        <v>2</v>
      </c>
      <c r="AG201" s="72" t="s">
        <v>90</v>
      </c>
      <c r="AH201" s="76" t="s">
        <v>645</v>
      </c>
      <c r="AI201" s="72" t="s">
        <v>637</v>
      </c>
      <c r="AJ201" s="77"/>
      <c r="AK201" s="77"/>
      <c r="AL201" s="77"/>
      <c r="AM201" s="77"/>
      <c r="AN201" s="77"/>
      <c r="AO201" s="77"/>
      <c r="AP201" s="72" t="s">
        <v>155</v>
      </c>
      <c r="AQ201" s="72" t="s">
        <v>119</v>
      </c>
      <c r="AR201" s="72" t="s">
        <v>114</v>
      </c>
      <c r="AS201" s="72" t="s">
        <v>120</v>
      </c>
      <c r="AT201" s="72" t="s">
        <v>116</v>
      </c>
      <c r="AU201" t="s">
        <v>646</v>
      </c>
      <c r="AV201" s="72">
        <v>7</v>
      </c>
      <c r="AW201" s="72" t="s">
        <v>647</v>
      </c>
      <c r="AX201" s="72" t="s">
        <v>123</v>
      </c>
      <c r="AZ201" s="72" t="s">
        <v>116</v>
      </c>
      <c r="BA201" s="72" t="s">
        <v>648</v>
      </c>
      <c r="BB201" s="72">
        <v>3</v>
      </c>
      <c r="BO201" s="72">
        <v>6</v>
      </c>
      <c r="BP201" s="72" t="s">
        <v>657</v>
      </c>
      <c r="BQ201" s="72" t="s">
        <v>591</v>
      </c>
      <c r="BR201" s="72" t="s">
        <v>650</v>
      </c>
      <c r="BS201" s="82">
        <v>0.128834</v>
      </c>
      <c r="BT201" s="72">
        <v>0.143660538916073</v>
      </c>
      <c r="BU201" s="82">
        <v>0.161554</v>
      </c>
      <c r="BV201" s="72" t="s">
        <v>594</v>
      </c>
      <c r="BW201" s="72">
        <v>1</v>
      </c>
      <c r="BX201" s="72">
        <v>0.13701432599999999</v>
      </c>
      <c r="BY201" s="83">
        <v>0.169222910306562</v>
      </c>
      <c r="BZ201" s="72">
        <v>0.176380382</v>
      </c>
      <c r="CA201" s="72" t="s">
        <v>594</v>
      </c>
      <c r="CB201" s="72">
        <v>1</v>
      </c>
      <c r="CC201" s="72" t="s">
        <v>537</v>
      </c>
      <c r="CD201" s="72" t="s">
        <v>163</v>
      </c>
    </row>
    <row r="202" spans="1:82" s="72" customFormat="1" ht="101.5">
      <c r="A202" s="72" t="s">
        <v>639</v>
      </c>
      <c r="B202" s="72" t="str">
        <f t="shared" si="0"/>
        <v>addtl8-2019</v>
      </c>
      <c r="C202" s="72">
        <v>2019</v>
      </c>
      <c r="D202" s="73" t="s">
        <v>640</v>
      </c>
      <c r="E202" s="74">
        <v>45044</v>
      </c>
      <c r="F202" s="72" t="s">
        <v>90</v>
      </c>
      <c r="G202" s="72" t="s">
        <v>495</v>
      </c>
      <c r="I202" s="75" t="s">
        <v>641</v>
      </c>
      <c r="J202" s="76" t="s">
        <v>642</v>
      </c>
      <c r="K202" s="72" t="s">
        <v>94</v>
      </c>
      <c r="L202" s="72" t="s">
        <v>94</v>
      </c>
      <c r="M202" s="72" t="s">
        <v>95</v>
      </c>
      <c r="N202" s="80" t="s">
        <v>643</v>
      </c>
      <c r="O202" s="81" t="s">
        <v>97</v>
      </c>
      <c r="P202" s="72" t="s">
        <v>97</v>
      </c>
      <c r="S202" s="72" t="s">
        <v>90</v>
      </c>
      <c r="T202" s="72" t="s">
        <v>191</v>
      </c>
      <c r="U202" s="77" t="s">
        <v>99</v>
      </c>
      <c r="V202" s="77">
        <v>1</v>
      </c>
      <c r="W202" s="77" t="s">
        <v>635</v>
      </c>
      <c r="X202" s="77" t="s">
        <v>211</v>
      </c>
      <c r="Y202" s="77" t="s">
        <v>568</v>
      </c>
      <c r="Z202" s="77"/>
      <c r="AA202" s="72" t="s">
        <v>644</v>
      </c>
      <c r="AB202" s="72" t="s">
        <v>105</v>
      </c>
      <c r="AC202" s="77"/>
      <c r="AD202" s="77"/>
      <c r="AE202" s="77"/>
      <c r="AF202" s="72">
        <v>2</v>
      </c>
      <c r="AG202" s="72" t="s">
        <v>90</v>
      </c>
      <c r="AH202" s="76" t="s">
        <v>645</v>
      </c>
      <c r="AI202" s="72" t="s">
        <v>637</v>
      </c>
      <c r="AJ202" s="77"/>
      <c r="AK202" s="77"/>
      <c r="AL202" s="77"/>
      <c r="AM202" s="77"/>
      <c r="AN202" s="77"/>
      <c r="AO202" s="77"/>
      <c r="AP202" s="72" t="s">
        <v>155</v>
      </c>
      <c r="AQ202" s="72" t="s">
        <v>119</v>
      </c>
      <c r="AR202" s="72" t="s">
        <v>114</v>
      </c>
      <c r="AS202" s="72" t="s">
        <v>120</v>
      </c>
      <c r="AT202" s="72" t="s">
        <v>116</v>
      </c>
      <c r="AU202" t="s">
        <v>646</v>
      </c>
      <c r="AV202" s="72">
        <v>7</v>
      </c>
      <c r="AW202" s="72" t="s">
        <v>647</v>
      </c>
      <c r="AX202" s="72" t="s">
        <v>123</v>
      </c>
      <c r="AZ202" s="72" t="s">
        <v>116</v>
      </c>
      <c r="BA202" s="72" t="s">
        <v>648</v>
      </c>
      <c r="BB202" s="72">
        <v>3</v>
      </c>
      <c r="BO202" s="72">
        <v>6</v>
      </c>
      <c r="BP202" s="72" t="s">
        <v>658</v>
      </c>
      <c r="BQ202" s="72" t="s">
        <v>591</v>
      </c>
      <c r="BR202" s="72" t="s">
        <v>650</v>
      </c>
      <c r="BS202" s="82">
        <v>0.15695300000000001</v>
      </c>
      <c r="BT202" s="72">
        <v>0.17126790781881801</v>
      </c>
      <c r="BU202" s="82">
        <v>0.188139</v>
      </c>
      <c r="BV202" s="72" t="s">
        <v>594</v>
      </c>
      <c r="BW202" s="72">
        <v>1</v>
      </c>
      <c r="BX202" s="72">
        <v>0.13701432599999999</v>
      </c>
      <c r="BY202" s="83">
        <v>0.169222910306562</v>
      </c>
      <c r="BZ202" s="72">
        <v>0.176380382</v>
      </c>
      <c r="CA202" s="72" t="s">
        <v>594</v>
      </c>
      <c r="CB202" s="72">
        <v>1</v>
      </c>
      <c r="CC202" s="72" t="s">
        <v>537</v>
      </c>
      <c r="CD202" s="72" t="s">
        <v>163</v>
      </c>
    </row>
    <row r="203" spans="1:82" s="72" customFormat="1" ht="101.5">
      <c r="A203" s="72" t="s">
        <v>639</v>
      </c>
      <c r="B203" s="72" t="str">
        <f t="shared" si="0"/>
        <v>addtl8-2019</v>
      </c>
      <c r="C203" s="72">
        <v>2019</v>
      </c>
      <c r="D203" s="73" t="s">
        <v>640</v>
      </c>
      <c r="E203" s="74">
        <v>45044</v>
      </c>
      <c r="F203" s="72" t="s">
        <v>90</v>
      </c>
      <c r="G203" s="72" t="s">
        <v>495</v>
      </c>
      <c r="I203" s="75" t="s">
        <v>641</v>
      </c>
      <c r="J203" s="76" t="s">
        <v>642</v>
      </c>
      <c r="K203" s="72" t="s">
        <v>94</v>
      </c>
      <c r="L203" s="72" t="s">
        <v>94</v>
      </c>
      <c r="M203" s="72" t="s">
        <v>95</v>
      </c>
      <c r="N203" s="80" t="s">
        <v>643</v>
      </c>
      <c r="O203" s="81" t="s">
        <v>97</v>
      </c>
      <c r="P203" s="72" t="s">
        <v>97</v>
      </c>
      <c r="S203" s="72" t="s">
        <v>90</v>
      </c>
      <c r="T203" s="72" t="s">
        <v>191</v>
      </c>
      <c r="U203" s="77" t="s">
        <v>99</v>
      </c>
      <c r="V203" s="77">
        <v>1</v>
      </c>
      <c r="W203" s="77" t="s">
        <v>635</v>
      </c>
      <c r="X203" s="77" t="s">
        <v>211</v>
      </c>
      <c r="Y203" s="77" t="s">
        <v>568</v>
      </c>
      <c r="Z203" s="77"/>
      <c r="AA203" s="72" t="s">
        <v>644</v>
      </c>
      <c r="AB203" s="72" t="s">
        <v>105</v>
      </c>
      <c r="AC203" s="77"/>
      <c r="AD203" s="77"/>
      <c r="AE203" s="77"/>
      <c r="AF203" s="72">
        <v>2</v>
      </c>
      <c r="AG203" s="72" t="s">
        <v>90</v>
      </c>
      <c r="AH203" s="76" t="s">
        <v>645</v>
      </c>
      <c r="AI203" s="72" t="s">
        <v>637</v>
      </c>
      <c r="AJ203" s="77"/>
      <c r="AK203" s="77"/>
      <c r="AL203" s="77"/>
      <c r="AM203" s="77"/>
      <c r="AN203" s="77"/>
      <c r="AO203" s="77"/>
      <c r="AP203" s="72" t="s">
        <v>155</v>
      </c>
      <c r="AQ203" s="72" t="s">
        <v>119</v>
      </c>
      <c r="AR203" s="72" t="s">
        <v>114</v>
      </c>
      <c r="AS203" s="72" t="s">
        <v>120</v>
      </c>
      <c r="AT203" s="72" t="s">
        <v>116</v>
      </c>
      <c r="AU203" t="s">
        <v>646</v>
      </c>
      <c r="AV203" s="72">
        <v>7</v>
      </c>
      <c r="AW203" s="72" t="s">
        <v>647</v>
      </c>
      <c r="AX203" s="72" t="s">
        <v>123</v>
      </c>
      <c r="AZ203" s="72" t="s">
        <v>116</v>
      </c>
      <c r="BA203" s="72" t="s">
        <v>648</v>
      </c>
      <c r="BB203" s="72">
        <v>3</v>
      </c>
      <c r="BO203" s="72">
        <v>10</v>
      </c>
      <c r="BP203" s="72" t="s">
        <v>659</v>
      </c>
      <c r="BQ203" s="72" t="s">
        <v>591</v>
      </c>
      <c r="BR203" s="72" t="s">
        <v>650</v>
      </c>
      <c r="BS203" s="82">
        <v>0.16002</v>
      </c>
      <c r="BT203" s="72">
        <v>0.187627809906698</v>
      </c>
      <c r="BU203" s="82">
        <v>0.19273999999999999</v>
      </c>
      <c r="BV203" s="72" t="s">
        <v>594</v>
      </c>
      <c r="BW203" s="72">
        <v>1</v>
      </c>
      <c r="BX203" s="72">
        <v>0.13957056300000001</v>
      </c>
      <c r="BY203" s="72">
        <v>0.150306751577092</v>
      </c>
      <c r="BZ203" s="72">
        <v>0.172801646</v>
      </c>
      <c r="CA203" s="72" t="s">
        <v>594</v>
      </c>
      <c r="CB203" s="72">
        <v>1</v>
      </c>
      <c r="CC203" s="72" t="s">
        <v>537</v>
      </c>
      <c r="CD203" s="72" t="s">
        <v>163</v>
      </c>
    </row>
    <row r="204" spans="1:82" s="72" customFormat="1" ht="101.5">
      <c r="A204" s="72" t="s">
        <v>639</v>
      </c>
      <c r="B204" s="72" t="str">
        <f t="shared" si="0"/>
        <v>addtl8-2019</v>
      </c>
      <c r="C204" s="72">
        <v>2019</v>
      </c>
      <c r="D204" s="73" t="s">
        <v>640</v>
      </c>
      <c r="E204" s="74">
        <v>45044</v>
      </c>
      <c r="F204" s="72" t="s">
        <v>90</v>
      </c>
      <c r="G204" s="72" t="s">
        <v>495</v>
      </c>
      <c r="I204" s="75" t="s">
        <v>641</v>
      </c>
      <c r="J204" s="76" t="s">
        <v>642</v>
      </c>
      <c r="K204" s="72" t="s">
        <v>94</v>
      </c>
      <c r="L204" s="72" t="s">
        <v>94</v>
      </c>
      <c r="M204" s="72" t="s">
        <v>95</v>
      </c>
      <c r="N204" s="80" t="s">
        <v>643</v>
      </c>
      <c r="O204" s="81" t="s">
        <v>97</v>
      </c>
      <c r="P204" s="72" t="s">
        <v>97</v>
      </c>
      <c r="S204" s="72" t="s">
        <v>90</v>
      </c>
      <c r="T204" s="72" t="s">
        <v>191</v>
      </c>
      <c r="U204" s="77" t="s">
        <v>99</v>
      </c>
      <c r="V204" s="77">
        <v>1</v>
      </c>
      <c r="W204" s="77" t="s">
        <v>635</v>
      </c>
      <c r="X204" s="77" t="s">
        <v>211</v>
      </c>
      <c r="Y204" s="77" t="s">
        <v>568</v>
      </c>
      <c r="Z204" s="77"/>
      <c r="AA204" s="72" t="s">
        <v>644</v>
      </c>
      <c r="AB204" s="72" t="s">
        <v>105</v>
      </c>
      <c r="AC204" s="77"/>
      <c r="AD204" s="77"/>
      <c r="AE204" s="77"/>
      <c r="AF204" s="72">
        <v>2</v>
      </c>
      <c r="AG204" s="72" t="s">
        <v>90</v>
      </c>
      <c r="AH204" s="76" t="s">
        <v>645</v>
      </c>
      <c r="AI204" s="72" t="s">
        <v>637</v>
      </c>
      <c r="AJ204" s="77"/>
      <c r="AK204" s="77"/>
      <c r="AL204" s="77"/>
      <c r="AM204" s="77"/>
      <c r="AN204" s="77"/>
      <c r="AO204" s="77"/>
      <c r="AP204" s="72" t="s">
        <v>155</v>
      </c>
      <c r="AQ204" s="72" t="s">
        <v>119</v>
      </c>
      <c r="AR204" s="72" t="s">
        <v>114</v>
      </c>
      <c r="AS204" s="72" t="s">
        <v>120</v>
      </c>
      <c r="AT204" s="72" t="s">
        <v>116</v>
      </c>
      <c r="AU204" t="s">
        <v>646</v>
      </c>
      <c r="AV204" s="72">
        <v>7</v>
      </c>
      <c r="AW204" s="72" t="s">
        <v>647</v>
      </c>
      <c r="AX204" s="72" t="s">
        <v>123</v>
      </c>
      <c r="AZ204" s="72" t="s">
        <v>116</v>
      </c>
      <c r="BA204" s="72" t="s">
        <v>648</v>
      </c>
      <c r="BB204" s="72">
        <v>3</v>
      </c>
      <c r="BO204" s="72">
        <v>10</v>
      </c>
      <c r="BP204" s="72" t="s">
        <v>660</v>
      </c>
      <c r="BQ204" s="72" t="s">
        <v>591</v>
      </c>
      <c r="BR204" s="72" t="s">
        <v>650</v>
      </c>
      <c r="BS204" s="82">
        <v>0.152863</v>
      </c>
      <c r="BT204" s="72">
        <v>0.163087937272337</v>
      </c>
      <c r="BU204" s="82">
        <v>0.18149299999999999</v>
      </c>
      <c r="BV204" s="72" t="s">
        <v>594</v>
      </c>
      <c r="BW204" s="72">
        <v>1</v>
      </c>
      <c r="BX204" s="72">
        <v>0.13957056300000001</v>
      </c>
      <c r="BY204" s="72">
        <v>0.150306751577092</v>
      </c>
      <c r="BZ204" s="72">
        <v>0.172801646</v>
      </c>
      <c r="CA204" s="72" t="s">
        <v>594</v>
      </c>
      <c r="CB204" s="72">
        <v>1</v>
      </c>
      <c r="CC204" s="72" t="s">
        <v>537</v>
      </c>
      <c r="CD204" s="72" t="s">
        <v>163</v>
      </c>
    </row>
    <row r="205" spans="1:82" s="72" customFormat="1" ht="101.5">
      <c r="A205" s="72" t="s">
        <v>639</v>
      </c>
      <c r="B205" s="72" t="str">
        <f t="shared" si="0"/>
        <v>addtl8-2019</v>
      </c>
      <c r="C205" s="72">
        <v>2019</v>
      </c>
      <c r="D205" s="73" t="s">
        <v>640</v>
      </c>
      <c r="E205" s="74">
        <v>45044</v>
      </c>
      <c r="F205" s="72" t="s">
        <v>90</v>
      </c>
      <c r="G205" s="72" t="s">
        <v>495</v>
      </c>
      <c r="I205" s="75" t="s">
        <v>641</v>
      </c>
      <c r="J205" s="76" t="s">
        <v>642</v>
      </c>
      <c r="K205" s="72" t="s">
        <v>94</v>
      </c>
      <c r="L205" s="72" t="s">
        <v>94</v>
      </c>
      <c r="M205" s="72" t="s">
        <v>95</v>
      </c>
      <c r="N205" s="80" t="s">
        <v>643</v>
      </c>
      <c r="O205" s="81" t="s">
        <v>97</v>
      </c>
      <c r="P205" s="72" t="s">
        <v>97</v>
      </c>
      <c r="S205" s="72" t="s">
        <v>90</v>
      </c>
      <c r="T205" s="72" t="s">
        <v>191</v>
      </c>
      <c r="U205" s="77" t="s">
        <v>99</v>
      </c>
      <c r="V205" s="77">
        <v>1</v>
      </c>
      <c r="W205" s="77" t="s">
        <v>635</v>
      </c>
      <c r="X205" s="77" t="s">
        <v>211</v>
      </c>
      <c r="Y205" s="77" t="s">
        <v>568</v>
      </c>
      <c r="Z205" s="77"/>
      <c r="AA205" s="72" t="s">
        <v>644</v>
      </c>
      <c r="AB205" s="72" t="s">
        <v>105</v>
      </c>
      <c r="AC205" s="77"/>
      <c r="AD205" s="77"/>
      <c r="AE205" s="77"/>
      <c r="AF205" s="72">
        <v>2</v>
      </c>
      <c r="AG205" s="72" t="s">
        <v>90</v>
      </c>
      <c r="AH205" s="76" t="s">
        <v>645</v>
      </c>
      <c r="AI205" s="72" t="s">
        <v>637</v>
      </c>
      <c r="AJ205" s="77"/>
      <c r="AK205" s="77"/>
      <c r="AL205" s="77"/>
      <c r="AM205" s="77"/>
      <c r="AN205" s="77"/>
      <c r="AO205" s="77"/>
      <c r="AP205" s="72" t="s">
        <v>155</v>
      </c>
      <c r="AQ205" s="72" t="s">
        <v>119</v>
      </c>
      <c r="AR205" s="72" t="s">
        <v>114</v>
      </c>
      <c r="AS205" s="72" t="s">
        <v>120</v>
      </c>
      <c r="AT205" s="72" t="s">
        <v>116</v>
      </c>
      <c r="AU205" t="s">
        <v>646</v>
      </c>
      <c r="AV205" s="72">
        <v>7</v>
      </c>
      <c r="AW205" s="72" t="s">
        <v>647</v>
      </c>
      <c r="AX205" s="72" t="s">
        <v>123</v>
      </c>
      <c r="AZ205" s="72" t="s">
        <v>116</v>
      </c>
      <c r="BA205" s="72" t="s">
        <v>648</v>
      </c>
      <c r="BB205" s="72">
        <v>3</v>
      </c>
      <c r="BO205" s="72">
        <v>10</v>
      </c>
      <c r="BP205" s="72" t="s">
        <v>661</v>
      </c>
      <c r="BQ205" s="72" t="s">
        <v>591</v>
      </c>
      <c r="BR205" s="72" t="s">
        <v>650</v>
      </c>
      <c r="BS205" s="82">
        <v>0.167689</v>
      </c>
      <c r="BT205" s="72">
        <v>0.19171780493120899</v>
      </c>
      <c r="BU205" s="82">
        <v>0.19989799999999999</v>
      </c>
      <c r="BV205" s="72" t="s">
        <v>594</v>
      </c>
      <c r="BW205" s="72">
        <v>1</v>
      </c>
      <c r="BX205" s="72">
        <v>0.13957056300000001</v>
      </c>
      <c r="BY205" s="72">
        <v>0.150306751577092</v>
      </c>
      <c r="BZ205" s="72">
        <v>0.172801646</v>
      </c>
      <c r="CA205" s="72" t="s">
        <v>594</v>
      </c>
      <c r="CB205" s="72">
        <v>1</v>
      </c>
      <c r="CC205" s="72" t="s">
        <v>537</v>
      </c>
      <c r="CD205" s="72" t="s">
        <v>163</v>
      </c>
    </row>
    <row r="206" spans="1:82" s="72" customFormat="1" ht="101.5">
      <c r="A206" s="72" t="s">
        <v>639</v>
      </c>
      <c r="B206" s="72" t="str">
        <f t="shared" si="0"/>
        <v>addtl8-2019</v>
      </c>
      <c r="C206" s="72">
        <v>2019</v>
      </c>
      <c r="D206" s="73" t="s">
        <v>640</v>
      </c>
      <c r="E206" s="74">
        <v>45044</v>
      </c>
      <c r="F206" s="72" t="s">
        <v>90</v>
      </c>
      <c r="G206" s="72" t="s">
        <v>495</v>
      </c>
      <c r="I206" s="75" t="s">
        <v>641</v>
      </c>
      <c r="J206" s="76" t="s">
        <v>642</v>
      </c>
      <c r="K206" s="72" t="s">
        <v>94</v>
      </c>
      <c r="L206" s="72" t="s">
        <v>94</v>
      </c>
      <c r="M206" s="72" t="s">
        <v>95</v>
      </c>
      <c r="N206" s="80" t="s">
        <v>643</v>
      </c>
      <c r="O206" s="81" t="s">
        <v>97</v>
      </c>
      <c r="P206" s="72" t="s">
        <v>97</v>
      </c>
      <c r="S206" s="72" t="s">
        <v>90</v>
      </c>
      <c r="T206" s="72" t="s">
        <v>191</v>
      </c>
      <c r="U206" s="77" t="s">
        <v>99</v>
      </c>
      <c r="V206" s="77">
        <v>1</v>
      </c>
      <c r="W206" s="77" t="s">
        <v>635</v>
      </c>
      <c r="X206" s="77" t="s">
        <v>211</v>
      </c>
      <c r="Y206" s="77" t="s">
        <v>568</v>
      </c>
      <c r="Z206" s="77"/>
      <c r="AA206" s="72" t="s">
        <v>644</v>
      </c>
      <c r="AB206" s="72" t="s">
        <v>105</v>
      </c>
      <c r="AC206" s="77"/>
      <c r="AD206" s="77"/>
      <c r="AE206" s="77"/>
      <c r="AF206" s="72">
        <v>2</v>
      </c>
      <c r="AG206" s="72" t="s">
        <v>90</v>
      </c>
      <c r="AH206" s="76" t="s">
        <v>645</v>
      </c>
      <c r="AI206" s="72" t="s">
        <v>637</v>
      </c>
      <c r="AJ206" s="77"/>
      <c r="AK206" s="77"/>
      <c r="AL206" s="77"/>
      <c r="AM206" s="77"/>
      <c r="AN206" s="77"/>
      <c r="AO206" s="77"/>
      <c r="AP206" s="72" t="s">
        <v>155</v>
      </c>
      <c r="AQ206" s="72" t="s">
        <v>119</v>
      </c>
      <c r="AR206" s="72" t="s">
        <v>114</v>
      </c>
      <c r="AS206" s="72" t="s">
        <v>120</v>
      </c>
      <c r="AT206" s="72" t="s">
        <v>116</v>
      </c>
      <c r="AU206" t="s">
        <v>646</v>
      </c>
      <c r="AV206" s="72">
        <v>7</v>
      </c>
      <c r="AW206" s="72" t="s">
        <v>647</v>
      </c>
      <c r="AX206" s="72" t="s">
        <v>123</v>
      </c>
      <c r="AZ206" s="72" t="s">
        <v>116</v>
      </c>
      <c r="BA206" s="72" t="s">
        <v>648</v>
      </c>
      <c r="BB206" s="72">
        <v>3</v>
      </c>
      <c r="BO206" s="72">
        <v>12</v>
      </c>
      <c r="BP206" s="72" t="s">
        <v>662</v>
      </c>
      <c r="BQ206" s="72" t="s">
        <v>591</v>
      </c>
      <c r="BR206" s="72" t="s">
        <v>650</v>
      </c>
      <c r="BS206" s="82">
        <v>0.17331299999999999</v>
      </c>
      <c r="BT206" s="72">
        <v>0.19171780493120899</v>
      </c>
      <c r="BU206" s="82">
        <v>0.20449899999999999</v>
      </c>
      <c r="BV206" s="72" t="s">
        <v>594</v>
      </c>
      <c r="BW206" s="72">
        <v>1</v>
      </c>
      <c r="BX206" s="72">
        <v>0.144171779</v>
      </c>
      <c r="BY206" s="72">
        <v>0.14570553642832901</v>
      </c>
      <c r="BZ206" s="72">
        <v>0.15235174900000001</v>
      </c>
      <c r="CA206" s="72" t="s">
        <v>594</v>
      </c>
      <c r="CB206" s="72">
        <v>1</v>
      </c>
      <c r="CC206" s="72" t="s">
        <v>537</v>
      </c>
      <c r="CD206" s="72" t="s">
        <v>163</v>
      </c>
    </row>
    <row r="207" spans="1:82" s="72" customFormat="1" ht="101.5">
      <c r="A207" s="72" t="s">
        <v>639</v>
      </c>
      <c r="B207" s="72" t="str">
        <f t="shared" si="0"/>
        <v>addtl8-2019</v>
      </c>
      <c r="C207" s="72">
        <v>2019</v>
      </c>
      <c r="D207" s="73" t="s">
        <v>640</v>
      </c>
      <c r="E207" s="74">
        <v>45044</v>
      </c>
      <c r="F207" s="72" t="s">
        <v>90</v>
      </c>
      <c r="G207" s="72" t="s">
        <v>495</v>
      </c>
      <c r="I207" s="75" t="s">
        <v>641</v>
      </c>
      <c r="J207" s="76" t="s">
        <v>642</v>
      </c>
      <c r="K207" s="72" t="s">
        <v>94</v>
      </c>
      <c r="L207" s="72" t="s">
        <v>94</v>
      </c>
      <c r="M207" s="72" t="s">
        <v>95</v>
      </c>
      <c r="N207" s="80" t="s">
        <v>643</v>
      </c>
      <c r="O207" s="81" t="s">
        <v>97</v>
      </c>
      <c r="P207" s="72" t="s">
        <v>97</v>
      </c>
      <c r="S207" s="72" t="s">
        <v>90</v>
      </c>
      <c r="T207" s="72" t="s">
        <v>191</v>
      </c>
      <c r="U207" s="77" t="s">
        <v>99</v>
      </c>
      <c r="V207" s="77">
        <v>1</v>
      </c>
      <c r="W207" s="77" t="s">
        <v>635</v>
      </c>
      <c r="X207" s="77" t="s">
        <v>211</v>
      </c>
      <c r="Y207" s="77" t="s">
        <v>568</v>
      </c>
      <c r="Z207" s="77"/>
      <c r="AA207" s="72" t="s">
        <v>644</v>
      </c>
      <c r="AB207" s="72" t="s">
        <v>105</v>
      </c>
      <c r="AC207" s="77"/>
      <c r="AD207" s="77"/>
      <c r="AE207" s="77"/>
      <c r="AF207" s="72">
        <v>2</v>
      </c>
      <c r="AG207" s="72" t="s">
        <v>90</v>
      </c>
      <c r="AH207" s="76" t="s">
        <v>645</v>
      </c>
      <c r="AI207" s="72" t="s">
        <v>637</v>
      </c>
      <c r="AJ207" s="77"/>
      <c r="AK207" s="77"/>
      <c r="AL207" s="77"/>
      <c r="AM207" s="77"/>
      <c r="AN207" s="77"/>
      <c r="AO207" s="77"/>
      <c r="AP207" s="72" t="s">
        <v>155</v>
      </c>
      <c r="AQ207" s="72" t="s">
        <v>119</v>
      </c>
      <c r="AR207" s="72" t="s">
        <v>114</v>
      </c>
      <c r="AS207" s="72" t="s">
        <v>120</v>
      </c>
      <c r="AT207" s="72" t="s">
        <v>116</v>
      </c>
      <c r="AU207" t="s">
        <v>646</v>
      </c>
      <c r="AV207" s="72">
        <v>7</v>
      </c>
      <c r="AW207" s="72" t="s">
        <v>647</v>
      </c>
      <c r="AX207" s="72" t="s">
        <v>123</v>
      </c>
      <c r="AZ207" s="72" t="s">
        <v>116</v>
      </c>
      <c r="BA207" s="72" t="s">
        <v>648</v>
      </c>
      <c r="BB207" s="72">
        <v>3</v>
      </c>
      <c r="BO207" s="72">
        <v>12</v>
      </c>
      <c r="BP207" s="72" t="s">
        <v>663</v>
      </c>
      <c r="BQ207" s="72" t="s">
        <v>591</v>
      </c>
      <c r="BR207" s="72" t="s">
        <v>650</v>
      </c>
      <c r="BS207" s="82">
        <v>0.178425</v>
      </c>
      <c r="BT207" s="72">
        <v>0.180470357618886</v>
      </c>
      <c r="BU207" s="82">
        <v>0.20807800000000001</v>
      </c>
      <c r="BV207" s="72" t="s">
        <v>594</v>
      </c>
      <c r="BW207" s="72">
        <v>1</v>
      </c>
      <c r="BX207" s="72">
        <v>0.144171779</v>
      </c>
      <c r="BY207" s="72">
        <v>0.14570553642832901</v>
      </c>
      <c r="BZ207" s="72">
        <v>0.15235174900000001</v>
      </c>
      <c r="CA207" s="72" t="s">
        <v>594</v>
      </c>
      <c r="CB207" s="72">
        <v>1</v>
      </c>
      <c r="CC207" s="72" t="s">
        <v>537</v>
      </c>
      <c r="CD207" s="72" t="s">
        <v>163</v>
      </c>
    </row>
    <row r="208" spans="1:82" s="72" customFormat="1" ht="101.5">
      <c r="A208" s="72" t="s">
        <v>639</v>
      </c>
      <c r="B208" s="72" t="str">
        <f t="shared" si="0"/>
        <v>addtl8-2019</v>
      </c>
      <c r="C208" s="72">
        <v>2019</v>
      </c>
      <c r="D208" s="73" t="s">
        <v>640</v>
      </c>
      <c r="E208" s="74">
        <v>45044</v>
      </c>
      <c r="F208" s="72" t="s">
        <v>90</v>
      </c>
      <c r="G208" s="72" t="s">
        <v>495</v>
      </c>
      <c r="I208" s="75" t="s">
        <v>641</v>
      </c>
      <c r="J208" s="76" t="s">
        <v>642</v>
      </c>
      <c r="K208" s="72" t="s">
        <v>94</v>
      </c>
      <c r="L208" s="72" t="s">
        <v>94</v>
      </c>
      <c r="M208" s="72" t="s">
        <v>95</v>
      </c>
      <c r="N208" s="80" t="s">
        <v>643</v>
      </c>
      <c r="O208" s="81" t="s">
        <v>97</v>
      </c>
      <c r="P208" s="72" t="s">
        <v>97</v>
      </c>
      <c r="S208" s="72" t="s">
        <v>90</v>
      </c>
      <c r="T208" s="72" t="s">
        <v>191</v>
      </c>
      <c r="U208" s="77" t="s">
        <v>99</v>
      </c>
      <c r="V208" s="77">
        <v>1</v>
      </c>
      <c r="W208" s="77" t="s">
        <v>635</v>
      </c>
      <c r="X208" s="77" t="s">
        <v>211</v>
      </c>
      <c r="Y208" s="77" t="s">
        <v>568</v>
      </c>
      <c r="Z208" s="77"/>
      <c r="AA208" s="72" t="s">
        <v>644</v>
      </c>
      <c r="AB208" s="72" t="s">
        <v>105</v>
      </c>
      <c r="AC208" s="77"/>
      <c r="AD208" s="77"/>
      <c r="AE208" s="77"/>
      <c r="AF208" s="72">
        <v>2</v>
      </c>
      <c r="AG208" s="72" t="s">
        <v>90</v>
      </c>
      <c r="AH208" s="76" t="s">
        <v>645</v>
      </c>
      <c r="AI208" s="72" t="s">
        <v>637</v>
      </c>
      <c r="AJ208" s="77"/>
      <c r="AK208" s="77"/>
      <c r="AL208" s="77"/>
      <c r="AM208" s="77"/>
      <c r="AN208" s="77"/>
      <c r="AO208" s="77"/>
      <c r="AP208" s="72" t="s">
        <v>155</v>
      </c>
      <c r="AQ208" s="72" t="s">
        <v>119</v>
      </c>
      <c r="AR208" s="72" t="s">
        <v>114</v>
      </c>
      <c r="AS208" s="72" t="s">
        <v>120</v>
      </c>
      <c r="AT208" s="72" t="s">
        <v>116</v>
      </c>
      <c r="AU208" t="s">
        <v>646</v>
      </c>
      <c r="AV208" s="72">
        <v>7</v>
      </c>
      <c r="AW208" s="72" t="s">
        <v>647</v>
      </c>
      <c r="AX208" s="72" t="s">
        <v>123</v>
      </c>
      <c r="AZ208" s="72" t="s">
        <v>116</v>
      </c>
      <c r="BA208" s="72" t="s">
        <v>648</v>
      </c>
      <c r="BB208" s="72">
        <v>3</v>
      </c>
      <c r="BO208" s="72">
        <v>12</v>
      </c>
      <c r="BP208" s="72" t="s">
        <v>664</v>
      </c>
      <c r="BQ208" s="72" t="s">
        <v>591</v>
      </c>
      <c r="BR208" s="72" t="s">
        <v>650</v>
      </c>
      <c r="BS208" s="82">
        <v>0.188139</v>
      </c>
      <c r="BT208" s="72">
        <v>0.18456033314085599</v>
      </c>
      <c r="BU208" s="82">
        <v>0.218303</v>
      </c>
      <c r="BV208" s="72" t="s">
        <v>594</v>
      </c>
      <c r="BW208" s="72">
        <v>1</v>
      </c>
      <c r="BX208" s="72">
        <v>0.144171779</v>
      </c>
      <c r="BY208" s="72">
        <v>0.14570553642832901</v>
      </c>
      <c r="BZ208" s="72">
        <v>0.15235174900000001</v>
      </c>
      <c r="CA208" s="72" t="s">
        <v>594</v>
      </c>
      <c r="CB208" s="72">
        <v>1</v>
      </c>
      <c r="CC208" s="72" t="s">
        <v>537</v>
      </c>
      <c r="CD208" s="72" t="s">
        <v>163</v>
      </c>
    </row>
    <row r="209" spans="1:82" s="72" customFormat="1" ht="101.5">
      <c r="A209" s="72" t="s">
        <v>639</v>
      </c>
      <c r="B209" s="72" t="str">
        <f t="shared" si="0"/>
        <v>addtl8-2019</v>
      </c>
      <c r="C209" s="72">
        <v>2019</v>
      </c>
      <c r="D209" s="73" t="s">
        <v>640</v>
      </c>
      <c r="E209" s="74">
        <v>45044</v>
      </c>
      <c r="F209" s="72" t="s">
        <v>90</v>
      </c>
      <c r="G209" s="72" t="s">
        <v>495</v>
      </c>
      <c r="I209" s="75" t="s">
        <v>641</v>
      </c>
      <c r="J209" s="76" t="s">
        <v>642</v>
      </c>
      <c r="K209" s="72" t="s">
        <v>94</v>
      </c>
      <c r="L209" s="72" t="s">
        <v>94</v>
      </c>
      <c r="M209" s="72" t="s">
        <v>95</v>
      </c>
      <c r="N209" s="80" t="s">
        <v>643</v>
      </c>
      <c r="O209" s="81" t="s">
        <v>97</v>
      </c>
      <c r="P209" s="72" t="s">
        <v>97</v>
      </c>
      <c r="S209" s="72" t="s">
        <v>90</v>
      </c>
      <c r="T209" s="72" t="s">
        <v>191</v>
      </c>
      <c r="U209" s="77" t="s">
        <v>99</v>
      </c>
      <c r="V209" s="77">
        <v>1</v>
      </c>
      <c r="W209" s="77" t="s">
        <v>635</v>
      </c>
      <c r="X209" s="77" t="s">
        <v>211</v>
      </c>
      <c r="Y209" s="77" t="s">
        <v>568</v>
      </c>
      <c r="Z209" s="77"/>
      <c r="AA209" s="72" t="s">
        <v>644</v>
      </c>
      <c r="AB209" s="72" t="s">
        <v>105</v>
      </c>
      <c r="AC209" s="77"/>
      <c r="AD209" s="77"/>
      <c r="AE209" s="77"/>
      <c r="AF209" s="72">
        <v>2</v>
      </c>
      <c r="AG209" s="72" t="s">
        <v>90</v>
      </c>
      <c r="AH209" s="76" t="s">
        <v>645</v>
      </c>
      <c r="AI209" s="72" t="s">
        <v>637</v>
      </c>
      <c r="AJ209" s="77"/>
      <c r="AK209" s="77"/>
      <c r="AL209" s="77"/>
      <c r="AM209" s="77"/>
      <c r="AN209" s="77"/>
      <c r="AO209" s="77"/>
      <c r="AP209" s="72" t="s">
        <v>155</v>
      </c>
      <c r="AQ209" s="72" t="s">
        <v>119</v>
      </c>
      <c r="AR209" s="72" t="s">
        <v>114</v>
      </c>
      <c r="AS209" s="72" t="s">
        <v>120</v>
      </c>
      <c r="AT209" s="72" t="s">
        <v>116</v>
      </c>
      <c r="AU209" t="s">
        <v>646</v>
      </c>
      <c r="AV209" s="72">
        <v>7</v>
      </c>
      <c r="AW209" s="72" t="s">
        <v>647</v>
      </c>
      <c r="AX209" s="72" t="s">
        <v>123</v>
      </c>
      <c r="AZ209" s="72" t="s">
        <v>116</v>
      </c>
      <c r="BA209" s="72" t="s">
        <v>648</v>
      </c>
      <c r="BB209" s="72">
        <v>3</v>
      </c>
      <c r="BO209" s="72">
        <v>14</v>
      </c>
      <c r="BP209" s="72" t="s">
        <v>665</v>
      </c>
      <c r="BQ209" s="72" t="s">
        <v>591</v>
      </c>
      <c r="BR209" s="72" t="s">
        <v>650</v>
      </c>
      <c r="BS209" s="82">
        <v>0.17024500000000001</v>
      </c>
      <c r="BT209" s="72">
        <v>0.174846624211453</v>
      </c>
      <c r="BU209" s="82">
        <v>0.17433499999999999</v>
      </c>
      <c r="BV209" s="72" t="s">
        <v>594</v>
      </c>
      <c r="BW209" s="72">
        <v>1</v>
      </c>
      <c r="BX209" s="72">
        <v>0.116564429</v>
      </c>
      <c r="BY209" s="72">
        <v>0.116053170013328</v>
      </c>
      <c r="BZ209" s="72">
        <v>0.11707566899999999</v>
      </c>
      <c r="CA209" s="72" t="s">
        <v>594</v>
      </c>
      <c r="CB209" s="72">
        <v>1</v>
      </c>
      <c r="CC209" s="72" t="s">
        <v>537</v>
      </c>
      <c r="CD209" s="72" t="s">
        <v>163</v>
      </c>
    </row>
    <row r="210" spans="1:82" s="72" customFormat="1" ht="101.5">
      <c r="A210" s="72" t="s">
        <v>639</v>
      </c>
      <c r="B210" s="72" t="str">
        <f t="shared" si="0"/>
        <v>addtl8-2019</v>
      </c>
      <c r="C210" s="72">
        <v>2019</v>
      </c>
      <c r="D210" s="73" t="s">
        <v>640</v>
      </c>
      <c r="E210" s="74">
        <v>45044</v>
      </c>
      <c r="F210" s="72" t="s">
        <v>90</v>
      </c>
      <c r="G210" s="72" t="s">
        <v>495</v>
      </c>
      <c r="I210" s="75" t="s">
        <v>641</v>
      </c>
      <c r="J210" s="76" t="s">
        <v>642</v>
      </c>
      <c r="K210" s="72" t="s">
        <v>94</v>
      </c>
      <c r="L210" s="72" t="s">
        <v>94</v>
      </c>
      <c r="M210" s="72" t="s">
        <v>95</v>
      </c>
      <c r="N210" s="80" t="s">
        <v>643</v>
      </c>
      <c r="O210" s="81" t="s">
        <v>97</v>
      </c>
      <c r="P210" s="72" t="s">
        <v>97</v>
      </c>
      <c r="S210" s="72" t="s">
        <v>90</v>
      </c>
      <c r="T210" s="72" t="s">
        <v>191</v>
      </c>
      <c r="U210" s="77" t="s">
        <v>99</v>
      </c>
      <c r="V210" s="77">
        <v>1</v>
      </c>
      <c r="W210" s="77" t="s">
        <v>635</v>
      </c>
      <c r="X210" s="77" t="s">
        <v>211</v>
      </c>
      <c r="Y210" s="77" t="s">
        <v>568</v>
      </c>
      <c r="Z210" s="77"/>
      <c r="AA210" s="72" t="s">
        <v>644</v>
      </c>
      <c r="AB210" s="72" t="s">
        <v>105</v>
      </c>
      <c r="AC210" s="77"/>
      <c r="AD210" s="77"/>
      <c r="AE210" s="77"/>
      <c r="AF210" s="72">
        <v>2</v>
      </c>
      <c r="AG210" s="72" t="s">
        <v>90</v>
      </c>
      <c r="AH210" s="76" t="s">
        <v>645</v>
      </c>
      <c r="AI210" s="72" t="s">
        <v>637</v>
      </c>
      <c r="AJ210" s="77"/>
      <c r="AK210" s="77"/>
      <c r="AL210" s="77"/>
      <c r="AM210" s="77"/>
      <c r="AN210" s="77"/>
      <c r="AO210" s="77"/>
      <c r="AP210" s="72" t="s">
        <v>155</v>
      </c>
      <c r="AQ210" s="72" t="s">
        <v>119</v>
      </c>
      <c r="AR210" s="72" t="s">
        <v>114</v>
      </c>
      <c r="AS210" s="72" t="s">
        <v>120</v>
      </c>
      <c r="AT210" s="72" t="s">
        <v>116</v>
      </c>
      <c r="AU210" t="s">
        <v>646</v>
      </c>
      <c r="AV210" s="72">
        <v>7</v>
      </c>
      <c r="AW210" s="72" t="s">
        <v>647</v>
      </c>
      <c r="AX210" s="72" t="s">
        <v>123</v>
      </c>
      <c r="AZ210" s="72" t="s">
        <v>116</v>
      </c>
      <c r="BA210" s="72" t="s">
        <v>648</v>
      </c>
      <c r="BB210" s="72">
        <v>3</v>
      </c>
      <c r="BO210" s="72">
        <v>14</v>
      </c>
      <c r="BP210" s="72" t="s">
        <v>666</v>
      </c>
      <c r="BQ210" s="72" t="s">
        <v>591</v>
      </c>
      <c r="BR210" s="72" t="s">
        <v>650</v>
      </c>
      <c r="BS210" s="82">
        <v>0.17893700000000001</v>
      </c>
      <c r="BT210" s="72">
        <v>0.20245399311419801</v>
      </c>
      <c r="BU210" s="82">
        <v>0.202454</v>
      </c>
      <c r="BV210" s="72" t="s">
        <v>594</v>
      </c>
      <c r="BW210" s="72">
        <v>1</v>
      </c>
      <c r="BX210" s="72">
        <v>0.116564429</v>
      </c>
      <c r="BY210" s="72">
        <v>0.116053170013328</v>
      </c>
      <c r="BZ210" s="72">
        <v>0.11707566899999999</v>
      </c>
      <c r="CA210" s="72" t="s">
        <v>594</v>
      </c>
      <c r="CB210" s="72">
        <v>1</v>
      </c>
      <c r="CC210" s="72" t="s">
        <v>537</v>
      </c>
      <c r="CD210" s="72" t="s">
        <v>163</v>
      </c>
    </row>
    <row r="211" spans="1:82" s="72" customFormat="1" ht="101.5">
      <c r="A211" s="72" t="s">
        <v>639</v>
      </c>
      <c r="B211" s="72" t="str">
        <f t="shared" si="0"/>
        <v>addtl8-2019</v>
      </c>
      <c r="C211" s="72">
        <v>2019</v>
      </c>
      <c r="D211" s="73" t="s">
        <v>640</v>
      </c>
      <c r="E211" s="74">
        <v>45044</v>
      </c>
      <c r="F211" s="72" t="s">
        <v>90</v>
      </c>
      <c r="G211" s="72" t="s">
        <v>495</v>
      </c>
      <c r="I211" s="75" t="s">
        <v>641</v>
      </c>
      <c r="J211" s="76" t="s">
        <v>642</v>
      </c>
      <c r="K211" s="72" t="s">
        <v>94</v>
      </c>
      <c r="L211" s="72" t="s">
        <v>94</v>
      </c>
      <c r="M211" s="72" t="s">
        <v>95</v>
      </c>
      <c r="N211" s="80" t="s">
        <v>643</v>
      </c>
      <c r="O211" s="81" t="s">
        <v>97</v>
      </c>
      <c r="P211" s="72" t="s">
        <v>97</v>
      </c>
      <c r="S211" s="72" t="s">
        <v>90</v>
      </c>
      <c r="T211" s="72" t="s">
        <v>191</v>
      </c>
      <c r="U211" s="77" t="s">
        <v>99</v>
      </c>
      <c r="V211" s="77">
        <v>1</v>
      </c>
      <c r="W211" s="77" t="s">
        <v>635</v>
      </c>
      <c r="X211" s="77" t="s">
        <v>211</v>
      </c>
      <c r="Y211" s="77" t="s">
        <v>568</v>
      </c>
      <c r="Z211" s="77"/>
      <c r="AA211" s="72" t="s">
        <v>644</v>
      </c>
      <c r="AB211" s="72" t="s">
        <v>105</v>
      </c>
      <c r="AC211" s="77"/>
      <c r="AD211" s="77"/>
      <c r="AE211" s="77"/>
      <c r="AF211" s="72">
        <v>2</v>
      </c>
      <c r="AG211" s="72" t="s">
        <v>90</v>
      </c>
      <c r="AH211" s="76" t="s">
        <v>645</v>
      </c>
      <c r="AI211" s="72" t="s">
        <v>637</v>
      </c>
      <c r="AJ211" s="77"/>
      <c r="AK211" s="77"/>
      <c r="AL211" s="77"/>
      <c r="AM211" s="77"/>
      <c r="AN211" s="77"/>
      <c r="AO211" s="77"/>
      <c r="AP211" s="72" t="s">
        <v>155</v>
      </c>
      <c r="AQ211" s="72" t="s">
        <v>119</v>
      </c>
      <c r="AR211" s="72" t="s">
        <v>114</v>
      </c>
      <c r="AS211" s="72" t="s">
        <v>120</v>
      </c>
      <c r="AT211" s="72" t="s">
        <v>116</v>
      </c>
      <c r="AU211" t="s">
        <v>646</v>
      </c>
      <c r="AV211" s="72">
        <v>7</v>
      </c>
      <c r="AW211" s="72" t="s">
        <v>647</v>
      </c>
      <c r="AX211" s="72" t="s">
        <v>123</v>
      </c>
      <c r="AZ211" s="72" t="s">
        <v>116</v>
      </c>
      <c r="BA211" s="72" t="s">
        <v>648</v>
      </c>
      <c r="BB211" s="72">
        <v>3</v>
      </c>
      <c r="BO211" s="72">
        <v>14</v>
      </c>
      <c r="BP211" s="72" t="s">
        <v>667</v>
      </c>
      <c r="BQ211" s="72" t="s">
        <v>591</v>
      </c>
      <c r="BR211" s="72" t="s">
        <v>650</v>
      </c>
      <c r="BS211" s="82">
        <v>0.18660499999999999</v>
      </c>
      <c r="BT211" s="72">
        <v>0.194785281697051</v>
      </c>
      <c r="BU211" s="82">
        <v>0.19580800000000001</v>
      </c>
      <c r="BV211" s="72" t="s">
        <v>594</v>
      </c>
      <c r="BW211" s="72">
        <v>1</v>
      </c>
      <c r="BX211" s="72">
        <v>0.116564429</v>
      </c>
      <c r="BY211" s="72">
        <v>0.116053170013328</v>
      </c>
      <c r="BZ211" s="72">
        <v>0.11707566899999999</v>
      </c>
      <c r="CA211" s="72" t="s">
        <v>594</v>
      </c>
      <c r="CB211" s="72">
        <v>1</v>
      </c>
      <c r="CC211" s="72" t="s">
        <v>537</v>
      </c>
      <c r="CD211" s="72" t="s">
        <v>163</v>
      </c>
    </row>
    <row r="212" spans="1:82" s="72" customFormat="1" ht="101.5">
      <c r="A212" s="72" t="s">
        <v>639</v>
      </c>
      <c r="B212" s="72" t="str">
        <f t="shared" si="0"/>
        <v>addtl8-2019</v>
      </c>
      <c r="C212" s="72">
        <v>2019</v>
      </c>
      <c r="D212" s="73" t="s">
        <v>640</v>
      </c>
      <c r="E212" s="74">
        <v>45044</v>
      </c>
      <c r="F212" s="72" t="s">
        <v>90</v>
      </c>
      <c r="G212" s="72" t="s">
        <v>495</v>
      </c>
      <c r="I212" s="75" t="s">
        <v>641</v>
      </c>
      <c r="J212" s="76" t="s">
        <v>642</v>
      </c>
      <c r="K212" s="72" t="s">
        <v>94</v>
      </c>
      <c r="L212" s="72" t="s">
        <v>94</v>
      </c>
      <c r="M212" s="72" t="s">
        <v>95</v>
      </c>
      <c r="N212" s="80" t="s">
        <v>643</v>
      </c>
      <c r="O212" s="81" t="s">
        <v>97</v>
      </c>
      <c r="P212" s="72" t="s">
        <v>97</v>
      </c>
      <c r="S212" s="72" t="s">
        <v>90</v>
      </c>
      <c r="T212" s="72" t="s">
        <v>191</v>
      </c>
      <c r="U212" s="77" t="s">
        <v>99</v>
      </c>
      <c r="V212" s="77">
        <v>1</v>
      </c>
      <c r="W212" s="77" t="s">
        <v>635</v>
      </c>
      <c r="X212" s="77" t="s">
        <v>211</v>
      </c>
      <c r="Y212" s="77" t="s">
        <v>568</v>
      </c>
      <c r="Z212" s="77"/>
      <c r="AA212" s="72" t="s">
        <v>644</v>
      </c>
      <c r="AB212" s="72" t="s">
        <v>105</v>
      </c>
      <c r="AC212" s="77"/>
      <c r="AD212" s="77"/>
      <c r="AE212" s="77"/>
      <c r="AF212" s="72">
        <v>2</v>
      </c>
      <c r="AG212" s="72" t="s">
        <v>90</v>
      </c>
      <c r="AH212" s="76" t="s">
        <v>645</v>
      </c>
      <c r="AI212" s="72" t="s">
        <v>637</v>
      </c>
      <c r="AJ212" s="77"/>
      <c r="AK212" s="77"/>
      <c r="AL212" s="77"/>
      <c r="AM212" s="77"/>
      <c r="AN212" s="77"/>
      <c r="AO212" s="77"/>
      <c r="AP212" s="72" t="s">
        <v>155</v>
      </c>
      <c r="AQ212" s="72" t="s">
        <v>119</v>
      </c>
      <c r="AR212" s="72" t="s">
        <v>114</v>
      </c>
      <c r="AS212" s="72" t="s">
        <v>120</v>
      </c>
      <c r="AT212" s="72" t="s">
        <v>116</v>
      </c>
      <c r="AU212" t="s">
        <v>646</v>
      </c>
      <c r="AV212" s="72">
        <v>7</v>
      </c>
      <c r="AW212" s="72" t="s">
        <v>647</v>
      </c>
      <c r="AX212" s="72" t="s">
        <v>123</v>
      </c>
      <c r="AZ212" s="72" t="s">
        <v>116</v>
      </c>
      <c r="BA212" s="72" t="s">
        <v>648</v>
      </c>
      <c r="BB212" s="72">
        <v>3</v>
      </c>
      <c r="BO212" s="72">
        <v>16</v>
      </c>
      <c r="BP212" s="72" t="s">
        <v>668</v>
      </c>
      <c r="BQ212" s="72" t="s">
        <v>591</v>
      </c>
      <c r="BR212" s="72" t="s">
        <v>650</v>
      </c>
      <c r="BS212" s="82">
        <v>5.9816000000000001E-2</v>
      </c>
      <c r="BT212" s="72">
        <v>5.98159529542528E-2</v>
      </c>
      <c r="BU212" s="82">
        <v>8.0266000000000004E-2</v>
      </c>
      <c r="BV212" s="72" t="s">
        <v>594</v>
      </c>
      <c r="BW212" s="72">
        <v>1</v>
      </c>
      <c r="BX212" s="72">
        <v>3.6809837999999998E-2</v>
      </c>
      <c r="BY212" s="72">
        <v>3.7832317458940501E-2</v>
      </c>
      <c r="BZ212" s="72">
        <v>3.7832316999999997E-2</v>
      </c>
      <c r="CA212" s="72" t="s">
        <v>594</v>
      </c>
      <c r="CB212" s="72">
        <v>1</v>
      </c>
      <c r="CC212" s="72" t="s">
        <v>537</v>
      </c>
      <c r="CD212" s="72" t="s">
        <v>163</v>
      </c>
    </row>
    <row r="213" spans="1:82" s="72" customFormat="1" ht="101.5">
      <c r="A213" s="72" t="s">
        <v>639</v>
      </c>
      <c r="B213" s="72" t="str">
        <f t="shared" si="0"/>
        <v>addtl8-2019</v>
      </c>
      <c r="C213" s="72">
        <v>2019</v>
      </c>
      <c r="D213" s="73" t="s">
        <v>640</v>
      </c>
      <c r="E213" s="74">
        <v>45044</v>
      </c>
      <c r="F213" s="72" t="s">
        <v>90</v>
      </c>
      <c r="G213" s="72" t="s">
        <v>495</v>
      </c>
      <c r="I213" s="75" t="s">
        <v>641</v>
      </c>
      <c r="J213" s="76" t="s">
        <v>642</v>
      </c>
      <c r="K213" s="72" t="s">
        <v>94</v>
      </c>
      <c r="L213" s="72" t="s">
        <v>94</v>
      </c>
      <c r="M213" s="72" t="s">
        <v>95</v>
      </c>
      <c r="N213" s="80" t="s">
        <v>643</v>
      </c>
      <c r="O213" s="81" t="s">
        <v>97</v>
      </c>
      <c r="P213" s="72" t="s">
        <v>97</v>
      </c>
      <c r="S213" s="72" t="s">
        <v>90</v>
      </c>
      <c r="T213" s="72" t="s">
        <v>191</v>
      </c>
      <c r="U213" s="77" t="s">
        <v>99</v>
      </c>
      <c r="V213" s="77">
        <v>1</v>
      </c>
      <c r="W213" s="77" t="s">
        <v>635</v>
      </c>
      <c r="X213" s="77" t="s">
        <v>211</v>
      </c>
      <c r="Y213" s="77" t="s">
        <v>568</v>
      </c>
      <c r="Z213" s="77"/>
      <c r="AA213" s="72" t="s">
        <v>644</v>
      </c>
      <c r="AB213" s="72" t="s">
        <v>105</v>
      </c>
      <c r="AC213" s="77"/>
      <c r="AD213" s="77"/>
      <c r="AE213" s="77"/>
      <c r="AF213" s="72">
        <v>2</v>
      </c>
      <c r="AG213" s="72" t="s">
        <v>90</v>
      </c>
      <c r="AH213" s="76" t="s">
        <v>645</v>
      </c>
      <c r="AI213" s="72" t="s">
        <v>637</v>
      </c>
      <c r="AJ213" s="77"/>
      <c r="AK213" s="77"/>
      <c r="AL213" s="77"/>
      <c r="AM213" s="77"/>
      <c r="AN213" s="77"/>
      <c r="AO213" s="77"/>
      <c r="AP213" s="72" t="s">
        <v>155</v>
      </c>
      <c r="AQ213" s="72" t="s">
        <v>119</v>
      </c>
      <c r="AR213" s="72" t="s">
        <v>114</v>
      </c>
      <c r="AS213" s="72" t="s">
        <v>120</v>
      </c>
      <c r="AT213" s="72" t="s">
        <v>116</v>
      </c>
      <c r="AU213" t="s">
        <v>646</v>
      </c>
      <c r="AV213" s="72">
        <v>7</v>
      </c>
      <c r="AW213" s="72" t="s">
        <v>647</v>
      </c>
      <c r="AX213" s="72" t="s">
        <v>123</v>
      </c>
      <c r="AZ213" s="72" t="s">
        <v>116</v>
      </c>
      <c r="BA213" s="72" t="s">
        <v>648</v>
      </c>
      <c r="BB213" s="72">
        <v>3</v>
      </c>
      <c r="BO213" s="72">
        <v>16</v>
      </c>
      <c r="BP213" s="72" t="s">
        <v>669</v>
      </c>
      <c r="BQ213" s="72" t="s">
        <v>591</v>
      </c>
      <c r="BR213" s="72" t="s">
        <v>650</v>
      </c>
      <c r="BS213" s="82">
        <v>0.104294</v>
      </c>
      <c r="BT213" s="72">
        <v>0.10531698183034</v>
      </c>
      <c r="BU213" s="82">
        <v>0.114519</v>
      </c>
      <c r="BV213" s="72" t="s">
        <v>594</v>
      </c>
      <c r="BW213" s="72">
        <v>1</v>
      </c>
      <c r="BX213" s="72">
        <v>3.6809837999999998E-2</v>
      </c>
      <c r="BY213" s="72">
        <v>3.7832317458940501E-2</v>
      </c>
      <c r="BZ213" s="72">
        <v>3.7832316999999997E-2</v>
      </c>
      <c r="CA213" s="72" t="s">
        <v>594</v>
      </c>
      <c r="CB213" s="72">
        <v>1</v>
      </c>
      <c r="CC213" s="72" t="s">
        <v>537</v>
      </c>
      <c r="CD213" s="72" t="s">
        <v>163</v>
      </c>
    </row>
    <row r="214" spans="1:82" s="72" customFormat="1" ht="101.5">
      <c r="A214" s="72" t="s">
        <v>639</v>
      </c>
      <c r="B214" s="72" t="str">
        <f t="shared" si="0"/>
        <v>addtl8-2019</v>
      </c>
      <c r="C214" s="72">
        <v>2019</v>
      </c>
      <c r="D214" s="73" t="s">
        <v>640</v>
      </c>
      <c r="E214" s="74">
        <v>45044</v>
      </c>
      <c r="F214" s="72" t="s">
        <v>90</v>
      </c>
      <c r="G214" s="72" t="s">
        <v>495</v>
      </c>
      <c r="I214" s="75" t="s">
        <v>641</v>
      </c>
      <c r="J214" s="76" t="s">
        <v>642</v>
      </c>
      <c r="K214" s="72" t="s">
        <v>94</v>
      </c>
      <c r="L214" s="72" t="s">
        <v>94</v>
      </c>
      <c r="M214" s="72" t="s">
        <v>95</v>
      </c>
      <c r="N214" s="80" t="s">
        <v>643</v>
      </c>
      <c r="O214" s="81" t="s">
        <v>97</v>
      </c>
      <c r="P214" s="72" t="s">
        <v>97</v>
      </c>
      <c r="S214" s="72" t="s">
        <v>90</v>
      </c>
      <c r="T214" s="72" t="s">
        <v>191</v>
      </c>
      <c r="U214" s="77" t="s">
        <v>99</v>
      </c>
      <c r="V214" s="77">
        <v>1</v>
      </c>
      <c r="W214" s="77" t="s">
        <v>635</v>
      </c>
      <c r="X214" s="77" t="s">
        <v>211</v>
      </c>
      <c r="Y214" s="77" t="s">
        <v>568</v>
      </c>
      <c r="Z214" s="77"/>
      <c r="AA214" s="72" t="s">
        <v>644</v>
      </c>
      <c r="AB214" s="72" t="s">
        <v>105</v>
      </c>
      <c r="AC214" s="77"/>
      <c r="AD214" s="77"/>
      <c r="AE214" s="77"/>
      <c r="AF214" s="72">
        <v>2</v>
      </c>
      <c r="AG214" s="72" t="s">
        <v>90</v>
      </c>
      <c r="AH214" s="76" t="s">
        <v>645</v>
      </c>
      <c r="AI214" s="72" t="s">
        <v>637</v>
      </c>
      <c r="AJ214" s="77"/>
      <c r="AK214" s="77"/>
      <c r="AL214" s="77"/>
      <c r="AM214" s="77"/>
      <c r="AN214" s="77"/>
      <c r="AO214" s="77"/>
      <c r="AP214" s="72" t="s">
        <v>155</v>
      </c>
      <c r="AQ214" s="72" t="s">
        <v>119</v>
      </c>
      <c r="AR214" s="72" t="s">
        <v>114</v>
      </c>
      <c r="AS214" s="72" t="s">
        <v>120</v>
      </c>
      <c r="AT214" s="72" t="s">
        <v>116</v>
      </c>
      <c r="AU214" t="s">
        <v>646</v>
      </c>
      <c r="AV214" s="72">
        <v>7</v>
      </c>
      <c r="AW214" s="72" t="s">
        <v>647</v>
      </c>
      <c r="AX214" s="72" t="s">
        <v>123</v>
      </c>
      <c r="AZ214" s="72" t="s">
        <v>116</v>
      </c>
      <c r="BA214" s="72" t="s">
        <v>648</v>
      </c>
      <c r="BB214" s="72">
        <v>3</v>
      </c>
      <c r="BO214" s="72">
        <v>16</v>
      </c>
      <c r="BP214" s="72" t="s">
        <v>670</v>
      </c>
      <c r="BQ214" s="72" t="s">
        <v>591</v>
      </c>
      <c r="BR214" s="72" t="s">
        <v>650</v>
      </c>
      <c r="BS214" s="82">
        <v>0.11503099999999999</v>
      </c>
      <c r="BT214" s="72">
        <v>0.115541930386535</v>
      </c>
      <c r="BU214" s="82">
        <v>0.11554200000000001</v>
      </c>
      <c r="BV214" s="72" t="s">
        <v>594</v>
      </c>
      <c r="BW214" s="72">
        <v>1</v>
      </c>
      <c r="BX214" s="72">
        <v>3.6809837999999998E-2</v>
      </c>
      <c r="BY214" s="72">
        <v>3.7832317458940501E-2</v>
      </c>
      <c r="BZ214" s="72">
        <v>3.7832316999999997E-2</v>
      </c>
      <c r="CA214" s="72" t="s">
        <v>594</v>
      </c>
      <c r="CB214" s="72">
        <v>1</v>
      </c>
      <c r="CC214" s="72" t="s">
        <v>537</v>
      </c>
      <c r="CD214" s="72" t="s">
        <v>163</v>
      </c>
    </row>
    <row r="215" spans="1:82" s="72" customFormat="1" ht="75">
      <c r="A215" s="72" t="s">
        <v>748</v>
      </c>
      <c r="B215" s="72" t="str">
        <f t="shared" si="0"/>
        <v>addtl9-2018</v>
      </c>
      <c r="C215" s="72">
        <v>2018</v>
      </c>
      <c r="D215" s="73" t="s">
        <v>134</v>
      </c>
      <c r="E215" s="74">
        <v>45044</v>
      </c>
      <c r="F215" s="72" t="s">
        <v>743</v>
      </c>
      <c r="I215" s="75" t="s">
        <v>749</v>
      </c>
      <c r="J215" s="76" t="s">
        <v>750</v>
      </c>
      <c r="K215" s="76" t="s">
        <v>94</v>
      </c>
      <c r="L215" s="76" t="s">
        <v>98</v>
      </c>
      <c r="M215" s="76" t="s">
        <v>138</v>
      </c>
      <c r="N215" s="76" t="s">
        <v>751</v>
      </c>
      <c r="O215" s="76" t="s">
        <v>90</v>
      </c>
      <c r="P215" s="76" t="s">
        <v>97</v>
      </c>
      <c r="Q215" s="76" t="s">
        <v>752</v>
      </c>
      <c r="S215" s="72" t="s">
        <v>90</v>
      </c>
      <c r="T215" s="72" t="s">
        <v>141</v>
      </c>
      <c r="U215" s="77"/>
      <c r="V215" s="77"/>
      <c r="W215" s="77"/>
      <c r="X215" s="77"/>
      <c r="Y215" s="77"/>
      <c r="Z215" s="77"/>
      <c r="AA215" s="72" t="s">
        <v>753</v>
      </c>
      <c r="AB215" s="72" t="s">
        <v>20</v>
      </c>
      <c r="AC215" s="77"/>
      <c r="AD215" s="77"/>
      <c r="AE215" s="77"/>
      <c r="AF215" s="72">
        <v>2</v>
      </c>
      <c r="AG215" s="72" t="s">
        <v>90</v>
      </c>
      <c r="AH215" s="76" t="s">
        <v>645</v>
      </c>
      <c r="AI215" s="72" t="s">
        <v>152</v>
      </c>
      <c r="AJ215" s="77"/>
      <c r="AK215" s="77"/>
      <c r="AL215" s="77"/>
      <c r="AM215" s="77"/>
      <c r="AN215" s="77"/>
      <c r="AO215" s="77"/>
      <c r="AP215" s="72" t="s">
        <v>155</v>
      </c>
      <c r="AQ215" s="72" t="s">
        <v>119</v>
      </c>
      <c r="AR215" s="72" t="s">
        <v>114</v>
      </c>
      <c r="AS215" s="72" t="s">
        <v>120</v>
      </c>
      <c r="AT215" s="72" t="s">
        <v>116</v>
      </c>
      <c r="AU215" s="72" t="s">
        <v>754</v>
      </c>
      <c r="AV215" s="72">
        <v>2</v>
      </c>
      <c r="AW215" s="72" t="s">
        <v>647</v>
      </c>
      <c r="AX215" s="72" t="s">
        <v>119</v>
      </c>
      <c r="AY215" s="72" t="s">
        <v>120</v>
      </c>
      <c r="AZ215" s="72" t="s">
        <v>116</v>
      </c>
      <c r="BA215" s="72" t="s">
        <v>755</v>
      </c>
      <c r="BB215" s="72">
        <v>2</v>
      </c>
    </row>
    <row r="216" spans="1:82" s="72" customFormat="1" ht="62.5">
      <c r="A216" s="72" t="s">
        <v>671</v>
      </c>
      <c r="B216" s="72" t="str">
        <f t="shared" si="0"/>
        <v>addtl10-2018</v>
      </c>
      <c r="C216" s="72">
        <v>2018</v>
      </c>
      <c r="D216" s="73" t="s">
        <v>672</v>
      </c>
      <c r="E216" s="74">
        <v>45044</v>
      </c>
      <c r="F216" s="72" t="s">
        <v>90</v>
      </c>
      <c r="I216" s="75" t="s">
        <v>673</v>
      </c>
      <c r="J216" s="76" t="s">
        <v>674</v>
      </c>
      <c r="K216" s="76" t="s">
        <v>97</v>
      </c>
      <c r="L216" s="76" t="s">
        <v>97</v>
      </c>
      <c r="M216" s="76" t="s">
        <v>95</v>
      </c>
      <c r="N216" s="76" t="s">
        <v>675</v>
      </c>
      <c r="O216" s="76" t="s">
        <v>97</v>
      </c>
      <c r="P216" s="76" t="s">
        <v>97</v>
      </c>
      <c r="S216" s="72" t="s">
        <v>90</v>
      </c>
      <c r="T216" s="72" t="s">
        <v>191</v>
      </c>
      <c r="U216" s="77"/>
      <c r="V216" s="77"/>
      <c r="W216" s="77"/>
      <c r="X216" s="77"/>
      <c r="Y216" s="77"/>
      <c r="Z216" s="77"/>
      <c r="AA216" s="72" t="s">
        <v>676</v>
      </c>
      <c r="AB216" s="72" t="s">
        <v>105</v>
      </c>
      <c r="AC216" s="77"/>
      <c r="AD216" s="77"/>
      <c r="AE216" s="77"/>
      <c r="AF216" s="72">
        <v>2</v>
      </c>
      <c r="AG216" s="72" t="s">
        <v>90</v>
      </c>
      <c r="AH216" s="72" t="s">
        <v>677</v>
      </c>
      <c r="AI216" s="72" t="s">
        <v>637</v>
      </c>
      <c r="AJ216" s="77"/>
      <c r="AK216" s="77"/>
      <c r="AL216" s="77"/>
      <c r="AM216" s="77"/>
      <c r="AN216" s="77"/>
      <c r="AO216" s="77"/>
      <c r="AP216" s="72" t="s">
        <v>155</v>
      </c>
      <c r="AQ216" s="72" t="s">
        <v>119</v>
      </c>
      <c r="AR216" s="72" t="s">
        <v>114</v>
      </c>
      <c r="AS216" s="72" t="s">
        <v>120</v>
      </c>
      <c r="AT216" s="72" t="s">
        <v>116</v>
      </c>
      <c r="AU216" s="72" t="s">
        <v>678</v>
      </c>
      <c r="AV216" s="72">
        <v>2</v>
      </c>
      <c r="AW216" s="72" t="s">
        <v>535</v>
      </c>
      <c r="AX216" s="72" t="s">
        <v>536</v>
      </c>
      <c r="AY216" s="72" t="s">
        <v>537</v>
      </c>
      <c r="AZ216" s="72" t="s">
        <v>116</v>
      </c>
      <c r="BA216" s="72" t="s">
        <v>679</v>
      </c>
      <c r="BB216" s="72">
        <v>2</v>
      </c>
      <c r="BO216" s="72" t="s">
        <v>126</v>
      </c>
      <c r="BP216" s="72" t="s">
        <v>680</v>
      </c>
      <c r="BQ216" s="72" t="s">
        <v>591</v>
      </c>
      <c r="BR216" s="72" t="s">
        <v>681</v>
      </c>
      <c r="BS216" s="72">
        <v>66.764478542697304</v>
      </c>
      <c r="BT216" s="72">
        <v>68.247104291460502</v>
      </c>
      <c r="BU216" s="72">
        <v>69.6370655995334</v>
      </c>
      <c r="BV216" s="72" t="s">
        <v>161</v>
      </c>
      <c r="BW216" s="72">
        <v>2</v>
      </c>
      <c r="BX216" s="72">
        <v>63.961388490808602</v>
      </c>
      <c r="BY216" s="72">
        <v>65.397683786653801</v>
      </c>
      <c r="BZ216" s="72">
        <v>66.833977315071806</v>
      </c>
      <c r="CA216" s="72" t="s">
        <v>161</v>
      </c>
      <c r="CB216" s="72">
        <v>2</v>
      </c>
      <c r="CC216" s="72" t="s">
        <v>682</v>
      </c>
      <c r="CD216" s="72" t="s">
        <v>683</v>
      </c>
    </row>
    <row r="217" spans="1:82" s="72" customFormat="1" ht="62.5">
      <c r="A217" s="72" t="s">
        <v>671</v>
      </c>
      <c r="B217" s="72" t="str">
        <f t="shared" si="0"/>
        <v>addtl10-2018</v>
      </c>
      <c r="C217" s="72">
        <v>2018</v>
      </c>
      <c r="D217" s="73" t="s">
        <v>672</v>
      </c>
      <c r="E217" s="74">
        <v>45044</v>
      </c>
      <c r="F217" s="72" t="s">
        <v>90</v>
      </c>
      <c r="I217" s="75" t="s">
        <v>673</v>
      </c>
      <c r="J217" s="76" t="s">
        <v>674</v>
      </c>
      <c r="K217" s="76" t="s">
        <v>97</v>
      </c>
      <c r="L217" s="76" t="s">
        <v>97</v>
      </c>
      <c r="M217" s="76" t="s">
        <v>95</v>
      </c>
      <c r="N217" s="76" t="s">
        <v>675</v>
      </c>
      <c r="O217" s="76" t="s">
        <v>97</v>
      </c>
      <c r="P217" s="76" t="s">
        <v>97</v>
      </c>
      <c r="S217" s="72" t="s">
        <v>90</v>
      </c>
      <c r="T217" s="72" t="s">
        <v>191</v>
      </c>
      <c r="U217" s="77"/>
      <c r="V217" s="77"/>
      <c r="W217" s="77"/>
      <c r="X217" s="77"/>
      <c r="Y217" s="77"/>
      <c r="Z217" s="77"/>
      <c r="AA217" s="72" t="s">
        <v>676</v>
      </c>
      <c r="AB217" s="72" t="s">
        <v>105</v>
      </c>
      <c r="AC217" s="77"/>
      <c r="AD217" s="77"/>
      <c r="AE217" s="77"/>
      <c r="AF217" s="72">
        <v>2</v>
      </c>
      <c r="AG217" s="72" t="s">
        <v>90</v>
      </c>
      <c r="AH217" s="72" t="s">
        <v>677</v>
      </c>
      <c r="AI217" s="72" t="s">
        <v>637</v>
      </c>
      <c r="AJ217" s="77"/>
      <c r="AK217" s="77"/>
      <c r="AL217" s="77"/>
      <c r="AM217" s="77"/>
      <c r="AN217" s="77"/>
      <c r="AO217" s="77"/>
      <c r="AP217" s="72" t="s">
        <v>155</v>
      </c>
      <c r="AQ217" s="72" t="s">
        <v>119</v>
      </c>
      <c r="AR217" s="72" t="s">
        <v>114</v>
      </c>
      <c r="AS217" s="72" t="s">
        <v>120</v>
      </c>
      <c r="AT217" s="72" t="s">
        <v>116</v>
      </c>
      <c r="AU217" s="72" t="s">
        <v>678</v>
      </c>
      <c r="AV217" s="72">
        <v>2</v>
      </c>
      <c r="AW217" s="72" t="s">
        <v>535</v>
      </c>
      <c r="AX217" s="72" t="s">
        <v>536</v>
      </c>
      <c r="AY217" s="72" t="s">
        <v>537</v>
      </c>
      <c r="AZ217" s="72" t="s">
        <v>116</v>
      </c>
      <c r="BA217" s="72" t="s">
        <v>679</v>
      </c>
      <c r="BB217" s="72">
        <v>2</v>
      </c>
      <c r="BO217" s="72" t="s">
        <v>126</v>
      </c>
      <c r="BP217" s="72" t="s">
        <v>684</v>
      </c>
      <c r="BQ217" s="72" t="s">
        <v>591</v>
      </c>
      <c r="BR217" s="72" t="s">
        <v>681</v>
      </c>
      <c r="BS217" s="72">
        <v>68.247104291460502</v>
      </c>
      <c r="BT217" s="72">
        <v>69.752895708539398</v>
      </c>
      <c r="BU217" s="72">
        <v>71.21235534713</v>
      </c>
      <c r="BV217" s="72" t="s">
        <v>161</v>
      </c>
      <c r="BW217" s="72">
        <v>2</v>
      </c>
      <c r="BX217" s="72">
        <v>66.509652656369397</v>
      </c>
      <c r="BY217" s="72">
        <v>67.992278405132595</v>
      </c>
      <c r="BZ217" s="72">
        <v>69.405405381521206</v>
      </c>
      <c r="CA217" s="72" t="s">
        <v>161</v>
      </c>
      <c r="CB217" s="72">
        <v>2</v>
      </c>
      <c r="CC217" s="72" t="s">
        <v>682</v>
      </c>
      <c r="CD217" s="72" t="s">
        <v>683</v>
      </c>
    </row>
    <row r="218" spans="1:82" s="72" customFormat="1" ht="62.5">
      <c r="A218" s="72" t="s">
        <v>671</v>
      </c>
      <c r="B218" s="72" t="str">
        <f t="shared" si="0"/>
        <v>addtl10-2018</v>
      </c>
      <c r="C218" s="72">
        <v>2018</v>
      </c>
      <c r="D218" s="73" t="s">
        <v>672</v>
      </c>
      <c r="E218" s="74">
        <v>45044</v>
      </c>
      <c r="F218" s="72" t="s">
        <v>90</v>
      </c>
      <c r="I218" s="75" t="s">
        <v>673</v>
      </c>
      <c r="J218" s="76" t="s">
        <v>674</v>
      </c>
      <c r="K218" s="76" t="s">
        <v>97</v>
      </c>
      <c r="L218" s="76" t="s">
        <v>97</v>
      </c>
      <c r="M218" s="76" t="s">
        <v>95</v>
      </c>
      <c r="N218" s="76" t="s">
        <v>675</v>
      </c>
      <c r="O218" s="76" t="s">
        <v>97</v>
      </c>
      <c r="P218" s="76" t="s">
        <v>97</v>
      </c>
      <c r="S218" s="72" t="s">
        <v>90</v>
      </c>
      <c r="T218" s="72" t="s">
        <v>191</v>
      </c>
      <c r="U218" s="77"/>
      <c r="V218" s="77"/>
      <c r="W218" s="77"/>
      <c r="X218" s="77"/>
      <c r="Y218" s="77"/>
      <c r="Z218" s="77"/>
      <c r="AA218" s="72" t="s">
        <v>676</v>
      </c>
      <c r="AB218" s="72" t="s">
        <v>105</v>
      </c>
      <c r="AC218" s="77"/>
      <c r="AD218" s="77"/>
      <c r="AE218" s="77"/>
      <c r="AF218" s="72">
        <v>2</v>
      </c>
      <c r="AG218" s="72" t="s">
        <v>90</v>
      </c>
      <c r="AH218" s="72" t="s">
        <v>677</v>
      </c>
      <c r="AI218" s="72" t="s">
        <v>637</v>
      </c>
      <c r="AJ218" s="77"/>
      <c r="AK218" s="77"/>
      <c r="AL218" s="77"/>
      <c r="AM218" s="77"/>
      <c r="AN218" s="77"/>
      <c r="AO218" s="77"/>
      <c r="AP218" s="72" t="s">
        <v>155</v>
      </c>
      <c r="AQ218" s="72" t="s">
        <v>119</v>
      </c>
      <c r="AR218" s="72" t="s">
        <v>114</v>
      </c>
      <c r="AS218" s="72" t="s">
        <v>120</v>
      </c>
      <c r="AT218" s="72" t="s">
        <v>116</v>
      </c>
      <c r="AU218" s="72" t="s">
        <v>678</v>
      </c>
      <c r="AV218" s="72">
        <v>2</v>
      </c>
      <c r="AW218" s="72" t="s">
        <v>535</v>
      </c>
      <c r="AX218" s="72" t="s">
        <v>536</v>
      </c>
      <c r="AY218" s="72" t="s">
        <v>537</v>
      </c>
      <c r="AZ218" s="72" t="s">
        <v>116</v>
      </c>
      <c r="BA218" s="72" t="s">
        <v>679</v>
      </c>
      <c r="BB218" s="72">
        <v>2</v>
      </c>
      <c r="BO218" s="72">
        <v>5</v>
      </c>
      <c r="BP218" s="72" t="s">
        <v>685</v>
      </c>
      <c r="BQ218" s="72" t="s">
        <v>591</v>
      </c>
      <c r="BR218" s="72" t="s">
        <v>681</v>
      </c>
      <c r="BS218" s="72">
        <v>37.2543354423808</v>
      </c>
      <c r="BT218" s="72">
        <v>38.7456647781218</v>
      </c>
      <c r="BU218" s="72">
        <v>40.236994775371002</v>
      </c>
      <c r="BV218" s="72" t="s">
        <v>161</v>
      </c>
      <c r="BW218" s="72">
        <v>2</v>
      </c>
      <c r="BX218" s="72">
        <v>36.057803289129197</v>
      </c>
      <c r="BY218" s="72">
        <v>37.601156279670199</v>
      </c>
      <c r="BZ218" s="72">
        <v>39.109827054180599</v>
      </c>
      <c r="CA218" s="72" t="s">
        <v>161</v>
      </c>
      <c r="CB218" s="72">
        <v>2</v>
      </c>
      <c r="CC218" s="72" t="s">
        <v>682</v>
      </c>
      <c r="CD218" s="72" t="s">
        <v>683</v>
      </c>
    </row>
    <row r="219" spans="1:82" s="72" customFormat="1" ht="62.5">
      <c r="A219" s="72" t="s">
        <v>671</v>
      </c>
      <c r="B219" s="72" t="str">
        <f t="shared" si="0"/>
        <v>addtl10-2018</v>
      </c>
      <c r="C219" s="72">
        <v>2018</v>
      </c>
      <c r="D219" s="73" t="s">
        <v>672</v>
      </c>
      <c r="E219" s="74">
        <v>45044</v>
      </c>
      <c r="F219" s="72" t="s">
        <v>90</v>
      </c>
      <c r="I219" s="75" t="s">
        <v>673</v>
      </c>
      <c r="J219" s="76" t="s">
        <v>674</v>
      </c>
      <c r="K219" s="76" t="s">
        <v>97</v>
      </c>
      <c r="L219" s="76" t="s">
        <v>97</v>
      </c>
      <c r="M219" s="76" t="s">
        <v>95</v>
      </c>
      <c r="N219" s="76" t="s">
        <v>675</v>
      </c>
      <c r="O219" s="76" t="s">
        <v>97</v>
      </c>
      <c r="P219" s="76" t="s">
        <v>97</v>
      </c>
      <c r="S219" s="72" t="s">
        <v>90</v>
      </c>
      <c r="T219" s="72" t="s">
        <v>191</v>
      </c>
      <c r="U219" s="77"/>
      <c r="V219" s="77"/>
      <c r="W219" s="77"/>
      <c r="X219" s="77"/>
      <c r="Y219" s="77"/>
      <c r="Z219" s="77"/>
      <c r="AA219" s="72" t="s">
        <v>676</v>
      </c>
      <c r="AB219" s="72" t="s">
        <v>105</v>
      </c>
      <c r="AC219" s="77"/>
      <c r="AD219" s="77"/>
      <c r="AE219" s="77"/>
      <c r="AF219" s="72">
        <v>2</v>
      </c>
      <c r="AG219" s="72" t="s">
        <v>90</v>
      </c>
      <c r="AH219" s="72" t="s">
        <v>677</v>
      </c>
      <c r="AI219" s="72" t="s">
        <v>637</v>
      </c>
      <c r="AJ219" s="77"/>
      <c r="AK219" s="77"/>
      <c r="AL219" s="77"/>
      <c r="AM219" s="77"/>
      <c r="AN219" s="77"/>
      <c r="AO219" s="77"/>
      <c r="AP219" s="72" t="s">
        <v>155</v>
      </c>
      <c r="AQ219" s="72" t="s">
        <v>119</v>
      </c>
      <c r="AR219" s="72" t="s">
        <v>114</v>
      </c>
      <c r="AS219" s="72" t="s">
        <v>120</v>
      </c>
      <c r="AT219" s="72" t="s">
        <v>116</v>
      </c>
      <c r="AU219" s="72" t="s">
        <v>678</v>
      </c>
      <c r="AV219" s="72">
        <v>2</v>
      </c>
      <c r="AW219" s="72" t="s">
        <v>535</v>
      </c>
      <c r="AX219" s="72" t="s">
        <v>536</v>
      </c>
      <c r="AY219" s="72" t="s">
        <v>537</v>
      </c>
      <c r="AZ219" s="72" t="s">
        <v>116</v>
      </c>
      <c r="BA219" s="72" t="s">
        <v>679</v>
      </c>
      <c r="BB219" s="72">
        <v>2</v>
      </c>
      <c r="BO219" s="72">
        <v>5</v>
      </c>
      <c r="BP219" s="72" t="s">
        <v>686</v>
      </c>
      <c r="BQ219" s="72" t="s">
        <v>591</v>
      </c>
      <c r="BR219" s="72" t="s">
        <v>681</v>
      </c>
      <c r="BS219" s="72">
        <v>39.734104296698199</v>
      </c>
      <c r="BT219" s="72">
        <v>41.260115848469702</v>
      </c>
      <c r="BU219" s="72">
        <v>42.716763629688401</v>
      </c>
      <c r="BV219" s="72" t="s">
        <v>161</v>
      </c>
      <c r="BW219" s="72">
        <v>2</v>
      </c>
      <c r="BX219" s="72">
        <v>38.294797954248899</v>
      </c>
      <c r="BY219" s="72">
        <v>39.820809506020503</v>
      </c>
      <c r="BZ219" s="72">
        <v>41.294798064500299</v>
      </c>
      <c r="CA219" s="72" t="s">
        <v>161</v>
      </c>
      <c r="CB219" s="72">
        <v>2</v>
      </c>
      <c r="CC219" s="72" t="s">
        <v>682</v>
      </c>
      <c r="CD219" s="72" t="s">
        <v>683</v>
      </c>
    </row>
    <row r="220" spans="1:82" s="72" customFormat="1" ht="62.5">
      <c r="A220" s="72" t="s">
        <v>687</v>
      </c>
      <c r="B220" s="72" t="str">
        <f t="shared" si="0"/>
        <v>addtl11-2018</v>
      </c>
      <c r="C220" s="72">
        <v>2018</v>
      </c>
      <c r="D220" s="73" t="s">
        <v>688</v>
      </c>
      <c r="E220" s="74">
        <v>45044</v>
      </c>
      <c r="F220" s="72" t="s">
        <v>90</v>
      </c>
      <c r="I220" s="75" t="s">
        <v>673</v>
      </c>
      <c r="J220" s="84" t="s">
        <v>689</v>
      </c>
      <c r="K220" s="76" t="s">
        <v>97</v>
      </c>
      <c r="L220" s="76" t="s">
        <v>137</v>
      </c>
      <c r="M220" s="76" t="s">
        <v>95</v>
      </c>
      <c r="N220" s="76" t="s">
        <v>690</v>
      </c>
      <c r="O220" s="76" t="s">
        <v>90</v>
      </c>
      <c r="P220" s="76" t="s">
        <v>97</v>
      </c>
      <c r="Q220" s="76" t="s">
        <v>691</v>
      </c>
      <c r="R220" s="81"/>
      <c r="S220" s="72" t="s">
        <v>90</v>
      </c>
      <c r="T220" s="72" t="s">
        <v>191</v>
      </c>
      <c r="U220" s="77"/>
      <c r="V220" s="77"/>
      <c r="W220" s="77"/>
      <c r="X220" s="77"/>
      <c r="Y220" s="77" t="s">
        <v>97</v>
      </c>
      <c r="Z220" s="77"/>
      <c r="AA220" s="72" t="s">
        <v>212</v>
      </c>
      <c r="AB220" s="72" t="s">
        <v>20</v>
      </c>
      <c r="AC220" s="77"/>
      <c r="AD220" s="77"/>
      <c r="AE220" s="77"/>
      <c r="AF220" s="72">
        <v>1</v>
      </c>
      <c r="AG220" s="72" t="s">
        <v>97</v>
      </c>
      <c r="AH220" s="72" t="s">
        <v>677</v>
      </c>
      <c r="AI220" s="72" t="s">
        <v>637</v>
      </c>
      <c r="AJ220" s="77"/>
      <c r="AK220" s="77"/>
      <c r="AL220" s="77"/>
      <c r="AM220" s="77"/>
      <c r="AN220" s="77"/>
      <c r="AO220" s="77"/>
      <c r="AP220" s="72" t="s">
        <v>155</v>
      </c>
      <c r="AQ220" s="72" t="s">
        <v>119</v>
      </c>
      <c r="AR220" s="72" t="s">
        <v>114</v>
      </c>
      <c r="AS220" s="72" t="s">
        <v>120</v>
      </c>
      <c r="AT220" s="72" t="s">
        <v>116</v>
      </c>
      <c r="AU220" s="72" t="s">
        <v>692</v>
      </c>
      <c r="AV220" s="72">
        <v>2</v>
      </c>
      <c r="BO220" s="72" t="s">
        <v>126</v>
      </c>
      <c r="BP220" s="72">
        <v>15.1</v>
      </c>
      <c r="BQ220" s="72" t="s">
        <v>591</v>
      </c>
      <c r="BR220" s="72" t="s">
        <v>693</v>
      </c>
      <c r="BS220" s="72" t="s">
        <v>160</v>
      </c>
      <c r="BT220" s="72">
        <v>4.6666669040256202E-2</v>
      </c>
      <c r="BU220" s="72">
        <v>5.8666588270395198E-2</v>
      </c>
      <c r="BV220" s="72" t="s">
        <v>161</v>
      </c>
      <c r="BW220" s="72">
        <v>71</v>
      </c>
      <c r="BX220" s="72" t="s">
        <v>160</v>
      </c>
      <c r="BY220" s="72">
        <v>3.06667089165602E-2</v>
      </c>
      <c r="BZ220" s="72">
        <v>4.0000002034505301E-2</v>
      </c>
      <c r="CA220" s="72" t="s">
        <v>161</v>
      </c>
      <c r="CB220" s="72">
        <v>71</v>
      </c>
      <c r="CC220" s="72" t="s">
        <v>128</v>
      </c>
      <c r="CD220" s="72" t="s">
        <v>694</v>
      </c>
    </row>
    <row r="221" spans="1:82" s="72" customFormat="1" ht="62.5">
      <c r="A221" s="72" t="s">
        <v>687</v>
      </c>
      <c r="B221" s="72" t="str">
        <f t="shared" si="0"/>
        <v>addtl11-2018</v>
      </c>
      <c r="C221" s="72">
        <v>2018</v>
      </c>
      <c r="D221" s="73" t="s">
        <v>688</v>
      </c>
      <c r="E221" s="74">
        <v>45044</v>
      </c>
      <c r="F221" s="72" t="s">
        <v>90</v>
      </c>
      <c r="I221" s="75" t="s">
        <v>673</v>
      </c>
      <c r="J221" s="84" t="s">
        <v>689</v>
      </c>
      <c r="K221" s="76" t="s">
        <v>97</v>
      </c>
      <c r="L221" s="76" t="s">
        <v>137</v>
      </c>
      <c r="M221" s="76" t="s">
        <v>95</v>
      </c>
      <c r="N221" s="76" t="s">
        <v>690</v>
      </c>
      <c r="O221" s="76" t="s">
        <v>90</v>
      </c>
      <c r="P221" s="76" t="s">
        <v>97</v>
      </c>
      <c r="Q221" s="76" t="s">
        <v>691</v>
      </c>
      <c r="R221" s="81"/>
      <c r="S221" s="72" t="s">
        <v>90</v>
      </c>
      <c r="T221" s="72" t="s">
        <v>191</v>
      </c>
      <c r="U221" s="77"/>
      <c r="V221" s="77"/>
      <c r="W221" s="77"/>
      <c r="X221" s="77"/>
      <c r="Y221" s="77" t="s">
        <v>97</v>
      </c>
      <c r="Z221" s="77"/>
      <c r="AA221" s="72" t="s">
        <v>212</v>
      </c>
      <c r="AB221" s="72" t="s">
        <v>20</v>
      </c>
      <c r="AC221" s="77"/>
      <c r="AD221" s="77"/>
      <c r="AE221" s="77"/>
      <c r="AF221" s="72">
        <v>1</v>
      </c>
      <c r="AG221" s="72" t="s">
        <v>97</v>
      </c>
      <c r="AH221" s="72" t="s">
        <v>677</v>
      </c>
      <c r="AI221" s="72" t="s">
        <v>637</v>
      </c>
      <c r="AJ221" s="77"/>
      <c r="AK221" s="77"/>
      <c r="AL221" s="77"/>
      <c r="AM221" s="77"/>
      <c r="AN221" s="77"/>
      <c r="AO221" s="77"/>
      <c r="AP221" s="72" t="s">
        <v>155</v>
      </c>
      <c r="AQ221" s="72" t="s">
        <v>119</v>
      </c>
      <c r="AR221" s="72" t="s">
        <v>114</v>
      </c>
      <c r="AS221" s="72" t="s">
        <v>120</v>
      </c>
      <c r="AT221" s="72" t="s">
        <v>116</v>
      </c>
      <c r="AU221" s="72" t="s">
        <v>692</v>
      </c>
      <c r="AV221" s="72">
        <v>2</v>
      </c>
      <c r="BO221" s="72">
        <v>3.4</v>
      </c>
      <c r="BP221" s="72">
        <v>18.5</v>
      </c>
      <c r="BQ221" s="72" t="s">
        <v>591</v>
      </c>
      <c r="BR221" s="72" t="s">
        <v>693</v>
      </c>
      <c r="BS221" s="72" t="s">
        <v>160</v>
      </c>
      <c r="BT221" s="72">
        <v>0.21466670810275801</v>
      </c>
      <c r="BU221" s="72">
        <v>0.23066671908908601</v>
      </c>
      <c r="BV221" s="72" t="s">
        <v>161</v>
      </c>
      <c r="BW221" s="72">
        <v>71</v>
      </c>
      <c r="BX221" s="72" t="s">
        <v>160</v>
      </c>
      <c r="BY221" s="72">
        <v>0.36000001831054701</v>
      </c>
      <c r="BZ221" s="72">
        <v>0.41333335435655399</v>
      </c>
      <c r="CA221" s="72" t="s">
        <v>161</v>
      </c>
      <c r="CB221" s="72">
        <v>71</v>
      </c>
      <c r="CC221" s="72" t="s">
        <v>128</v>
      </c>
      <c r="CD221" s="72" t="s">
        <v>694</v>
      </c>
    </row>
    <row r="222" spans="1:82" s="72" customFormat="1" ht="62.5">
      <c r="A222" s="72" t="s">
        <v>687</v>
      </c>
      <c r="B222" s="72" t="str">
        <f t="shared" si="0"/>
        <v>addtl11-2018</v>
      </c>
      <c r="C222" s="72">
        <v>2018</v>
      </c>
      <c r="D222" s="73" t="s">
        <v>688</v>
      </c>
      <c r="E222" s="74">
        <v>45044</v>
      </c>
      <c r="F222" s="72" t="s">
        <v>90</v>
      </c>
      <c r="I222" s="75" t="s">
        <v>673</v>
      </c>
      <c r="J222" s="84" t="s">
        <v>689</v>
      </c>
      <c r="K222" s="76" t="s">
        <v>97</v>
      </c>
      <c r="L222" s="76" t="s">
        <v>137</v>
      </c>
      <c r="M222" s="76" t="s">
        <v>95</v>
      </c>
      <c r="N222" s="76" t="s">
        <v>690</v>
      </c>
      <c r="O222" s="76" t="s">
        <v>90</v>
      </c>
      <c r="P222" s="76" t="s">
        <v>97</v>
      </c>
      <c r="Q222" s="76" t="s">
        <v>691</v>
      </c>
      <c r="R222" s="81"/>
      <c r="S222" s="72" t="s">
        <v>90</v>
      </c>
      <c r="T222" s="72" t="s">
        <v>191</v>
      </c>
      <c r="U222" s="77"/>
      <c r="V222" s="77"/>
      <c r="W222" s="77"/>
      <c r="X222" s="77"/>
      <c r="Y222" s="77" t="s">
        <v>97</v>
      </c>
      <c r="Z222" s="77"/>
      <c r="AA222" s="72" t="s">
        <v>212</v>
      </c>
      <c r="AB222" s="72" t="s">
        <v>20</v>
      </c>
      <c r="AC222" s="77"/>
      <c r="AD222" s="77"/>
      <c r="AE222" s="77"/>
      <c r="AF222" s="72">
        <v>1</v>
      </c>
      <c r="AG222" s="72" t="s">
        <v>97</v>
      </c>
      <c r="AH222" s="72" t="s">
        <v>677</v>
      </c>
      <c r="AI222" s="72" t="s">
        <v>637</v>
      </c>
      <c r="AJ222" s="77"/>
      <c r="AK222" s="77"/>
      <c r="AL222" s="77"/>
      <c r="AM222" s="77"/>
      <c r="AN222" s="77"/>
      <c r="AO222" s="77"/>
      <c r="AP222" s="72" t="s">
        <v>155</v>
      </c>
      <c r="AQ222" s="72" t="s">
        <v>119</v>
      </c>
      <c r="AR222" s="72" t="s">
        <v>114</v>
      </c>
      <c r="AS222" s="72" t="s">
        <v>120</v>
      </c>
      <c r="AT222" s="72" t="s">
        <v>116</v>
      </c>
      <c r="AU222" s="72" t="s">
        <v>692</v>
      </c>
      <c r="AV222" s="72">
        <v>2</v>
      </c>
      <c r="BO222" s="72">
        <v>4.4000000000000004</v>
      </c>
      <c r="BP222" s="72">
        <v>19.5</v>
      </c>
      <c r="BQ222" s="72" t="s">
        <v>591</v>
      </c>
      <c r="BR222" s="72" t="s">
        <v>693</v>
      </c>
      <c r="BS222" s="72" t="s">
        <v>160</v>
      </c>
      <c r="BT222" s="72">
        <v>0.322666693250869</v>
      </c>
      <c r="BU222" s="72">
        <v>0.33733339118110101</v>
      </c>
      <c r="BV222" s="72" t="s">
        <v>161</v>
      </c>
      <c r="BW222" s="72">
        <v>71</v>
      </c>
      <c r="BX222" s="72" t="s">
        <v>160</v>
      </c>
      <c r="BY222" s="72">
        <v>0.38400006022135702</v>
      </c>
      <c r="BZ222" s="72">
        <v>0.41466671827528401</v>
      </c>
      <c r="CA222" s="72" t="s">
        <v>161</v>
      </c>
      <c r="CB222" s="72">
        <v>71</v>
      </c>
      <c r="CC222" s="72" t="s">
        <v>128</v>
      </c>
      <c r="CD222" s="72" t="s">
        <v>694</v>
      </c>
    </row>
    <row r="223" spans="1:82" s="72" customFormat="1" ht="62.5">
      <c r="A223" s="72" t="s">
        <v>687</v>
      </c>
      <c r="B223" s="72" t="str">
        <f t="shared" si="0"/>
        <v>addtl11-2018</v>
      </c>
      <c r="C223" s="72">
        <v>2018</v>
      </c>
      <c r="D223" s="73" t="s">
        <v>688</v>
      </c>
      <c r="E223" s="74">
        <v>45044</v>
      </c>
      <c r="F223" s="72" t="s">
        <v>90</v>
      </c>
      <c r="I223" s="75" t="s">
        <v>673</v>
      </c>
      <c r="J223" s="84" t="s">
        <v>689</v>
      </c>
      <c r="K223" s="76" t="s">
        <v>97</v>
      </c>
      <c r="L223" s="76" t="s">
        <v>137</v>
      </c>
      <c r="M223" s="76" t="s">
        <v>95</v>
      </c>
      <c r="N223" s="76" t="s">
        <v>690</v>
      </c>
      <c r="O223" s="76" t="s">
        <v>90</v>
      </c>
      <c r="P223" s="76" t="s">
        <v>97</v>
      </c>
      <c r="Q223" s="76" t="s">
        <v>691</v>
      </c>
      <c r="R223" s="81"/>
      <c r="S223" s="72" t="s">
        <v>90</v>
      </c>
      <c r="T223" s="72" t="s">
        <v>191</v>
      </c>
      <c r="U223" s="77"/>
      <c r="V223" s="77"/>
      <c r="W223" s="77"/>
      <c r="X223" s="77"/>
      <c r="Y223" s="77" t="s">
        <v>97</v>
      </c>
      <c r="Z223" s="77"/>
      <c r="AA223" s="72" t="s">
        <v>212</v>
      </c>
      <c r="AB223" s="72" t="s">
        <v>20</v>
      </c>
      <c r="AC223" s="77"/>
      <c r="AD223" s="77"/>
      <c r="AE223" s="77"/>
      <c r="AF223" s="72">
        <v>1</v>
      </c>
      <c r="AG223" s="72" t="s">
        <v>97</v>
      </c>
      <c r="AH223" s="72" t="s">
        <v>677</v>
      </c>
      <c r="AI223" s="72" t="s">
        <v>637</v>
      </c>
      <c r="AJ223" s="77"/>
      <c r="AK223" s="77"/>
      <c r="AL223" s="77"/>
      <c r="AM223" s="77"/>
      <c r="AN223" s="77"/>
      <c r="AO223" s="77"/>
      <c r="AP223" s="72" t="s">
        <v>155</v>
      </c>
      <c r="AQ223" s="72" t="s">
        <v>119</v>
      </c>
      <c r="AR223" s="72" t="s">
        <v>114</v>
      </c>
      <c r="AS223" s="72" t="s">
        <v>120</v>
      </c>
      <c r="AT223" s="72" t="s">
        <v>116</v>
      </c>
      <c r="AU223" s="72" t="s">
        <v>692</v>
      </c>
      <c r="AV223" s="72">
        <v>2</v>
      </c>
      <c r="BO223" s="72">
        <v>6.2</v>
      </c>
      <c r="BP223" s="72">
        <v>21.3</v>
      </c>
      <c r="BQ223" s="72" t="s">
        <v>591</v>
      </c>
      <c r="BR223" s="72" t="s">
        <v>693</v>
      </c>
      <c r="BS223" s="72" t="s">
        <v>160</v>
      </c>
      <c r="BT223" s="72">
        <v>0.25733338711208997</v>
      </c>
      <c r="BU223" s="72">
        <v>0.27066672112359202</v>
      </c>
      <c r="BV223" s="72" t="s">
        <v>161</v>
      </c>
      <c r="BW223" s="72">
        <v>71</v>
      </c>
      <c r="BX223" s="72" t="s">
        <v>160</v>
      </c>
      <c r="BY223" s="72">
        <v>0.248000043131512</v>
      </c>
      <c r="BZ223" s="72">
        <v>0.264000054117841</v>
      </c>
      <c r="CA223" s="72" t="s">
        <v>161</v>
      </c>
      <c r="CB223" s="72">
        <v>71</v>
      </c>
      <c r="CC223" s="72" t="s">
        <v>128</v>
      </c>
      <c r="CD223" s="72" t="s">
        <v>694</v>
      </c>
    </row>
  </sheetData>
  <mergeCells count="656">
    <mergeCell ref="CB37:CB38"/>
    <mergeCell ref="CC37:CC38"/>
    <mergeCell ref="CD37:CD38"/>
    <mergeCell ref="CE37:CE38"/>
    <mergeCell ref="BW37:BW38"/>
    <mergeCell ref="BX37:BX38"/>
    <mergeCell ref="BY37:BY38"/>
    <mergeCell ref="BZ37:BZ38"/>
    <mergeCell ref="CA37:CA38"/>
    <mergeCell ref="BR37:BR38"/>
    <mergeCell ref="BS37:BS38"/>
    <mergeCell ref="BT37:BT38"/>
    <mergeCell ref="BU37:BU38"/>
    <mergeCell ref="BV37:BV38"/>
    <mergeCell ref="BL37:BL38"/>
    <mergeCell ref="BM37:BM38"/>
    <mergeCell ref="BN37:BN38"/>
    <mergeCell ref="BO37:BO38"/>
    <mergeCell ref="BP37:BP38"/>
    <mergeCell ref="BG37:BG38"/>
    <mergeCell ref="BH37:BH38"/>
    <mergeCell ref="BI37:BI38"/>
    <mergeCell ref="BJ37:BJ38"/>
    <mergeCell ref="BK37:BK38"/>
    <mergeCell ref="BB37:BB38"/>
    <mergeCell ref="BC37:BC38"/>
    <mergeCell ref="BD37:BD38"/>
    <mergeCell ref="BE37:BE38"/>
    <mergeCell ref="BF37:BF38"/>
    <mergeCell ref="AW37:AW38"/>
    <mergeCell ref="AX37:AX38"/>
    <mergeCell ref="AY37:AY38"/>
    <mergeCell ref="AZ37:AZ38"/>
    <mergeCell ref="BA37:BA38"/>
    <mergeCell ref="AR37:AR38"/>
    <mergeCell ref="AS37:AS38"/>
    <mergeCell ref="AT37:AT38"/>
    <mergeCell ref="AU37:AU38"/>
    <mergeCell ref="AV37:AV38"/>
    <mergeCell ref="AM37:AM38"/>
    <mergeCell ref="AN37:AN38"/>
    <mergeCell ref="AO37:AO38"/>
    <mergeCell ref="AP37:AP38"/>
    <mergeCell ref="AQ37:AQ38"/>
    <mergeCell ref="AH37:AH38"/>
    <mergeCell ref="AI37:AI38"/>
    <mergeCell ref="AJ37:AJ38"/>
    <mergeCell ref="AK37:AK38"/>
    <mergeCell ref="AL37:AL38"/>
    <mergeCell ref="AC37:AC38"/>
    <mergeCell ref="AD37:AD38"/>
    <mergeCell ref="AE37:AE38"/>
    <mergeCell ref="AF37:AF38"/>
    <mergeCell ref="AG37:AG38"/>
    <mergeCell ref="X37:X38"/>
    <mergeCell ref="Y37:Y38"/>
    <mergeCell ref="Z37:Z38"/>
    <mergeCell ref="AA37:AA38"/>
    <mergeCell ref="AB37:AB38"/>
    <mergeCell ref="T37:T38"/>
    <mergeCell ref="U37:U38"/>
    <mergeCell ref="V37:V38"/>
    <mergeCell ref="W37:W38"/>
    <mergeCell ref="N37:N38"/>
    <mergeCell ref="O37:O38"/>
    <mergeCell ref="P37:P38"/>
    <mergeCell ref="Q37:Q38"/>
    <mergeCell ref="R37:R38"/>
    <mergeCell ref="CC35:CC36"/>
    <mergeCell ref="CD35:CD36"/>
    <mergeCell ref="CE35:CE36"/>
    <mergeCell ref="A37:A38"/>
    <mergeCell ref="B37:B38"/>
    <mergeCell ref="C37:C38"/>
    <mergeCell ref="D37:D38"/>
    <mergeCell ref="E37:E38"/>
    <mergeCell ref="F37:F38"/>
    <mergeCell ref="G37:G38"/>
    <mergeCell ref="H37:H38"/>
    <mergeCell ref="I37:I38"/>
    <mergeCell ref="K37:K38"/>
    <mergeCell ref="L37:L38"/>
    <mergeCell ref="M37:M38"/>
    <mergeCell ref="BX35:BX36"/>
    <mergeCell ref="BY35:BY36"/>
    <mergeCell ref="BZ35:BZ36"/>
    <mergeCell ref="CA35:CA36"/>
    <mergeCell ref="CB35:CB36"/>
    <mergeCell ref="BS35:BS36"/>
    <mergeCell ref="BT35:BT36"/>
    <mergeCell ref="BU35:BU36"/>
    <mergeCell ref="S37:S38"/>
    <mergeCell ref="BV35:BV36"/>
    <mergeCell ref="BW35:BW36"/>
    <mergeCell ref="BM35:BM36"/>
    <mergeCell ref="BN35:BN36"/>
    <mergeCell ref="BO35:BO36"/>
    <mergeCell ref="BP35:BP36"/>
    <mergeCell ref="BR35:BR36"/>
    <mergeCell ref="BH35:BH36"/>
    <mergeCell ref="BI35:BI36"/>
    <mergeCell ref="BJ35:BJ36"/>
    <mergeCell ref="BK35:BK36"/>
    <mergeCell ref="BL35:BL36"/>
    <mergeCell ref="BC35:BC36"/>
    <mergeCell ref="BD35:BD36"/>
    <mergeCell ref="BE35:BE36"/>
    <mergeCell ref="BF35:BF36"/>
    <mergeCell ref="BG35:BG36"/>
    <mergeCell ref="AX35:AX36"/>
    <mergeCell ref="AY35:AY36"/>
    <mergeCell ref="AZ35:AZ36"/>
    <mergeCell ref="BA35:BA36"/>
    <mergeCell ref="BB35:BB36"/>
    <mergeCell ref="AS35:AS36"/>
    <mergeCell ref="AT35:AT36"/>
    <mergeCell ref="AU35:AU36"/>
    <mergeCell ref="AV35:AV36"/>
    <mergeCell ref="AW35:AW36"/>
    <mergeCell ref="AN35:AN36"/>
    <mergeCell ref="AO35:AO36"/>
    <mergeCell ref="AP35:AP36"/>
    <mergeCell ref="AQ35:AQ36"/>
    <mergeCell ref="AR35:AR36"/>
    <mergeCell ref="AI35:AI36"/>
    <mergeCell ref="AJ35:AJ36"/>
    <mergeCell ref="AK35:AK36"/>
    <mergeCell ref="AL35:AL36"/>
    <mergeCell ref="AM35:AM36"/>
    <mergeCell ref="AD35:AD36"/>
    <mergeCell ref="AE35:AE36"/>
    <mergeCell ref="AF35:AF36"/>
    <mergeCell ref="AG35:AG36"/>
    <mergeCell ref="AH35:AH36"/>
    <mergeCell ref="Z35:Z36"/>
    <mergeCell ref="AA35:AA36"/>
    <mergeCell ref="AB35:AB36"/>
    <mergeCell ref="AC35:AC36"/>
    <mergeCell ref="T35:T36"/>
    <mergeCell ref="U35:U36"/>
    <mergeCell ref="V35:V36"/>
    <mergeCell ref="W35:W36"/>
    <mergeCell ref="X35:X36"/>
    <mergeCell ref="O35:O36"/>
    <mergeCell ref="P35:P36"/>
    <mergeCell ref="Q35:Q36"/>
    <mergeCell ref="R35:R36"/>
    <mergeCell ref="S35:S36"/>
    <mergeCell ref="CD33:CD34"/>
    <mergeCell ref="CE33:CE34"/>
    <mergeCell ref="A35:A36"/>
    <mergeCell ref="B35:B36"/>
    <mergeCell ref="C35:C36"/>
    <mergeCell ref="D35:D36"/>
    <mergeCell ref="E35:E36"/>
    <mergeCell ref="F35:F36"/>
    <mergeCell ref="G35:G36"/>
    <mergeCell ref="H35:H36"/>
    <mergeCell ref="I35:I36"/>
    <mergeCell ref="K35:K36"/>
    <mergeCell ref="L35:L36"/>
    <mergeCell ref="M35:M36"/>
    <mergeCell ref="N35:N36"/>
    <mergeCell ref="BY33:BY34"/>
    <mergeCell ref="BZ33:BZ34"/>
    <mergeCell ref="CA33:CA34"/>
    <mergeCell ref="Y35:Y36"/>
    <mergeCell ref="CB33:CB34"/>
    <mergeCell ref="CC33:CC34"/>
    <mergeCell ref="BT33:BT34"/>
    <mergeCell ref="BU33:BU34"/>
    <mergeCell ref="BV33:BV34"/>
    <mergeCell ref="BW33:BW34"/>
    <mergeCell ref="BX33:BX34"/>
    <mergeCell ref="BN33:BN34"/>
    <mergeCell ref="BO33:BO34"/>
    <mergeCell ref="BP33:BP34"/>
    <mergeCell ref="BR33:BR34"/>
    <mergeCell ref="BS33:BS34"/>
    <mergeCell ref="BI33:BI34"/>
    <mergeCell ref="BJ33:BJ34"/>
    <mergeCell ref="BK33:BK34"/>
    <mergeCell ref="BL33:BL34"/>
    <mergeCell ref="BM33:BM34"/>
    <mergeCell ref="BD33:BD34"/>
    <mergeCell ref="BE33:BE34"/>
    <mergeCell ref="BF33:BF34"/>
    <mergeCell ref="BG33:BG34"/>
    <mergeCell ref="BH33:BH34"/>
    <mergeCell ref="AY33:AY34"/>
    <mergeCell ref="AZ33:AZ34"/>
    <mergeCell ref="BA33:BA34"/>
    <mergeCell ref="BB33:BB34"/>
    <mergeCell ref="BC33:BC34"/>
    <mergeCell ref="AT33:AT34"/>
    <mergeCell ref="AU33:AU34"/>
    <mergeCell ref="AV33:AV34"/>
    <mergeCell ref="AW33:AW34"/>
    <mergeCell ref="AX33:AX34"/>
    <mergeCell ref="AO33:AO34"/>
    <mergeCell ref="AP33:AP34"/>
    <mergeCell ref="AQ33:AQ34"/>
    <mergeCell ref="AR33:AR34"/>
    <mergeCell ref="AS33:AS34"/>
    <mergeCell ref="AJ33:AJ34"/>
    <mergeCell ref="AK33:AK34"/>
    <mergeCell ref="AL33:AL34"/>
    <mergeCell ref="AM33:AM34"/>
    <mergeCell ref="AN33:AN34"/>
    <mergeCell ref="AE33:AE34"/>
    <mergeCell ref="AF33:AF34"/>
    <mergeCell ref="AG33:AG34"/>
    <mergeCell ref="AH33:AH34"/>
    <mergeCell ref="AI33:AI34"/>
    <mergeCell ref="Z33:Z34"/>
    <mergeCell ref="AA33:AA34"/>
    <mergeCell ref="AB33:AB34"/>
    <mergeCell ref="AC33:AC34"/>
    <mergeCell ref="AD33:AD34"/>
    <mergeCell ref="V33:V34"/>
    <mergeCell ref="W33:W34"/>
    <mergeCell ref="X33:X34"/>
    <mergeCell ref="Y33:Y34"/>
    <mergeCell ref="P33:P34"/>
    <mergeCell ref="Q33:Q34"/>
    <mergeCell ref="R33:R34"/>
    <mergeCell ref="S33:S34"/>
    <mergeCell ref="T33:T34"/>
    <mergeCell ref="CE31:CE32"/>
    <mergeCell ref="A33:A34"/>
    <mergeCell ref="B33:B34"/>
    <mergeCell ref="C33:C34"/>
    <mergeCell ref="D33:D34"/>
    <mergeCell ref="E33:E34"/>
    <mergeCell ref="F33:F34"/>
    <mergeCell ref="G33:G34"/>
    <mergeCell ref="H33:H34"/>
    <mergeCell ref="I33:I34"/>
    <mergeCell ref="K33:K34"/>
    <mergeCell ref="L33:L34"/>
    <mergeCell ref="M33:M34"/>
    <mergeCell ref="N33:N34"/>
    <mergeCell ref="O33:O34"/>
    <mergeCell ref="BZ31:BZ32"/>
    <mergeCell ref="CA31:CA32"/>
    <mergeCell ref="CB31:CB32"/>
    <mergeCell ref="CC31:CC32"/>
    <mergeCell ref="CD31:CD32"/>
    <mergeCell ref="BU31:BU32"/>
    <mergeCell ref="BV31:BV32"/>
    <mergeCell ref="BW31:BW32"/>
    <mergeCell ref="U33:U34"/>
    <mergeCell ref="BX31:BX32"/>
    <mergeCell ref="BY31:BY32"/>
    <mergeCell ref="BO31:BO32"/>
    <mergeCell ref="BP31:BP32"/>
    <mergeCell ref="BR31:BR32"/>
    <mergeCell ref="BS31:BS32"/>
    <mergeCell ref="BT31:BT32"/>
    <mergeCell ref="BJ31:BJ32"/>
    <mergeCell ref="BK31:BK32"/>
    <mergeCell ref="BL31:BL32"/>
    <mergeCell ref="BM31:BM32"/>
    <mergeCell ref="BN31:BN32"/>
    <mergeCell ref="BE31:BE32"/>
    <mergeCell ref="BF31:BF32"/>
    <mergeCell ref="BG31:BG32"/>
    <mergeCell ref="BH31:BH32"/>
    <mergeCell ref="BI31:BI32"/>
    <mergeCell ref="AZ31:AZ32"/>
    <mergeCell ref="BA31:BA32"/>
    <mergeCell ref="BB31:BB32"/>
    <mergeCell ref="BC31:BC32"/>
    <mergeCell ref="BD31:BD32"/>
    <mergeCell ref="AU31:AU32"/>
    <mergeCell ref="AV31:AV32"/>
    <mergeCell ref="AW31:AW32"/>
    <mergeCell ref="AX31:AX32"/>
    <mergeCell ref="AY31:AY32"/>
    <mergeCell ref="AP31:AP32"/>
    <mergeCell ref="AQ31:AQ32"/>
    <mergeCell ref="AR31:AR32"/>
    <mergeCell ref="AS31:AS32"/>
    <mergeCell ref="AT31:AT32"/>
    <mergeCell ref="AK31:AK32"/>
    <mergeCell ref="AL31:AL32"/>
    <mergeCell ref="AM31:AM32"/>
    <mergeCell ref="AN31:AN32"/>
    <mergeCell ref="AO31:AO32"/>
    <mergeCell ref="AF31:AF32"/>
    <mergeCell ref="AG31:AG32"/>
    <mergeCell ref="AH31:AH32"/>
    <mergeCell ref="AI31:AI32"/>
    <mergeCell ref="AJ31:AJ32"/>
    <mergeCell ref="AA31:AA32"/>
    <mergeCell ref="AB31:AB32"/>
    <mergeCell ref="AC31:AC32"/>
    <mergeCell ref="AD31:AD32"/>
    <mergeCell ref="AE31:AE32"/>
    <mergeCell ref="V31:V32"/>
    <mergeCell ref="W31:W32"/>
    <mergeCell ref="X31:X32"/>
    <mergeCell ref="Y31:Y32"/>
    <mergeCell ref="Z31:Z32"/>
    <mergeCell ref="Q31:Q32"/>
    <mergeCell ref="R31:R32"/>
    <mergeCell ref="S31:S32"/>
    <mergeCell ref="T31:T32"/>
    <mergeCell ref="U31:U32"/>
    <mergeCell ref="L31:L32"/>
    <mergeCell ref="M31:M32"/>
    <mergeCell ref="N31:N32"/>
    <mergeCell ref="O31:O32"/>
    <mergeCell ref="P31:P32"/>
    <mergeCell ref="F31:F32"/>
    <mergeCell ref="G31:G32"/>
    <mergeCell ref="H31:H32"/>
    <mergeCell ref="I31:I32"/>
    <mergeCell ref="K31:K32"/>
    <mergeCell ref="A31:A32"/>
    <mergeCell ref="B31:B32"/>
    <mergeCell ref="C31:C32"/>
    <mergeCell ref="D31:D32"/>
    <mergeCell ref="E31:E32"/>
    <mergeCell ref="CB29:CB30"/>
    <mergeCell ref="CC29:CC30"/>
    <mergeCell ref="CD29:CD30"/>
    <mergeCell ref="CE29:CE30"/>
    <mergeCell ref="BW29:BW30"/>
    <mergeCell ref="BX29:BX30"/>
    <mergeCell ref="BY29:BY30"/>
    <mergeCell ref="BZ29:BZ30"/>
    <mergeCell ref="CA29:CA30"/>
    <mergeCell ref="BR29:BR30"/>
    <mergeCell ref="BS29:BS30"/>
    <mergeCell ref="BT29:BT30"/>
    <mergeCell ref="BU29:BU30"/>
    <mergeCell ref="BV29:BV30"/>
    <mergeCell ref="BL29:BL30"/>
    <mergeCell ref="BM29:BM30"/>
    <mergeCell ref="BN29:BN30"/>
    <mergeCell ref="BO29:BO30"/>
    <mergeCell ref="BP29:BP30"/>
    <mergeCell ref="BG29:BG30"/>
    <mergeCell ref="BH29:BH30"/>
    <mergeCell ref="BI29:BI30"/>
    <mergeCell ref="BJ29:BJ30"/>
    <mergeCell ref="BK29:BK30"/>
    <mergeCell ref="BB29:BB30"/>
    <mergeCell ref="BC29:BC30"/>
    <mergeCell ref="BD29:BD30"/>
    <mergeCell ref="BE29:BE30"/>
    <mergeCell ref="BF29:BF30"/>
    <mergeCell ref="AW29:AW30"/>
    <mergeCell ref="AX29:AX30"/>
    <mergeCell ref="AY29:AY30"/>
    <mergeCell ref="AZ29:AZ30"/>
    <mergeCell ref="BA29:BA30"/>
    <mergeCell ref="AR29:AR30"/>
    <mergeCell ref="AS29:AS30"/>
    <mergeCell ref="AT29:AT30"/>
    <mergeCell ref="AU29:AU30"/>
    <mergeCell ref="AV29:AV30"/>
    <mergeCell ref="AM29:AM30"/>
    <mergeCell ref="AN29:AN30"/>
    <mergeCell ref="AO29:AO30"/>
    <mergeCell ref="AP29:AP30"/>
    <mergeCell ref="AQ29:AQ30"/>
    <mergeCell ref="AH29:AH30"/>
    <mergeCell ref="AI29:AI30"/>
    <mergeCell ref="AJ29:AJ30"/>
    <mergeCell ref="AK29:AK30"/>
    <mergeCell ref="AL29:AL30"/>
    <mergeCell ref="AC29:AC30"/>
    <mergeCell ref="AD29:AD30"/>
    <mergeCell ref="AE29:AE30"/>
    <mergeCell ref="AF29:AF30"/>
    <mergeCell ref="AG29:AG30"/>
    <mergeCell ref="X29:X30"/>
    <mergeCell ref="Y29:Y30"/>
    <mergeCell ref="Z29:Z30"/>
    <mergeCell ref="AA29:AA30"/>
    <mergeCell ref="AB29:AB30"/>
    <mergeCell ref="T29:T30"/>
    <mergeCell ref="U29:U30"/>
    <mergeCell ref="V29:V30"/>
    <mergeCell ref="W29:W30"/>
    <mergeCell ref="N29:N30"/>
    <mergeCell ref="O29:O30"/>
    <mergeCell ref="P29:P30"/>
    <mergeCell ref="Q29:Q30"/>
    <mergeCell ref="R29:R30"/>
    <mergeCell ref="CC27:CC28"/>
    <mergeCell ref="CD27:CD28"/>
    <mergeCell ref="CE27:CE28"/>
    <mergeCell ref="A29:A30"/>
    <mergeCell ref="B29:B30"/>
    <mergeCell ref="C29:C30"/>
    <mergeCell ref="D29:D30"/>
    <mergeCell ref="E29:E30"/>
    <mergeCell ref="F29:F30"/>
    <mergeCell ref="G29:G30"/>
    <mergeCell ref="H29:H30"/>
    <mergeCell ref="I29:I30"/>
    <mergeCell ref="K29:K30"/>
    <mergeCell ref="L29:L30"/>
    <mergeCell ref="M29:M30"/>
    <mergeCell ref="BX27:BX28"/>
    <mergeCell ref="BY27:BY28"/>
    <mergeCell ref="BZ27:BZ28"/>
    <mergeCell ref="CA27:CA28"/>
    <mergeCell ref="CB27:CB28"/>
    <mergeCell ref="BS27:BS28"/>
    <mergeCell ref="BT27:BT28"/>
    <mergeCell ref="BU27:BU28"/>
    <mergeCell ref="S29:S30"/>
    <mergeCell ref="BV27:BV28"/>
    <mergeCell ref="BW27:BW28"/>
    <mergeCell ref="BM27:BM28"/>
    <mergeCell ref="BN27:BN28"/>
    <mergeCell ref="BO27:BO28"/>
    <mergeCell ref="BP27:BP28"/>
    <mergeCell ref="BR27:BR28"/>
    <mergeCell ref="BH27:BH28"/>
    <mergeCell ref="BI27:BI28"/>
    <mergeCell ref="BJ27:BJ28"/>
    <mergeCell ref="BK27:BK28"/>
    <mergeCell ref="BL27:BL28"/>
    <mergeCell ref="BC27:BC28"/>
    <mergeCell ref="BD27:BD28"/>
    <mergeCell ref="BE27:BE28"/>
    <mergeCell ref="BF27:BF28"/>
    <mergeCell ref="BG27:BG28"/>
    <mergeCell ref="AX27:AX28"/>
    <mergeCell ref="AY27:AY28"/>
    <mergeCell ref="AZ27:AZ28"/>
    <mergeCell ref="BA27:BA28"/>
    <mergeCell ref="BB27:BB28"/>
    <mergeCell ref="AS27:AS28"/>
    <mergeCell ref="AT27:AT28"/>
    <mergeCell ref="AU27:AU28"/>
    <mergeCell ref="AV27:AV28"/>
    <mergeCell ref="AW27:AW28"/>
    <mergeCell ref="AN27:AN28"/>
    <mergeCell ref="AO27:AO28"/>
    <mergeCell ref="AP27:AP28"/>
    <mergeCell ref="AQ27:AQ28"/>
    <mergeCell ref="AR27:AR28"/>
    <mergeCell ref="AI27:AI28"/>
    <mergeCell ref="AJ27:AJ28"/>
    <mergeCell ref="AK27:AK28"/>
    <mergeCell ref="AL27:AL28"/>
    <mergeCell ref="AM27:AM28"/>
    <mergeCell ref="AD27:AD28"/>
    <mergeCell ref="AE27:AE28"/>
    <mergeCell ref="AF27:AF28"/>
    <mergeCell ref="AG27:AG28"/>
    <mergeCell ref="AH27:AH28"/>
    <mergeCell ref="Z27:Z28"/>
    <mergeCell ref="AA27:AA28"/>
    <mergeCell ref="AB27:AB28"/>
    <mergeCell ref="AC27:AC28"/>
    <mergeCell ref="T27:T28"/>
    <mergeCell ref="U27:U28"/>
    <mergeCell ref="V27:V28"/>
    <mergeCell ref="W27:W28"/>
    <mergeCell ref="X27:X28"/>
    <mergeCell ref="O27:O28"/>
    <mergeCell ref="P27:P28"/>
    <mergeCell ref="Q27:Q28"/>
    <mergeCell ref="R27:R28"/>
    <mergeCell ref="S27:S28"/>
    <mergeCell ref="CD25:CD26"/>
    <mergeCell ref="CE25:CE26"/>
    <mergeCell ref="A27:A28"/>
    <mergeCell ref="B27:B28"/>
    <mergeCell ref="C27:C28"/>
    <mergeCell ref="D27:D28"/>
    <mergeCell ref="E27:E28"/>
    <mergeCell ref="F27:F28"/>
    <mergeCell ref="G27:G28"/>
    <mergeCell ref="H27:H28"/>
    <mergeCell ref="I27:I28"/>
    <mergeCell ref="K27:K28"/>
    <mergeCell ref="L27:L28"/>
    <mergeCell ref="M27:M28"/>
    <mergeCell ref="N27:N28"/>
    <mergeCell ref="BY25:BY26"/>
    <mergeCell ref="BZ25:BZ26"/>
    <mergeCell ref="CA25:CA26"/>
    <mergeCell ref="Y27:Y28"/>
    <mergeCell ref="CB25:CB26"/>
    <mergeCell ref="CC25:CC26"/>
    <mergeCell ref="BT25:BT26"/>
    <mergeCell ref="BU25:BU26"/>
    <mergeCell ref="BV25:BV26"/>
    <mergeCell ref="BW25:BW26"/>
    <mergeCell ref="BX25:BX26"/>
    <mergeCell ref="BN25:BN26"/>
    <mergeCell ref="BO25:BO26"/>
    <mergeCell ref="BP25:BP26"/>
    <mergeCell ref="BR25:BR26"/>
    <mergeCell ref="BS25:BS26"/>
    <mergeCell ref="BI25:BI26"/>
    <mergeCell ref="BJ25:BJ26"/>
    <mergeCell ref="BK25:BK26"/>
    <mergeCell ref="BL25:BL26"/>
    <mergeCell ref="BM25:BM26"/>
    <mergeCell ref="BD25:BD26"/>
    <mergeCell ref="BE25:BE26"/>
    <mergeCell ref="BF25:BF26"/>
    <mergeCell ref="BG25:BG26"/>
    <mergeCell ref="BH25:BH26"/>
    <mergeCell ref="AY25:AY26"/>
    <mergeCell ref="AZ25:AZ26"/>
    <mergeCell ref="BA25:BA26"/>
    <mergeCell ref="BB25:BB26"/>
    <mergeCell ref="BC25:BC26"/>
    <mergeCell ref="AT25:AT26"/>
    <mergeCell ref="AU25:AU26"/>
    <mergeCell ref="AV25:AV26"/>
    <mergeCell ref="AW25:AW26"/>
    <mergeCell ref="AX25:AX26"/>
    <mergeCell ref="AO25:AO26"/>
    <mergeCell ref="AP25:AP26"/>
    <mergeCell ref="AQ25:AQ26"/>
    <mergeCell ref="AR25:AR26"/>
    <mergeCell ref="AS25:AS26"/>
    <mergeCell ref="AJ25:AJ26"/>
    <mergeCell ref="AK25:AK26"/>
    <mergeCell ref="AL25:AL26"/>
    <mergeCell ref="AM25:AM26"/>
    <mergeCell ref="AN25:AN26"/>
    <mergeCell ref="AE25:AE26"/>
    <mergeCell ref="AF25:AF26"/>
    <mergeCell ref="AG25:AG26"/>
    <mergeCell ref="AH25:AH26"/>
    <mergeCell ref="AI25:AI26"/>
    <mergeCell ref="Z25:Z26"/>
    <mergeCell ref="AA25:AA26"/>
    <mergeCell ref="AB25:AB26"/>
    <mergeCell ref="AC25:AC26"/>
    <mergeCell ref="AD25:AD26"/>
    <mergeCell ref="V25:V26"/>
    <mergeCell ref="W25:W26"/>
    <mergeCell ref="X25:X26"/>
    <mergeCell ref="Y25:Y26"/>
    <mergeCell ref="P25:P26"/>
    <mergeCell ref="Q25:Q26"/>
    <mergeCell ref="R25:R26"/>
    <mergeCell ref="S25:S26"/>
    <mergeCell ref="T25:T26"/>
    <mergeCell ref="CE23:CE24"/>
    <mergeCell ref="A25:A26"/>
    <mergeCell ref="B25:B26"/>
    <mergeCell ref="C25:C26"/>
    <mergeCell ref="D25:D26"/>
    <mergeCell ref="E25:E26"/>
    <mergeCell ref="F25:F26"/>
    <mergeCell ref="G25:G26"/>
    <mergeCell ref="H25:H26"/>
    <mergeCell ref="I25:I26"/>
    <mergeCell ref="K25:K26"/>
    <mergeCell ref="L25:L26"/>
    <mergeCell ref="M25:M26"/>
    <mergeCell ref="N25:N26"/>
    <mergeCell ref="O25:O26"/>
    <mergeCell ref="BZ23:BZ24"/>
    <mergeCell ref="CA23:CA24"/>
    <mergeCell ref="CB23:CB24"/>
    <mergeCell ref="CC23:CC24"/>
    <mergeCell ref="CD23:CD24"/>
    <mergeCell ref="BU23:BU24"/>
    <mergeCell ref="BV23:BV24"/>
    <mergeCell ref="BW23:BW24"/>
    <mergeCell ref="U25:U26"/>
    <mergeCell ref="BX23:BX24"/>
    <mergeCell ref="BY23:BY24"/>
    <mergeCell ref="BO23:BO24"/>
    <mergeCell ref="BP23:BP24"/>
    <mergeCell ref="BR23:BR24"/>
    <mergeCell ref="BS23:BS24"/>
    <mergeCell ref="BT23:BT24"/>
    <mergeCell ref="BJ23:BJ24"/>
    <mergeCell ref="BK23:BK24"/>
    <mergeCell ref="BL23:BL24"/>
    <mergeCell ref="BM23:BM24"/>
    <mergeCell ref="BN23:BN24"/>
    <mergeCell ref="BE23:BE24"/>
    <mergeCell ref="BF23:BF24"/>
    <mergeCell ref="BG23:BG24"/>
    <mergeCell ref="BH23:BH24"/>
    <mergeCell ref="BI23:BI24"/>
    <mergeCell ref="AZ23:AZ24"/>
    <mergeCell ref="BA23:BA24"/>
    <mergeCell ref="BB23:BB24"/>
    <mergeCell ref="BC23:BC24"/>
    <mergeCell ref="BD23:BD24"/>
    <mergeCell ref="AU23:AU24"/>
    <mergeCell ref="AV23:AV24"/>
    <mergeCell ref="AW23:AW24"/>
    <mergeCell ref="AX23:AX24"/>
    <mergeCell ref="AY23:AY24"/>
    <mergeCell ref="AP23:AP24"/>
    <mergeCell ref="AQ23:AQ24"/>
    <mergeCell ref="AR23:AR24"/>
    <mergeCell ref="AS23:AS24"/>
    <mergeCell ref="AT23:AT24"/>
    <mergeCell ref="AK23:AK24"/>
    <mergeCell ref="AL23:AL24"/>
    <mergeCell ref="AM23:AM24"/>
    <mergeCell ref="AN23:AN24"/>
    <mergeCell ref="AO23:AO24"/>
    <mergeCell ref="AF23:AF24"/>
    <mergeCell ref="AG23:AG24"/>
    <mergeCell ref="AH23:AH24"/>
    <mergeCell ref="AI23:AI24"/>
    <mergeCell ref="AJ23:AJ24"/>
    <mergeCell ref="A23:A24"/>
    <mergeCell ref="B23:B24"/>
    <mergeCell ref="C23:C24"/>
    <mergeCell ref="D23:D24"/>
    <mergeCell ref="E23:E24"/>
    <mergeCell ref="Q23:Q24"/>
    <mergeCell ref="R23:R24"/>
    <mergeCell ref="S23:S24"/>
    <mergeCell ref="T23:T24"/>
    <mergeCell ref="L23:L24"/>
    <mergeCell ref="M23:M24"/>
    <mergeCell ref="N23:N24"/>
    <mergeCell ref="O23:O24"/>
    <mergeCell ref="P23:P24"/>
    <mergeCell ref="BR1:BV1"/>
    <mergeCell ref="BW1:CA1"/>
    <mergeCell ref="B1:D1"/>
    <mergeCell ref="E1:I1"/>
    <mergeCell ref="J1:R1"/>
    <mergeCell ref="S1:AA1"/>
    <mergeCell ref="AB1:BB1"/>
    <mergeCell ref="BO1:BQ1"/>
    <mergeCell ref="F23:F24"/>
    <mergeCell ref="G23:G24"/>
    <mergeCell ref="H23:H24"/>
    <mergeCell ref="I23:I24"/>
    <mergeCell ref="K23:K24"/>
    <mergeCell ref="U23:U24"/>
    <mergeCell ref="AA23:AA24"/>
    <mergeCell ref="AB23:AB24"/>
    <mergeCell ref="AC23:AC24"/>
    <mergeCell ref="AD23:AD24"/>
    <mergeCell ref="AE23:AE24"/>
    <mergeCell ref="V23:V24"/>
    <mergeCell ref="W23:W24"/>
    <mergeCell ref="X23:X24"/>
    <mergeCell ref="Y23:Y24"/>
    <mergeCell ref="Z23:Z24"/>
  </mergeCells>
  <dataValidations count="14">
    <dataValidation type="list" allowBlank="1" showInputMessage="1" showErrorMessage="1" sqref="AY1:AY2 BE1:BE2 BK1:BK2 AS1:AS2" xr:uid="{83074948-909B-40C4-AA16-4977F52491AD}">
      <formula1>"pd, py, r, pd+py, py+r, pd+r, all"</formula1>
    </dataValidation>
    <dataValidation type="list" allowBlank="1" showInputMessage="1" showErrorMessage="1" sqref="AZ1:AZ2 AT1:AT2" xr:uid="{0D07018E-1784-45E5-9BBB-5260DBE448E8}">
      <formula1>"discrete, continuous"</formula1>
    </dataValidation>
    <dataValidation type="list" allowBlank="1" showInputMessage="1" showErrorMessage="1" sqref="AK1" xr:uid="{34A08FD7-FB4E-4366-BF57-F0D71141E90E}">
      <formula1>"none, artifical, natural, mix"</formula1>
    </dataValidation>
    <dataValidation type="list" allowBlank="1" showInputMessage="1" showErrorMessage="1" sqref="Y1:Y2" xr:uid="{094CD306-0197-4DD5-A009-E9107559FFDB}">
      <formula1>" insect, fish, amphibian, reptile, bird, mammal, asst"</formula1>
    </dataValidation>
    <dataValidation type="list" allowBlank="1" showInputMessage="1" showErrorMessage="1" sqref="AQ1:AQ2 AX1:AX2 BD1:BD2" xr:uid="{1A23A95D-9A0E-4BC1-8475-789AFC5DCF2D}">
      <formula1>"topdown, bottomup, supplyside, envtl, middleout"</formula1>
    </dataValidation>
    <dataValidation type="list" allowBlank="1" showInputMessage="1" showErrorMessage="1" sqref="M1:M2 M215:M223" xr:uid="{0D50A1B9-3FC8-4DF8-8A6B-B7255BD73A12}">
      <formula1>"NCE, TMIE, TMIE-nd"</formula1>
    </dataValidation>
    <dataValidation type="list" allowBlank="1" showInputMessage="1" showErrorMessage="1" sqref="BJ1:BJ2" xr:uid="{F4CD8F61-FCB6-403A-82E5-AC3111FD13B4}">
      <formula1>"topdown, bottomup, supplyside, envtl"</formula1>
    </dataValidation>
    <dataValidation type="list" allowBlank="1" showInputMessage="1" showErrorMessage="1" sqref="U1:U2" xr:uid="{BD27B9A8-5300-483E-A782-0E6F7F8B4481}">
      <formula1>"none, responses, both, fpe"</formula1>
    </dataValidation>
    <dataValidation type="list" allowBlank="1" showInputMessage="1" showErrorMessage="1" sqref="T1:T2" xr:uid="{D66526C2-05FB-4D52-9DAA-686DFC055219}">
      <formula1>"m, t, fw"</formula1>
    </dataValidation>
    <dataValidation type="whole" allowBlank="1" showInputMessage="1" showErrorMessage="1" sqref="C1:C2 C215:C223" xr:uid="{58A4EFDD-8858-4186-A5B8-B49359B5D5BB}">
      <formula1>1990</formula1>
      <formula2>2019</formula2>
    </dataValidation>
    <dataValidation type="list" allowBlank="1" showInputMessage="1" showErrorMessage="1" sqref="AR1:AR2" xr:uid="{521CC5C0-9502-4478-BB2E-FD11400EC7E1}">
      <formula1>"y, n"</formula1>
    </dataValidation>
    <dataValidation type="whole" allowBlank="1" showInputMessage="1" showErrorMessage="1" sqref="H1:H2" xr:uid="{3B2A0BAB-B606-4DDE-8A11-8120E78949F3}">
      <formula1>0</formula1>
      <formula2>3</formula2>
    </dataValidation>
    <dataValidation type="list" allowBlank="1" showInputMessage="1" showErrorMessage="1" sqref="K1:L2 O1:P2 F1:F2 K215:L223 O215:P223" xr:uid="{305E0905-38F8-42F5-B8E5-32521B5FC4B2}">
      <formula1>"Y, N"</formula1>
    </dataValidation>
    <dataValidation type="list" allowBlank="1" showInputMessage="1" showErrorMessage="1" sqref="S1:S2 AG1:AG2" xr:uid="{2AA25A60-567A-473A-BA4B-7F212CAAEC98}">
      <formula1>"Y, N, NA"</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AC6CC-2565-462F-B1D4-51C8303B29D0}">
  <dimension ref="A1:M82"/>
  <sheetViews>
    <sheetView workbookViewId="0">
      <selection activeCell="B18" sqref="B18"/>
    </sheetView>
  </sheetViews>
  <sheetFormatPr defaultColWidth="8.54296875" defaultRowHeight="15" customHeight="1"/>
  <cols>
    <col min="1" max="1" width="16.81640625" customWidth="1"/>
    <col min="2" max="2" width="69.54296875" customWidth="1"/>
    <col min="3" max="3" width="1.54296875" customWidth="1"/>
    <col min="4" max="4" width="17.81640625" customWidth="1"/>
    <col min="5" max="5" width="170.54296875" bestFit="1" customWidth="1"/>
    <col min="12" max="12" width="21.453125" style="49" customWidth="1"/>
    <col min="13" max="13" width="153.1796875" style="48" customWidth="1"/>
  </cols>
  <sheetData>
    <row r="1" spans="1:5" ht="15" customHeight="1">
      <c r="A1" s="159" t="s">
        <v>2718</v>
      </c>
      <c r="B1" s="160"/>
      <c r="D1" s="161" t="s">
        <v>2719</v>
      </c>
      <c r="E1" s="162"/>
    </row>
    <row r="2" spans="1:5" ht="15" customHeight="1">
      <c r="A2" s="155" t="s">
        <v>72</v>
      </c>
      <c r="B2" s="157" t="s">
        <v>2720</v>
      </c>
      <c r="D2" s="50" t="s">
        <v>7</v>
      </c>
      <c r="E2" s="51" t="s">
        <v>2721</v>
      </c>
    </row>
    <row r="3" spans="1:5" ht="15" customHeight="1">
      <c r="A3" s="155"/>
      <c r="B3" s="157"/>
      <c r="D3" s="50" t="s">
        <v>8</v>
      </c>
      <c r="E3" s="51" t="s">
        <v>2722</v>
      </c>
    </row>
    <row r="4" spans="1:5" ht="15" customHeight="1">
      <c r="A4" s="155"/>
      <c r="B4" s="157"/>
      <c r="D4" s="50" t="s">
        <v>9</v>
      </c>
      <c r="E4" s="51" t="s">
        <v>2723</v>
      </c>
    </row>
    <row r="5" spans="1:5" ht="15" customHeight="1">
      <c r="A5" s="155"/>
      <c r="B5" s="157"/>
      <c r="D5" s="52" t="s">
        <v>10</v>
      </c>
      <c r="E5" s="51" t="s">
        <v>2724</v>
      </c>
    </row>
    <row r="6" spans="1:5" ht="15" customHeight="1">
      <c r="A6" s="155" t="s">
        <v>2725</v>
      </c>
      <c r="B6" s="157" t="s">
        <v>2726</v>
      </c>
      <c r="D6" s="52" t="s">
        <v>11</v>
      </c>
      <c r="E6" s="51" t="s">
        <v>2727</v>
      </c>
    </row>
    <row r="7" spans="1:5" ht="15" customHeight="1">
      <c r="A7" s="155"/>
      <c r="B7" s="157"/>
      <c r="D7" s="52" t="s">
        <v>12</v>
      </c>
      <c r="E7" s="51" t="s">
        <v>2728</v>
      </c>
    </row>
    <row r="8" spans="1:5" ht="15" customHeight="1">
      <c r="A8" s="155"/>
      <c r="B8" s="157"/>
      <c r="D8" s="52" t="s">
        <v>13</v>
      </c>
      <c r="E8" s="51" t="s">
        <v>2729</v>
      </c>
    </row>
    <row r="9" spans="1:5" ht="15" customHeight="1">
      <c r="A9" s="155"/>
      <c r="B9" s="157"/>
      <c r="D9" s="52" t="s">
        <v>14</v>
      </c>
      <c r="E9" s="51" t="s">
        <v>2730</v>
      </c>
    </row>
    <row r="10" spans="1:5" ht="15" customHeight="1">
      <c r="A10" s="155" t="s">
        <v>2731</v>
      </c>
      <c r="B10" s="157" t="s">
        <v>2732</v>
      </c>
      <c r="D10" s="50" t="s">
        <v>15</v>
      </c>
      <c r="E10" s="51" t="s">
        <v>2733</v>
      </c>
    </row>
    <row r="11" spans="1:5" ht="15" customHeight="1">
      <c r="A11" s="155"/>
      <c r="B11" s="157"/>
      <c r="D11" s="50" t="s">
        <v>16</v>
      </c>
      <c r="E11" s="51" t="s">
        <v>2734</v>
      </c>
    </row>
    <row r="12" spans="1:5" ht="15" customHeight="1">
      <c r="A12" s="155"/>
      <c r="B12" s="157"/>
      <c r="D12" s="50" t="s">
        <v>17</v>
      </c>
      <c r="E12" s="51" t="s">
        <v>2735</v>
      </c>
    </row>
    <row r="13" spans="1:5" ht="15" customHeight="1">
      <c r="A13" s="156"/>
      <c r="B13" s="158"/>
      <c r="D13" s="50" t="s">
        <v>18</v>
      </c>
      <c r="E13" s="51" t="s">
        <v>2736</v>
      </c>
    </row>
    <row r="14" spans="1:5" ht="15" customHeight="1">
      <c r="D14" s="50" t="s">
        <v>19</v>
      </c>
      <c r="E14" s="51" t="s">
        <v>2737</v>
      </c>
    </row>
    <row r="15" spans="1:5" ht="15" customHeight="1">
      <c r="D15" s="50" t="s">
        <v>20</v>
      </c>
      <c r="E15" s="51" t="s">
        <v>2738</v>
      </c>
    </row>
    <row r="16" spans="1:5" ht="15" customHeight="1">
      <c r="D16" s="50" t="s">
        <v>21</v>
      </c>
      <c r="E16" s="51" t="s">
        <v>2739</v>
      </c>
    </row>
    <row r="17" spans="4:5" ht="15" customHeight="1">
      <c r="D17" s="50" t="s">
        <v>22</v>
      </c>
      <c r="E17" s="51" t="s">
        <v>2740</v>
      </c>
    </row>
    <row r="18" spans="4:5" ht="15" customHeight="1">
      <c r="D18" s="50" t="s">
        <v>23</v>
      </c>
      <c r="E18" s="51" t="s">
        <v>2741</v>
      </c>
    </row>
    <row r="19" spans="4:5" ht="15" customHeight="1">
      <c r="D19" s="50" t="s">
        <v>24</v>
      </c>
      <c r="E19" s="51" t="s">
        <v>2742</v>
      </c>
    </row>
    <row r="20" spans="4:5" ht="15" customHeight="1">
      <c r="D20" s="50" t="s">
        <v>25</v>
      </c>
      <c r="E20" s="51" t="s">
        <v>2743</v>
      </c>
    </row>
    <row r="21" spans="4:5" ht="15" customHeight="1">
      <c r="D21" s="50" t="s">
        <v>26</v>
      </c>
      <c r="E21" s="51" t="s">
        <v>2744</v>
      </c>
    </row>
    <row r="22" spans="4:5" ht="15" customHeight="1">
      <c r="D22" s="50" t="s">
        <v>27</v>
      </c>
      <c r="E22" s="51" t="s">
        <v>2745</v>
      </c>
    </row>
    <row r="23" spans="4:5" ht="15" customHeight="1">
      <c r="D23" s="50" t="s">
        <v>28</v>
      </c>
      <c r="E23" s="51" t="s">
        <v>2746</v>
      </c>
    </row>
    <row r="24" spans="4:5" ht="15" customHeight="1">
      <c r="D24" s="50" t="s">
        <v>29</v>
      </c>
      <c r="E24" s="51" t="s">
        <v>2747</v>
      </c>
    </row>
    <row r="25" spans="4:5" ht="15" customHeight="1">
      <c r="D25" s="50" t="s">
        <v>30</v>
      </c>
      <c r="E25" s="51" t="s">
        <v>2748</v>
      </c>
    </row>
    <row r="26" spans="4:5" ht="15" customHeight="1">
      <c r="D26" s="50" t="s">
        <v>31</v>
      </c>
      <c r="E26" s="51" t="s">
        <v>2749</v>
      </c>
    </row>
    <row r="27" spans="4:5" ht="15" customHeight="1">
      <c r="D27" s="50" t="s">
        <v>32</v>
      </c>
      <c r="E27" s="51" t="s">
        <v>2750</v>
      </c>
    </row>
    <row r="28" spans="4:5" ht="15" customHeight="1">
      <c r="D28" s="50" t="s">
        <v>33</v>
      </c>
      <c r="E28" s="51" t="s">
        <v>2751</v>
      </c>
    </row>
    <row r="29" spans="4:5" ht="15" customHeight="1">
      <c r="D29" s="50" t="s">
        <v>34</v>
      </c>
      <c r="E29" s="51" t="s">
        <v>2752</v>
      </c>
    </row>
    <row r="30" spans="4:5" ht="15" customHeight="1">
      <c r="D30" s="50" t="s">
        <v>35</v>
      </c>
      <c r="E30" s="51" t="s">
        <v>2753</v>
      </c>
    </row>
    <row r="31" spans="4:5" ht="15" customHeight="1">
      <c r="D31" s="50" t="s">
        <v>36</v>
      </c>
      <c r="E31" s="51" t="s">
        <v>2754</v>
      </c>
    </row>
    <row r="32" spans="4:5" ht="15" customHeight="1">
      <c r="D32" s="50" t="s">
        <v>37</v>
      </c>
      <c r="E32" s="51" t="s">
        <v>2755</v>
      </c>
    </row>
    <row r="33" spans="4:5" ht="15" customHeight="1">
      <c r="D33" s="50" t="s">
        <v>38</v>
      </c>
      <c r="E33" s="51" t="s">
        <v>2756</v>
      </c>
    </row>
    <row r="34" spans="4:5" ht="15" customHeight="1">
      <c r="D34" s="50" t="s">
        <v>39</v>
      </c>
      <c r="E34" s="51" t="s">
        <v>2757</v>
      </c>
    </row>
    <row r="35" spans="4:5" ht="15" customHeight="1">
      <c r="D35" s="50" t="s">
        <v>40</v>
      </c>
      <c r="E35" s="51" t="s">
        <v>2758</v>
      </c>
    </row>
    <row r="36" spans="4:5" ht="15" customHeight="1">
      <c r="D36" s="50" t="s">
        <v>41</v>
      </c>
      <c r="E36" s="51" t="s">
        <v>2759</v>
      </c>
    </row>
    <row r="37" spans="4:5" ht="15" customHeight="1">
      <c r="D37" s="50" t="s">
        <v>42</v>
      </c>
      <c r="E37" s="51" t="s">
        <v>2760</v>
      </c>
    </row>
    <row r="38" spans="4:5" ht="15" customHeight="1">
      <c r="D38" s="50" t="s">
        <v>43</v>
      </c>
      <c r="E38" s="51" t="s">
        <v>2761</v>
      </c>
    </row>
    <row r="39" spans="4:5" ht="15" customHeight="1">
      <c r="D39" s="50" t="s">
        <v>44</v>
      </c>
      <c r="E39" s="51" t="s">
        <v>2762</v>
      </c>
    </row>
    <row r="40" spans="4:5" ht="15" customHeight="1">
      <c r="D40" s="50" t="s">
        <v>45</v>
      </c>
      <c r="E40" s="51" t="s">
        <v>2763</v>
      </c>
    </row>
    <row r="41" spans="4:5" ht="15" customHeight="1">
      <c r="D41" s="50" t="s">
        <v>46</v>
      </c>
      <c r="E41" s="51" t="s">
        <v>2764</v>
      </c>
    </row>
    <row r="42" spans="4:5" ht="15" customHeight="1">
      <c r="D42" s="50" t="s">
        <v>47</v>
      </c>
      <c r="E42" s="51" t="s">
        <v>2765</v>
      </c>
    </row>
    <row r="43" spans="4:5" ht="15" customHeight="1">
      <c r="D43" s="50" t="s">
        <v>48</v>
      </c>
      <c r="E43" s="51" t="s">
        <v>2766</v>
      </c>
    </row>
    <row r="44" spans="4:5" ht="15" customHeight="1">
      <c r="D44" s="50" t="s">
        <v>49</v>
      </c>
      <c r="E44" s="51" t="s">
        <v>2767</v>
      </c>
    </row>
    <row r="45" spans="4:5" ht="15" customHeight="1">
      <c r="D45" s="50" t="s">
        <v>50</v>
      </c>
      <c r="E45" s="51" t="s">
        <v>2768</v>
      </c>
    </row>
    <row r="46" spans="4:5" ht="15" customHeight="1">
      <c r="D46" s="50" t="s">
        <v>51</v>
      </c>
      <c r="E46" s="51" t="s">
        <v>2769</v>
      </c>
    </row>
    <row r="47" spans="4:5" ht="15" customHeight="1">
      <c r="D47" s="50" t="s">
        <v>52</v>
      </c>
      <c r="E47" s="51" t="s">
        <v>2770</v>
      </c>
    </row>
    <row r="48" spans="4:5" ht="15" customHeight="1">
      <c r="D48" s="50" t="s">
        <v>53</v>
      </c>
      <c r="E48" s="51" t="s">
        <v>2771</v>
      </c>
    </row>
    <row r="49" spans="4:5" ht="15" customHeight="1">
      <c r="D49" s="50" t="s">
        <v>54</v>
      </c>
      <c r="E49" s="51" t="s">
        <v>2772</v>
      </c>
    </row>
    <row r="50" spans="4:5" ht="15" customHeight="1">
      <c r="D50" s="50" t="s">
        <v>55</v>
      </c>
      <c r="E50" s="51" t="s">
        <v>2773</v>
      </c>
    </row>
    <row r="51" spans="4:5" ht="15" customHeight="1">
      <c r="D51" s="50" t="s">
        <v>56</v>
      </c>
      <c r="E51" s="51" t="s">
        <v>2774</v>
      </c>
    </row>
    <row r="52" spans="4:5" ht="15" customHeight="1">
      <c r="D52" s="50" t="s">
        <v>57</v>
      </c>
      <c r="E52" s="51" t="s">
        <v>2769</v>
      </c>
    </row>
    <row r="53" spans="4:5" ht="15" customHeight="1">
      <c r="D53" s="50" t="s">
        <v>58</v>
      </c>
      <c r="E53" s="51" t="s">
        <v>2775</v>
      </c>
    </row>
    <row r="54" spans="4:5" ht="15" customHeight="1">
      <c r="D54" s="50" t="s">
        <v>59</v>
      </c>
      <c r="E54" s="51" t="s">
        <v>2776</v>
      </c>
    </row>
    <row r="55" spans="4:5" ht="15" customHeight="1">
      <c r="D55" s="50" t="s">
        <v>60</v>
      </c>
      <c r="E55" s="51" t="s">
        <v>2777</v>
      </c>
    </row>
    <row r="56" spans="4:5" ht="15" customHeight="1">
      <c r="D56" s="50" t="s">
        <v>61</v>
      </c>
      <c r="E56" s="51" t="s">
        <v>2778</v>
      </c>
    </row>
    <row r="57" spans="4:5" ht="15" customHeight="1">
      <c r="D57" s="50" t="s">
        <v>62</v>
      </c>
      <c r="E57" s="51" t="s">
        <v>2779</v>
      </c>
    </row>
    <row r="58" spans="4:5" ht="15" customHeight="1">
      <c r="D58" s="50" t="s">
        <v>63</v>
      </c>
      <c r="E58" s="51" t="s">
        <v>2769</v>
      </c>
    </row>
    <row r="59" spans="4:5" ht="15" customHeight="1">
      <c r="D59" s="50" t="s">
        <v>64</v>
      </c>
      <c r="E59" s="51" t="s">
        <v>2780</v>
      </c>
    </row>
    <row r="60" spans="4:5" ht="15" customHeight="1">
      <c r="D60" s="50" t="s">
        <v>65</v>
      </c>
      <c r="E60" s="51" t="s">
        <v>2781</v>
      </c>
    </row>
    <row r="61" spans="4:5" ht="15" customHeight="1">
      <c r="D61" s="50" t="s">
        <v>66</v>
      </c>
      <c r="E61" s="51" t="s">
        <v>2782</v>
      </c>
    </row>
    <row r="62" spans="4:5" ht="15" customHeight="1">
      <c r="D62" s="50" t="s">
        <v>67</v>
      </c>
      <c r="E62" s="51" t="s">
        <v>2783</v>
      </c>
    </row>
    <row r="63" spans="4:5" ht="15" customHeight="1">
      <c r="D63" s="50" t="s">
        <v>68</v>
      </c>
      <c r="E63" s="51" t="s">
        <v>2784</v>
      </c>
    </row>
    <row r="64" spans="4:5" ht="15" customHeight="1">
      <c r="D64" s="50" t="s">
        <v>69</v>
      </c>
      <c r="E64" s="51" t="s">
        <v>2769</v>
      </c>
    </row>
    <row r="65" spans="4:5" ht="15" customHeight="1">
      <c r="D65" s="50" t="s">
        <v>70</v>
      </c>
      <c r="E65" s="51" t="s">
        <v>2785</v>
      </c>
    </row>
    <row r="66" spans="4:5" ht="15" customHeight="1">
      <c r="D66" s="50" t="s">
        <v>71</v>
      </c>
      <c r="E66" s="51" t="s">
        <v>2786</v>
      </c>
    </row>
    <row r="67" spans="4:5" ht="15" customHeight="1">
      <c r="D67" s="52" t="s">
        <v>72</v>
      </c>
      <c r="E67" s="51" t="s">
        <v>2787</v>
      </c>
    </row>
    <row r="68" spans="4:5" ht="15" customHeight="1">
      <c r="D68" s="52" t="s">
        <v>73</v>
      </c>
      <c r="E68" s="51" t="s">
        <v>2788</v>
      </c>
    </row>
    <row r="69" spans="4:5" ht="15" customHeight="1">
      <c r="D69" s="52" t="s">
        <v>74</v>
      </c>
      <c r="E69" s="51" t="s">
        <v>2789</v>
      </c>
    </row>
    <row r="70" spans="4:5" ht="15" customHeight="1">
      <c r="D70" s="52" t="s">
        <v>75</v>
      </c>
      <c r="E70" s="51" t="s">
        <v>2790</v>
      </c>
    </row>
    <row r="71" spans="4:5" ht="15" customHeight="1">
      <c r="D71" s="52" t="s">
        <v>76</v>
      </c>
      <c r="E71" s="51" t="s">
        <v>2791</v>
      </c>
    </row>
    <row r="72" spans="4:5" ht="15" customHeight="1">
      <c r="D72" s="52" t="s">
        <v>77</v>
      </c>
      <c r="E72" s="51" t="s">
        <v>2792</v>
      </c>
    </row>
    <row r="73" spans="4:5" ht="15" customHeight="1">
      <c r="D73" s="52" t="s">
        <v>78</v>
      </c>
      <c r="E73" s="51" t="s">
        <v>2793</v>
      </c>
    </row>
    <row r="74" spans="4:5" ht="15" customHeight="1">
      <c r="D74" s="52" t="s">
        <v>79</v>
      </c>
      <c r="E74" s="51" t="s">
        <v>2794</v>
      </c>
    </row>
    <row r="75" spans="4:5" ht="15" customHeight="1">
      <c r="D75" s="52" t="s">
        <v>80</v>
      </c>
      <c r="E75" s="51" t="s">
        <v>2795</v>
      </c>
    </row>
    <row r="76" spans="4:5" ht="15" customHeight="1">
      <c r="D76" s="52" t="s">
        <v>81</v>
      </c>
      <c r="E76" s="51" t="s">
        <v>2796</v>
      </c>
    </row>
    <row r="77" spans="4:5" ht="15" customHeight="1">
      <c r="D77" s="52" t="s">
        <v>82</v>
      </c>
      <c r="E77" s="51" t="s">
        <v>2797</v>
      </c>
    </row>
    <row r="78" spans="4:5" ht="15" customHeight="1">
      <c r="D78" s="52" t="s">
        <v>83</v>
      </c>
      <c r="E78" s="51" t="s">
        <v>2798</v>
      </c>
    </row>
    <row r="79" spans="4:5" ht="15" customHeight="1">
      <c r="D79" s="52" t="s">
        <v>84</v>
      </c>
      <c r="E79" s="51" t="s">
        <v>2799</v>
      </c>
    </row>
    <row r="80" spans="4:5" ht="15" customHeight="1">
      <c r="D80" s="52" t="s">
        <v>85</v>
      </c>
      <c r="E80" s="51" t="s">
        <v>2800</v>
      </c>
    </row>
    <row r="81" spans="4:5" ht="15" customHeight="1">
      <c r="D81" s="52" t="s">
        <v>86</v>
      </c>
      <c r="E81" s="51" t="s">
        <v>2801</v>
      </c>
    </row>
    <row r="82" spans="4:5" ht="15" customHeight="1">
      <c r="D82" s="53" t="s">
        <v>87</v>
      </c>
      <c r="E82" s="54" t="s">
        <v>2802</v>
      </c>
    </row>
  </sheetData>
  <mergeCells count="8">
    <mergeCell ref="A10:A13"/>
    <mergeCell ref="B10:B13"/>
    <mergeCell ref="A1:B1"/>
    <mergeCell ref="D1:E1"/>
    <mergeCell ref="B2:B5"/>
    <mergeCell ref="A2:A5"/>
    <mergeCell ref="A6:A9"/>
    <mergeCell ref="B6:B9"/>
  </mergeCells>
  <conditionalFormatting sqref="L20">
    <cfRule type="containsBlanks" priority="1">
      <formula>LEN(TRIM(L20))=0</formula>
    </cfRule>
  </conditionalFormatting>
  <dataValidations count="9">
    <dataValidation type="list" allowBlank="1" showInputMessage="1" showErrorMessage="1" sqref="L15:L16 L11:L12 L6 L19" xr:uid="{BCF25BED-4ABD-4C33-B25A-D5E731585939}">
      <formula1>"Y, N"</formula1>
    </dataValidation>
    <dataValidation type="list" allowBlank="1" showInputMessage="1" showErrorMessage="1" sqref="L20" xr:uid="{7ED2E46C-B675-4778-B3AA-D6728C1CDA95}">
      <formula1>"m, t, fw"</formula1>
    </dataValidation>
    <dataValidation type="list" allowBlank="1" showInputMessage="1" showErrorMessage="1" sqref="L51 L45" xr:uid="{48D9BE4B-267D-4136-87A5-5CD6C0F152A9}">
      <formula1>"discrete, continuous"</formula1>
    </dataValidation>
    <dataValidation type="whole" allowBlank="1" showInputMessage="1" showErrorMessage="1" sqref="L8" xr:uid="{76A3D760-A547-48B6-A9B3-1A0DF0A2E30B}">
      <formula1>0</formula1>
      <formula2>3</formula2>
    </dataValidation>
    <dataValidation type="whole" allowBlank="1" showInputMessage="1" showErrorMessage="1" sqref="L3" xr:uid="{F640CC25-0D0D-4694-A1D2-6B87901B861A}">
      <formula1>1990</formula1>
      <formula2>2019</formula2>
    </dataValidation>
    <dataValidation type="list" allowBlank="1" showInputMessage="1" showErrorMessage="1" sqref="L33" xr:uid="{26CC5472-2BBB-43FF-8DF2-2424DA15051E}">
      <formula1>"Y, N, NA"</formula1>
    </dataValidation>
    <dataValidation type="list" allowBlank="1" showInputMessage="1" showErrorMessage="1" sqref="L13" xr:uid="{ADD2FDC9-3B1F-4E64-A0E9-2A0018E6CFA7}">
      <formula1>"NCE, TMIE, TMIE-nd"</formula1>
    </dataValidation>
    <dataValidation type="list" allowBlank="1" showInputMessage="1" showErrorMessage="1" sqref="L21" xr:uid="{A70264A7-B065-49A2-BB81-E0963471BF5E}">
      <formula1>"none, responses, both, fpe"</formula1>
    </dataValidation>
    <dataValidation type="list" allowBlank="1" showInputMessage="1" showErrorMessage="1" sqref="L50 L56 L62 L44" xr:uid="{B3A4CC2D-B18F-4539-BC6A-B1C58D499F25}">
      <formula1>"pd, py, r, pd+py, py+r, pd+r, all"</formula1>
    </dataValidation>
  </dataValidations>
  <pageMargins left="0.7" right="0.7" top="0.75" bottom="0.75" header="0.3" footer="0.3"/>
  <pageSetup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DE078-77A2-4016-BCE3-139AD4D05476}">
  <dimension ref="A1:G43"/>
  <sheetViews>
    <sheetView topLeftCell="A37" workbookViewId="0">
      <selection activeCell="C44" sqref="C44"/>
    </sheetView>
  </sheetViews>
  <sheetFormatPr defaultRowHeight="14.5"/>
  <cols>
    <col min="2" max="2" width="9.453125" bestFit="1" customWidth="1"/>
    <col min="3" max="3" width="82.1796875" style="3" customWidth="1"/>
    <col min="4" max="4" width="8.54296875" customWidth="1"/>
    <col min="5" max="5" width="48.54296875" customWidth="1"/>
    <col min="6" max="6" width="48.453125" customWidth="1"/>
    <col min="7" max="7" width="51.54296875" customWidth="1"/>
  </cols>
  <sheetData>
    <row r="1" spans="1:7">
      <c r="A1" t="s">
        <v>2803</v>
      </c>
      <c r="E1" s="45" t="s">
        <v>2804</v>
      </c>
      <c r="F1" s="45" t="s">
        <v>2805</v>
      </c>
      <c r="G1" s="45" t="s">
        <v>2806</v>
      </c>
    </row>
    <row r="2" spans="1:7" ht="29">
      <c r="A2" t="s">
        <v>2807</v>
      </c>
      <c r="B2" t="s">
        <v>2808</v>
      </c>
      <c r="C2" s="3" t="s">
        <v>2809</v>
      </c>
      <c r="E2" s="27" t="s">
        <v>2810</v>
      </c>
      <c r="F2" s="27" t="s">
        <v>2811</v>
      </c>
      <c r="G2" s="27" t="s">
        <v>2812</v>
      </c>
    </row>
    <row r="3" spans="1:7" ht="29">
      <c r="A3" s="28" t="s">
        <v>2813</v>
      </c>
      <c r="B3" t="s">
        <v>135</v>
      </c>
      <c r="C3" s="3">
        <v>4</v>
      </c>
      <c r="E3" s="27" t="s">
        <v>2814</v>
      </c>
      <c r="F3" s="27" t="s">
        <v>2815</v>
      </c>
      <c r="G3" s="27" t="s">
        <v>2816</v>
      </c>
    </row>
    <row r="4" spans="1:7" ht="29">
      <c r="A4" t="s">
        <v>2817</v>
      </c>
      <c r="B4" t="s">
        <v>353</v>
      </c>
      <c r="C4" s="3">
        <v>6</v>
      </c>
      <c r="E4" s="27" t="s">
        <v>2818</v>
      </c>
      <c r="F4" s="27" t="s">
        <v>2819</v>
      </c>
      <c r="G4" s="27" t="s">
        <v>2820</v>
      </c>
    </row>
    <row r="5" spans="1:7" ht="29">
      <c r="A5" t="s">
        <v>2821</v>
      </c>
      <c r="B5" t="s">
        <v>360</v>
      </c>
      <c r="C5" s="3">
        <v>5</v>
      </c>
      <c r="E5" s="27" t="s">
        <v>2822</v>
      </c>
      <c r="F5" s="27" t="s">
        <v>2823</v>
      </c>
      <c r="G5" s="27" t="s">
        <v>2820</v>
      </c>
    </row>
    <row r="6" spans="1:7">
      <c r="A6" t="s">
        <v>2824</v>
      </c>
      <c r="B6" t="s">
        <v>526</v>
      </c>
      <c r="C6" s="3">
        <v>3</v>
      </c>
      <c r="E6" s="27" t="s">
        <v>2825</v>
      </c>
      <c r="F6" s="27" t="s">
        <v>2826</v>
      </c>
      <c r="G6" s="27" t="s">
        <v>2827</v>
      </c>
    </row>
    <row r="7" spans="1:7" ht="43.5">
      <c r="E7" s="27" t="s">
        <v>2828</v>
      </c>
      <c r="F7" s="27" t="s">
        <v>2829</v>
      </c>
      <c r="G7" s="27" t="s">
        <v>2830</v>
      </c>
    </row>
    <row r="8" spans="1:7">
      <c r="A8" t="s">
        <v>2831</v>
      </c>
    </row>
    <row r="9" spans="1:7">
      <c r="A9" t="s">
        <v>2832</v>
      </c>
    </row>
    <row r="11" spans="1:7">
      <c r="A11" t="s">
        <v>2833</v>
      </c>
    </row>
    <row r="13" spans="1:7">
      <c r="B13" t="s">
        <v>2834</v>
      </c>
    </row>
    <row r="14" spans="1:7" ht="29">
      <c r="B14" s="41">
        <v>44868</v>
      </c>
      <c r="C14" s="3" t="s">
        <v>2835</v>
      </c>
    </row>
    <row r="15" spans="1:7">
      <c r="C15" s="3" t="s">
        <v>2836</v>
      </c>
    </row>
    <row r="16" spans="1:7">
      <c r="C16" s="3" t="s">
        <v>2837</v>
      </c>
    </row>
    <row r="17" spans="2:3">
      <c r="C17" s="3" t="s">
        <v>2838</v>
      </c>
    </row>
    <row r="18" spans="2:3">
      <c r="C18" s="3" t="s">
        <v>2839</v>
      </c>
    </row>
    <row r="19" spans="2:3" ht="87">
      <c r="C19" s="3" t="s">
        <v>2840</v>
      </c>
    </row>
    <row r="20" spans="2:3" ht="29">
      <c r="B20" s="41">
        <v>44895</v>
      </c>
      <c r="C20" s="3" t="s">
        <v>2841</v>
      </c>
    </row>
    <row r="22" spans="2:3" ht="29">
      <c r="B22" s="41">
        <v>44966</v>
      </c>
      <c r="C22" s="3" t="s">
        <v>2842</v>
      </c>
    </row>
    <row r="23" spans="2:3">
      <c r="C23" s="59" t="s">
        <v>2843</v>
      </c>
    </row>
    <row r="24" spans="2:3">
      <c r="C24" s="61" t="s">
        <v>2844</v>
      </c>
    </row>
    <row r="25" spans="2:3">
      <c r="C25" s="59" t="s">
        <v>2845</v>
      </c>
    </row>
    <row r="26" spans="2:3" ht="29">
      <c r="C26" s="59" t="s">
        <v>2846</v>
      </c>
    </row>
    <row r="27" spans="2:3" ht="29">
      <c r="C27" s="59" t="s">
        <v>2847</v>
      </c>
    </row>
    <row r="28" spans="2:3">
      <c r="C28" s="61" t="s">
        <v>2848</v>
      </c>
    </row>
    <row r="29" spans="2:3">
      <c r="C29" s="60" t="s">
        <v>2849</v>
      </c>
    </row>
    <row r="30" spans="2:3" ht="29">
      <c r="C30" s="59" t="s">
        <v>2850</v>
      </c>
    </row>
    <row r="32" spans="2:3">
      <c r="B32" s="41">
        <v>45506</v>
      </c>
      <c r="C32" s="3" t="s">
        <v>3079</v>
      </c>
    </row>
    <row r="34" spans="2:3">
      <c r="B34" s="41">
        <v>45518</v>
      </c>
      <c r="C34" s="3" t="s">
        <v>3080</v>
      </c>
    </row>
    <row r="35" spans="2:3">
      <c r="B35" s="41">
        <v>45536</v>
      </c>
      <c r="C35" s="3" t="s">
        <v>3172</v>
      </c>
    </row>
    <row r="36" spans="2:3">
      <c r="C36" s="3" t="s">
        <v>3173</v>
      </c>
    </row>
    <row r="37" spans="2:3">
      <c r="B37" s="41">
        <v>45547</v>
      </c>
      <c r="C37" s="3" t="s">
        <v>3176</v>
      </c>
    </row>
    <row r="38" spans="2:3">
      <c r="B38" s="41">
        <v>45572</v>
      </c>
      <c r="C38" s="3" t="s">
        <v>3180</v>
      </c>
    </row>
    <row r="39" spans="2:3">
      <c r="B39" s="41">
        <v>45576</v>
      </c>
      <c r="C39" s="3" t="s">
        <v>3181</v>
      </c>
    </row>
    <row r="40" spans="2:3" ht="29">
      <c r="B40" s="28">
        <v>45796</v>
      </c>
      <c r="C40" s="3" t="s">
        <v>3196</v>
      </c>
    </row>
    <row r="41" spans="2:3">
      <c r="B41" s="28">
        <v>45953</v>
      </c>
      <c r="C41" s="3" t="s">
        <v>3201</v>
      </c>
    </row>
    <row r="42" spans="2:3">
      <c r="B42" s="28">
        <v>45993</v>
      </c>
      <c r="C42" s="3" t="s">
        <v>3202</v>
      </c>
    </row>
    <row r="43" spans="2:3" ht="116">
      <c r="B43" s="41">
        <v>46050</v>
      </c>
      <c r="C43" s="3" t="s">
        <v>3211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11711-9F35-4969-A865-0376E1F8C097}">
  <dimension ref="A1:CF15"/>
  <sheetViews>
    <sheetView zoomScale="55" zoomScaleNormal="55" workbookViewId="0">
      <selection activeCell="K24" sqref="K24"/>
    </sheetView>
  </sheetViews>
  <sheetFormatPr defaultColWidth="8.81640625" defaultRowHeight="14.5"/>
  <sheetData>
    <row r="1" spans="1:84">
      <c r="A1" s="87">
        <v>6</v>
      </c>
      <c r="B1" s="87" t="s">
        <v>88</v>
      </c>
      <c r="C1" s="87">
        <v>2013</v>
      </c>
      <c r="D1" s="87" t="s">
        <v>89</v>
      </c>
      <c r="E1" s="88">
        <v>44712</v>
      </c>
      <c r="F1" s="87" t="s">
        <v>97</v>
      </c>
      <c r="G1" s="87" t="s">
        <v>495</v>
      </c>
      <c r="H1" s="87"/>
      <c r="I1" s="87" t="s">
        <v>2851</v>
      </c>
      <c r="J1" s="87" t="s">
        <v>93</v>
      </c>
      <c r="K1" s="87" t="s">
        <v>94</v>
      </c>
      <c r="L1" s="87" t="s">
        <v>94</v>
      </c>
      <c r="M1" s="87" t="s">
        <v>95</v>
      </c>
      <c r="N1" s="87" t="s">
        <v>96</v>
      </c>
      <c r="O1" s="87" t="s">
        <v>97</v>
      </c>
      <c r="P1" s="87" t="s">
        <v>97</v>
      </c>
      <c r="Q1" s="87"/>
      <c r="R1" s="87"/>
      <c r="S1" s="87" t="s">
        <v>90</v>
      </c>
      <c r="T1" s="87" t="s">
        <v>98</v>
      </c>
      <c r="U1" s="87" t="s">
        <v>99</v>
      </c>
      <c r="V1" s="87">
        <v>1</v>
      </c>
      <c r="W1" s="87" t="s">
        <v>100</v>
      </c>
      <c r="X1" s="87" t="s">
        <v>101</v>
      </c>
      <c r="Y1" s="87" t="s">
        <v>102</v>
      </c>
      <c r="Z1" s="87" t="s">
        <v>103</v>
      </c>
      <c r="AA1" s="87" t="s">
        <v>104</v>
      </c>
      <c r="AB1" s="87" t="s">
        <v>105</v>
      </c>
      <c r="AC1" s="87" t="s">
        <v>106</v>
      </c>
      <c r="AD1" s="87" t="s">
        <v>107</v>
      </c>
      <c r="AE1" s="87" t="s">
        <v>108</v>
      </c>
      <c r="AF1" s="87">
        <v>3</v>
      </c>
      <c r="AG1" s="87" t="s">
        <v>90</v>
      </c>
      <c r="AH1" s="87" t="s">
        <v>109</v>
      </c>
      <c r="AI1" s="87" t="s">
        <v>110</v>
      </c>
      <c r="AJ1" s="87">
        <v>2</v>
      </c>
      <c r="AK1" s="87" t="s">
        <v>99</v>
      </c>
      <c r="AL1" s="87" t="s">
        <v>94</v>
      </c>
      <c r="AM1" s="87" t="s">
        <v>94</v>
      </c>
      <c r="AN1" s="87" t="s">
        <v>111</v>
      </c>
      <c r="AO1" s="87" t="s">
        <v>111</v>
      </c>
      <c r="AP1" s="87" t="s">
        <v>112</v>
      </c>
      <c r="AQ1" s="87" t="s">
        <v>113</v>
      </c>
      <c r="AR1" s="87" t="s">
        <v>114</v>
      </c>
      <c r="AS1" s="87" t="s">
        <v>115</v>
      </c>
      <c r="AT1" s="87" t="s">
        <v>116</v>
      </c>
      <c r="AU1" s="87" t="s">
        <v>117</v>
      </c>
      <c r="AV1" s="87">
        <v>2</v>
      </c>
      <c r="AW1" s="87" t="s">
        <v>118</v>
      </c>
      <c r="AX1" s="87" t="s">
        <v>119</v>
      </c>
      <c r="AY1" s="87" t="s">
        <v>120</v>
      </c>
      <c r="AZ1" s="87" t="s">
        <v>116</v>
      </c>
      <c r="BA1" s="87" t="s">
        <v>121</v>
      </c>
      <c r="BB1" s="87">
        <v>2</v>
      </c>
      <c r="BC1" s="87" t="s">
        <v>122</v>
      </c>
      <c r="BD1" s="87" t="s">
        <v>123</v>
      </c>
      <c r="BE1" s="87" t="s">
        <v>124</v>
      </c>
      <c r="BF1" s="87" t="s">
        <v>116</v>
      </c>
      <c r="BG1" s="87" t="s">
        <v>125</v>
      </c>
      <c r="BH1" s="87">
        <v>2</v>
      </c>
      <c r="BI1" s="87"/>
      <c r="BJ1" s="87"/>
      <c r="BK1" s="87"/>
      <c r="BL1" s="87"/>
      <c r="BM1" s="87"/>
      <c r="BN1" s="87"/>
      <c r="BO1" s="87" t="s">
        <v>2852</v>
      </c>
      <c r="BP1" s="87" t="s">
        <v>2853</v>
      </c>
      <c r="BQ1" t="s">
        <v>355</v>
      </c>
      <c r="BR1" s="87" t="s">
        <v>128</v>
      </c>
      <c r="BS1" s="87" t="s">
        <v>111</v>
      </c>
      <c r="BT1" s="87">
        <v>0.24399999999999999</v>
      </c>
      <c r="BU1" s="87">
        <v>0.316</v>
      </c>
      <c r="BV1" s="87" t="s">
        <v>129</v>
      </c>
      <c r="BW1" s="87">
        <v>4</v>
      </c>
      <c r="BX1" s="87" t="s">
        <v>111</v>
      </c>
      <c r="BY1" s="87">
        <v>0.25900000000000001</v>
      </c>
      <c r="BZ1" s="87">
        <v>0.308</v>
      </c>
      <c r="CA1" s="87" t="s">
        <v>129</v>
      </c>
      <c r="CB1" s="87">
        <v>4</v>
      </c>
      <c r="CC1" s="87" t="s">
        <v>130</v>
      </c>
      <c r="CD1" s="87">
        <v>4</v>
      </c>
      <c r="CE1" s="87" t="s">
        <v>2854</v>
      </c>
    </row>
    <row r="2" spans="1:84">
      <c r="A2" s="87">
        <v>6</v>
      </c>
      <c r="B2" s="87" t="s">
        <v>88</v>
      </c>
      <c r="C2" s="87">
        <v>2013</v>
      </c>
      <c r="D2" s="87" t="s">
        <v>89</v>
      </c>
      <c r="E2" s="88">
        <v>44712</v>
      </c>
      <c r="F2" s="87" t="s">
        <v>97</v>
      </c>
      <c r="G2" s="87" t="s">
        <v>495</v>
      </c>
      <c r="H2" s="87"/>
      <c r="I2" s="87" t="s">
        <v>2851</v>
      </c>
      <c r="J2" s="87" t="s">
        <v>93</v>
      </c>
      <c r="K2" s="87" t="s">
        <v>94</v>
      </c>
      <c r="L2" s="87" t="s">
        <v>94</v>
      </c>
      <c r="M2" s="87" t="s">
        <v>95</v>
      </c>
      <c r="N2" s="87" t="s">
        <v>96</v>
      </c>
      <c r="O2" s="87" t="s">
        <v>97</v>
      </c>
      <c r="P2" s="87" t="s">
        <v>97</v>
      </c>
      <c r="Q2" s="87"/>
      <c r="R2" s="87"/>
      <c r="S2" s="87" t="s">
        <v>90</v>
      </c>
      <c r="T2" s="87" t="s">
        <v>98</v>
      </c>
      <c r="U2" s="87" t="s">
        <v>99</v>
      </c>
      <c r="V2" s="87">
        <v>1</v>
      </c>
      <c r="W2" s="87" t="s">
        <v>100</v>
      </c>
      <c r="X2" s="87" t="s">
        <v>101</v>
      </c>
      <c r="Y2" s="87" t="s">
        <v>102</v>
      </c>
      <c r="Z2" s="87" t="s">
        <v>103</v>
      </c>
      <c r="AA2" s="87" t="s">
        <v>104</v>
      </c>
      <c r="AB2" s="87" t="s">
        <v>105</v>
      </c>
      <c r="AC2" s="87" t="s">
        <v>106</v>
      </c>
      <c r="AD2" s="87" t="s">
        <v>107</v>
      </c>
      <c r="AE2" s="87" t="s">
        <v>108</v>
      </c>
      <c r="AF2" s="87">
        <v>3</v>
      </c>
      <c r="AG2" s="87" t="s">
        <v>90</v>
      </c>
      <c r="AH2" s="87" t="s">
        <v>109</v>
      </c>
      <c r="AI2" s="87" t="s">
        <v>110</v>
      </c>
      <c r="AJ2" s="87">
        <v>2</v>
      </c>
      <c r="AK2" s="87" t="s">
        <v>99</v>
      </c>
      <c r="AL2" s="87" t="s">
        <v>94</v>
      </c>
      <c r="AM2" s="87" t="s">
        <v>94</v>
      </c>
      <c r="AN2" s="87" t="s">
        <v>111</v>
      </c>
      <c r="AO2" s="87" t="s">
        <v>111</v>
      </c>
      <c r="AP2" s="87" t="s">
        <v>112</v>
      </c>
      <c r="AQ2" s="87" t="s">
        <v>113</v>
      </c>
      <c r="AR2" s="87" t="s">
        <v>114</v>
      </c>
      <c r="AS2" s="87" t="s">
        <v>115</v>
      </c>
      <c r="AT2" s="87" t="s">
        <v>116</v>
      </c>
      <c r="AU2" s="87" t="s">
        <v>117</v>
      </c>
      <c r="AV2" s="87">
        <v>2</v>
      </c>
      <c r="AW2" s="87" t="s">
        <v>118</v>
      </c>
      <c r="AX2" s="87" t="s">
        <v>119</v>
      </c>
      <c r="AY2" s="87" t="s">
        <v>120</v>
      </c>
      <c r="AZ2" s="87" t="s">
        <v>116</v>
      </c>
      <c r="BA2" s="87" t="s">
        <v>121</v>
      </c>
      <c r="BB2" s="87">
        <v>2</v>
      </c>
      <c r="BC2" s="87" t="s">
        <v>122</v>
      </c>
      <c r="BD2" s="87" t="s">
        <v>123</v>
      </c>
      <c r="BE2" s="87" t="s">
        <v>124</v>
      </c>
      <c r="BF2" s="87" t="s">
        <v>116</v>
      </c>
      <c r="BG2" s="87" t="s">
        <v>125</v>
      </c>
      <c r="BH2" s="87">
        <v>2</v>
      </c>
      <c r="BI2" s="87"/>
      <c r="BJ2" s="87"/>
      <c r="BK2" s="87"/>
      <c r="BL2" s="87"/>
      <c r="BM2" s="87"/>
      <c r="BN2" s="87"/>
      <c r="BO2" s="87" t="s">
        <v>2852</v>
      </c>
      <c r="BP2" s="87" t="s">
        <v>2855</v>
      </c>
      <c r="BQ2" t="s">
        <v>355</v>
      </c>
      <c r="BR2" s="87" t="s">
        <v>128</v>
      </c>
      <c r="BS2" s="87" t="s">
        <v>111</v>
      </c>
      <c r="BT2" s="87">
        <v>0.308</v>
      </c>
      <c r="BU2" s="87">
        <v>0.33800000000000002</v>
      </c>
      <c r="BV2" s="87" t="s">
        <v>129</v>
      </c>
      <c r="BW2" s="87">
        <v>4</v>
      </c>
      <c r="BX2" s="87" t="s">
        <v>111</v>
      </c>
      <c r="BY2" s="87">
        <v>0.25900000000000001</v>
      </c>
      <c r="BZ2" s="87">
        <v>0.308</v>
      </c>
      <c r="CA2" s="87" t="s">
        <v>129</v>
      </c>
      <c r="CB2" s="87">
        <v>4</v>
      </c>
      <c r="CC2" s="87" t="s">
        <v>130</v>
      </c>
      <c r="CD2" s="87">
        <v>4</v>
      </c>
      <c r="CE2" s="87" t="s">
        <v>2854</v>
      </c>
    </row>
    <row r="3" spans="1:84">
      <c r="A3" s="87">
        <v>6</v>
      </c>
      <c r="B3" s="87" t="s">
        <v>88</v>
      </c>
      <c r="C3" s="87">
        <v>2013</v>
      </c>
      <c r="D3" s="87" t="s">
        <v>89</v>
      </c>
      <c r="E3" s="88">
        <v>44712</v>
      </c>
      <c r="F3" s="87" t="s">
        <v>97</v>
      </c>
      <c r="G3" s="87" t="s">
        <v>495</v>
      </c>
      <c r="H3" s="87"/>
      <c r="I3" s="87" t="s">
        <v>2851</v>
      </c>
      <c r="J3" s="87" t="s">
        <v>93</v>
      </c>
      <c r="K3" s="87" t="s">
        <v>94</v>
      </c>
      <c r="L3" s="87" t="s">
        <v>94</v>
      </c>
      <c r="M3" s="87" t="s">
        <v>95</v>
      </c>
      <c r="N3" s="87" t="s">
        <v>96</v>
      </c>
      <c r="O3" s="87" t="s">
        <v>97</v>
      </c>
      <c r="P3" s="87" t="s">
        <v>97</v>
      </c>
      <c r="Q3" s="87"/>
      <c r="R3" s="87"/>
      <c r="S3" s="87" t="s">
        <v>90</v>
      </c>
      <c r="T3" s="87" t="s">
        <v>98</v>
      </c>
      <c r="U3" s="87" t="s">
        <v>99</v>
      </c>
      <c r="V3" s="87">
        <v>1</v>
      </c>
      <c r="W3" s="87" t="s">
        <v>100</v>
      </c>
      <c r="X3" s="87" t="s">
        <v>101</v>
      </c>
      <c r="Y3" s="87" t="s">
        <v>102</v>
      </c>
      <c r="Z3" s="87" t="s">
        <v>103</v>
      </c>
      <c r="AA3" s="87" t="s">
        <v>104</v>
      </c>
      <c r="AB3" s="87" t="s">
        <v>105</v>
      </c>
      <c r="AC3" s="87" t="s">
        <v>106</v>
      </c>
      <c r="AD3" s="87" t="s">
        <v>107</v>
      </c>
      <c r="AE3" s="87" t="s">
        <v>108</v>
      </c>
      <c r="AF3" s="87">
        <v>3</v>
      </c>
      <c r="AG3" s="87" t="s">
        <v>90</v>
      </c>
      <c r="AH3" s="87" t="s">
        <v>109</v>
      </c>
      <c r="AI3" s="87" t="s">
        <v>110</v>
      </c>
      <c r="AJ3" s="87">
        <v>2</v>
      </c>
      <c r="AK3" s="87" t="s">
        <v>99</v>
      </c>
      <c r="AL3" s="87" t="s">
        <v>94</v>
      </c>
      <c r="AM3" s="87" t="s">
        <v>94</v>
      </c>
      <c r="AN3" s="87" t="s">
        <v>111</v>
      </c>
      <c r="AO3" s="87" t="s">
        <v>111</v>
      </c>
      <c r="AP3" s="87" t="s">
        <v>112</v>
      </c>
      <c r="AQ3" s="87" t="s">
        <v>113</v>
      </c>
      <c r="AR3" s="87" t="s">
        <v>114</v>
      </c>
      <c r="AS3" s="87" t="s">
        <v>115</v>
      </c>
      <c r="AT3" s="87" t="s">
        <v>116</v>
      </c>
      <c r="AU3" s="87" t="s">
        <v>117</v>
      </c>
      <c r="AV3" s="87">
        <v>2</v>
      </c>
      <c r="AW3" s="87" t="s">
        <v>118</v>
      </c>
      <c r="AX3" s="87" t="s">
        <v>119</v>
      </c>
      <c r="AY3" s="87" t="s">
        <v>120</v>
      </c>
      <c r="AZ3" s="87" t="s">
        <v>116</v>
      </c>
      <c r="BA3" s="87" t="s">
        <v>121</v>
      </c>
      <c r="BB3" s="87">
        <v>2</v>
      </c>
      <c r="BC3" s="87" t="s">
        <v>122</v>
      </c>
      <c r="BD3" s="87" t="s">
        <v>123</v>
      </c>
      <c r="BE3" s="87" t="s">
        <v>124</v>
      </c>
      <c r="BF3" s="87" t="s">
        <v>116</v>
      </c>
      <c r="BG3" s="87" t="s">
        <v>125</v>
      </c>
      <c r="BH3" s="87">
        <v>2</v>
      </c>
      <c r="BI3" s="87"/>
      <c r="BJ3" s="87"/>
      <c r="BK3" s="87"/>
      <c r="BL3" s="87"/>
      <c r="BM3" s="87"/>
      <c r="BN3" s="87"/>
      <c r="BO3" s="87" t="s">
        <v>2852</v>
      </c>
      <c r="BP3" s="87" t="s">
        <v>2856</v>
      </c>
      <c r="BQ3" t="s">
        <v>355</v>
      </c>
      <c r="BR3" s="87" t="s">
        <v>128</v>
      </c>
      <c r="BS3" s="87" t="s">
        <v>111</v>
      </c>
      <c r="BT3" s="87">
        <v>0.51100000000000001</v>
      </c>
      <c r="BU3" s="87">
        <v>0.56000000000000005</v>
      </c>
      <c r="BV3" s="87" t="s">
        <v>129</v>
      </c>
      <c r="BW3" s="87">
        <v>4</v>
      </c>
      <c r="BX3" s="87" t="s">
        <v>111</v>
      </c>
      <c r="BY3" s="87">
        <v>0.35099999999999998</v>
      </c>
      <c r="BZ3" s="87">
        <v>0.38400000000000001</v>
      </c>
      <c r="CA3" s="87" t="s">
        <v>129</v>
      </c>
      <c r="CB3" s="87">
        <v>4</v>
      </c>
      <c r="CC3" s="87" t="s">
        <v>130</v>
      </c>
      <c r="CD3" s="87">
        <v>4</v>
      </c>
      <c r="CE3" s="87" t="s">
        <v>2854</v>
      </c>
    </row>
    <row r="4" spans="1:84">
      <c r="A4" s="87">
        <v>6</v>
      </c>
      <c r="B4" s="87" t="s">
        <v>88</v>
      </c>
      <c r="C4" s="87">
        <v>2013</v>
      </c>
      <c r="D4" s="87" t="s">
        <v>89</v>
      </c>
      <c r="E4" s="88">
        <v>44712</v>
      </c>
      <c r="F4" s="87" t="s">
        <v>97</v>
      </c>
      <c r="G4" s="87" t="s">
        <v>495</v>
      </c>
      <c r="H4" s="87"/>
      <c r="I4" s="87" t="s">
        <v>2851</v>
      </c>
      <c r="J4" s="87" t="s">
        <v>93</v>
      </c>
      <c r="K4" s="87" t="s">
        <v>94</v>
      </c>
      <c r="L4" s="87" t="s">
        <v>94</v>
      </c>
      <c r="M4" s="87" t="s">
        <v>95</v>
      </c>
      <c r="N4" s="87" t="s">
        <v>96</v>
      </c>
      <c r="O4" s="87" t="s">
        <v>97</v>
      </c>
      <c r="P4" s="87" t="s">
        <v>97</v>
      </c>
      <c r="Q4" s="87"/>
      <c r="R4" s="87"/>
      <c r="S4" s="87" t="s">
        <v>90</v>
      </c>
      <c r="T4" s="87" t="s">
        <v>98</v>
      </c>
      <c r="U4" s="87" t="s">
        <v>99</v>
      </c>
      <c r="V4" s="87">
        <v>1</v>
      </c>
      <c r="W4" s="87" t="s">
        <v>100</v>
      </c>
      <c r="X4" s="87" t="s">
        <v>101</v>
      </c>
      <c r="Y4" s="87" t="s">
        <v>102</v>
      </c>
      <c r="Z4" s="87" t="s">
        <v>103</v>
      </c>
      <c r="AA4" s="87" t="s">
        <v>104</v>
      </c>
      <c r="AB4" s="87" t="s">
        <v>105</v>
      </c>
      <c r="AC4" s="87" t="s">
        <v>106</v>
      </c>
      <c r="AD4" s="87" t="s">
        <v>107</v>
      </c>
      <c r="AE4" s="87" t="s">
        <v>108</v>
      </c>
      <c r="AF4" s="87">
        <v>3</v>
      </c>
      <c r="AG4" s="87" t="s">
        <v>90</v>
      </c>
      <c r="AH4" s="87" t="s">
        <v>109</v>
      </c>
      <c r="AI4" s="87" t="s">
        <v>110</v>
      </c>
      <c r="AJ4" s="87">
        <v>2</v>
      </c>
      <c r="AK4" s="87" t="s">
        <v>99</v>
      </c>
      <c r="AL4" s="87" t="s">
        <v>94</v>
      </c>
      <c r="AM4" s="87" t="s">
        <v>94</v>
      </c>
      <c r="AN4" s="87" t="s">
        <v>111</v>
      </c>
      <c r="AO4" s="87" t="s">
        <v>111</v>
      </c>
      <c r="AP4" s="87" t="s">
        <v>112</v>
      </c>
      <c r="AQ4" s="87" t="s">
        <v>113</v>
      </c>
      <c r="AR4" s="87" t="s">
        <v>114</v>
      </c>
      <c r="AS4" s="87" t="s">
        <v>115</v>
      </c>
      <c r="AT4" s="87" t="s">
        <v>116</v>
      </c>
      <c r="AU4" s="87" t="s">
        <v>117</v>
      </c>
      <c r="AV4" s="87">
        <v>2</v>
      </c>
      <c r="AW4" s="87" t="s">
        <v>118</v>
      </c>
      <c r="AX4" s="87" t="s">
        <v>119</v>
      </c>
      <c r="AY4" s="87" t="s">
        <v>120</v>
      </c>
      <c r="AZ4" s="87" t="s">
        <v>116</v>
      </c>
      <c r="BA4" s="87" t="s">
        <v>121</v>
      </c>
      <c r="BB4" s="87">
        <v>2</v>
      </c>
      <c r="BC4" s="87" t="s">
        <v>122</v>
      </c>
      <c r="BD4" s="87" t="s">
        <v>123</v>
      </c>
      <c r="BE4" s="87" t="s">
        <v>124</v>
      </c>
      <c r="BF4" s="87" t="s">
        <v>116</v>
      </c>
      <c r="BG4" s="87" t="s">
        <v>125</v>
      </c>
      <c r="BH4" s="87">
        <v>2</v>
      </c>
      <c r="BI4" s="87"/>
      <c r="BJ4" s="87"/>
      <c r="BK4" s="87"/>
      <c r="BL4" s="87"/>
      <c r="BM4" s="87"/>
      <c r="BN4" s="87"/>
      <c r="BO4" s="87" t="s">
        <v>2852</v>
      </c>
      <c r="BP4" s="87" t="s">
        <v>2857</v>
      </c>
      <c r="BQ4" t="s">
        <v>355</v>
      </c>
      <c r="BR4" s="87" t="s">
        <v>128</v>
      </c>
      <c r="BS4" s="87" t="s">
        <v>111</v>
      </c>
      <c r="BT4" s="87">
        <v>0.5</v>
      </c>
      <c r="BU4" s="87">
        <v>0.54900000000000004</v>
      </c>
      <c r="BV4" s="87" t="s">
        <v>129</v>
      </c>
      <c r="BW4" s="87">
        <v>4</v>
      </c>
      <c r="BX4" s="87" t="s">
        <v>111</v>
      </c>
      <c r="BY4" s="87">
        <v>0.35099999999999998</v>
      </c>
      <c r="BZ4" s="87">
        <v>0.38400000000000001</v>
      </c>
      <c r="CA4" s="87" t="s">
        <v>129</v>
      </c>
      <c r="CB4" s="87">
        <v>4</v>
      </c>
      <c r="CC4" s="87" t="s">
        <v>130</v>
      </c>
      <c r="CD4" s="87">
        <v>4</v>
      </c>
      <c r="CE4" s="87" t="s">
        <v>2854</v>
      </c>
    </row>
    <row r="5" spans="1:84">
      <c r="A5" s="87">
        <v>6</v>
      </c>
      <c r="B5" s="87" t="s">
        <v>88</v>
      </c>
      <c r="C5" s="87">
        <v>2013</v>
      </c>
      <c r="D5" s="87" t="s">
        <v>89</v>
      </c>
      <c r="E5" s="88">
        <v>44712</v>
      </c>
      <c r="F5" s="87" t="s">
        <v>97</v>
      </c>
      <c r="G5" s="87" t="s">
        <v>495</v>
      </c>
      <c r="H5" s="87"/>
      <c r="I5" s="87" t="s">
        <v>2851</v>
      </c>
      <c r="J5" s="87" t="s">
        <v>93</v>
      </c>
      <c r="K5" s="87" t="s">
        <v>94</v>
      </c>
      <c r="L5" s="87" t="s">
        <v>94</v>
      </c>
      <c r="M5" s="87" t="s">
        <v>95</v>
      </c>
      <c r="N5" s="87" t="s">
        <v>96</v>
      </c>
      <c r="O5" s="87" t="s">
        <v>97</v>
      </c>
      <c r="P5" s="87" t="s">
        <v>97</v>
      </c>
      <c r="Q5" s="87"/>
      <c r="R5" s="87"/>
      <c r="S5" s="87" t="s">
        <v>90</v>
      </c>
      <c r="T5" s="87" t="s">
        <v>98</v>
      </c>
      <c r="U5" s="87" t="s">
        <v>99</v>
      </c>
      <c r="V5" s="87">
        <v>1</v>
      </c>
      <c r="W5" s="87" t="s">
        <v>100</v>
      </c>
      <c r="X5" s="87" t="s">
        <v>101</v>
      </c>
      <c r="Y5" s="87" t="s">
        <v>102</v>
      </c>
      <c r="Z5" s="87" t="s">
        <v>103</v>
      </c>
      <c r="AA5" s="87" t="s">
        <v>104</v>
      </c>
      <c r="AB5" s="87" t="s">
        <v>105</v>
      </c>
      <c r="AC5" s="87" t="s">
        <v>106</v>
      </c>
      <c r="AD5" s="87" t="s">
        <v>107</v>
      </c>
      <c r="AE5" s="87" t="s">
        <v>108</v>
      </c>
      <c r="AF5" s="87">
        <v>3</v>
      </c>
      <c r="AG5" s="87" t="s">
        <v>90</v>
      </c>
      <c r="AH5" s="87" t="s">
        <v>109</v>
      </c>
      <c r="AI5" s="87" t="s">
        <v>110</v>
      </c>
      <c r="AJ5" s="87">
        <v>2</v>
      </c>
      <c r="AK5" s="87" t="s">
        <v>99</v>
      </c>
      <c r="AL5" s="87" t="s">
        <v>94</v>
      </c>
      <c r="AM5" s="87" t="s">
        <v>94</v>
      </c>
      <c r="AN5" s="87" t="s">
        <v>111</v>
      </c>
      <c r="AO5" s="87" t="s">
        <v>111</v>
      </c>
      <c r="AP5" s="87" t="s">
        <v>112</v>
      </c>
      <c r="AQ5" s="87" t="s">
        <v>113</v>
      </c>
      <c r="AR5" s="87" t="s">
        <v>114</v>
      </c>
      <c r="AS5" s="87" t="s">
        <v>115</v>
      </c>
      <c r="AT5" s="87" t="s">
        <v>116</v>
      </c>
      <c r="AU5" s="87" t="s">
        <v>117</v>
      </c>
      <c r="AV5" s="87">
        <v>2</v>
      </c>
      <c r="AW5" s="87" t="s">
        <v>118</v>
      </c>
      <c r="AX5" s="87" t="s">
        <v>119</v>
      </c>
      <c r="AY5" s="87" t="s">
        <v>120</v>
      </c>
      <c r="AZ5" s="87" t="s">
        <v>116</v>
      </c>
      <c r="BA5" s="87" t="s">
        <v>121</v>
      </c>
      <c r="BB5" s="87">
        <v>2</v>
      </c>
      <c r="BC5" s="87" t="s">
        <v>122</v>
      </c>
      <c r="BD5" s="87" t="s">
        <v>123</v>
      </c>
      <c r="BE5" s="87" t="s">
        <v>124</v>
      </c>
      <c r="BF5" s="87" t="s">
        <v>116</v>
      </c>
      <c r="BG5" s="87" t="s">
        <v>125</v>
      </c>
      <c r="BH5" s="87">
        <v>2</v>
      </c>
      <c r="BI5" s="87"/>
      <c r="BJ5" s="87"/>
      <c r="BK5" s="87"/>
      <c r="BL5" s="87"/>
      <c r="BM5" s="87"/>
      <c r="BN5" s="87"/>
      <c r="BO5" s="87" t="s">
        <v>2852</v>
      </c>
      <c r="BP5" s="87" t="s">
        <v>2858</v>
      </c>
      <c r="BQ5" t="s">
        <v>355</v>
      </c>
      <c r="BR5" s="87" t="s">
        <v>128</v>
      </c>
      <c r="BS5" s="87" t="s">
        <v>111</v>
      </c>
      <c r="BT5" s="87">
        <v>0.53700000000000003</v>
      </c>
      <c r="BU5" s="87">
        <v>0.64100000000000001</v>
      </c>
      <c r="BV5" s="87" t="s">
        <v>129</v>
      </c>
      <c r="BW5" s="87">
        <v>4</v>
      </c>
      <c r="BX5" s="87" t="s">
        <v>111</v>
      </c>
      <c r="BY5" s="87">
        <v>0.68100000000000005</v>
      </c>
      <c r="BZ5" s="87">
        <v>0.77900000000000003</v>
      </c>
      <c r="CA5" s="87" t="s">
        <v>129</v>
      </c>
      <c r="CB5" s="87">
        <v>4</v>
      </c>
      <c r="CC5" s="87" t="s">
        <v>130</v>
      </c>
      <c r="CD5" s="87">
        <v>4</v>
      </c>
      <c r="CE5" s="87" t="s">
        <v>2854</v>
      </c>
    </row>
    <row r="6" spans="1:84">
      <c r="A6" s="87">
        <v>6</v>
      </c>
      <c r="B6" s="87" t="s">
        <v>88</v>
      </c>
      <c r="C6" s="87">
        <v>2013</v>
      </c>
      <c r="D6" s="87" t="s">
        <v>89</v>
      </c>
      <c r="E6" s="88">
        <v>44712</v>
      </c>
      <c r="F6" s="87" t="s">
        <v>97</v>
      </c>
      <c r="G6" s="87" t="s">
        <v>495</v>
      </c>
      <c r="H6" s="87"/>
      <c r="I6" s="87" t="s">
        <v>2851</v>
      </c>
      <c r="J6" s="87" t="s">
        <v>93</v>
      </c>
      <c r="K6" s="87" t="s">
        <v>94</v>
      </c>
      <c r="L6" s="87" t="s">
        <v>94</v>
      </c>
      <c r="M6" s="87" t="s">
        <v>95</v>
      </c>
      <c r="N6" s="87" t="s">
        <v>96</v>
      </c>
      <c r="O6" s="87" t="s">
        <v>97</v>
      </c>
      <c r="P6" s="87" t="s">
        <v>97</v>
      </c>
      <c r="Q6" s="87"/>
      <c r="R6" s="87"/>
      <c r="S6" s="87" t="s">
        <v>90</v>
      </c>
      <c r="T6" s="87" t="s">
        <v>98</v>
      </c>
      <c r="U6" s="87" t="s">
        <v>99</v>
      </c>
      <c r="V6" s="87">
        <v>1</v>
      </c>
      <c r="W6" s="87" t="s">
        <v>100</v>
      </c>
      <c r="X6" s="87" t="s">
        <v>101</v>
      </c>
      <c r="Y6" s="87" t="s">
        <v>102</v>
      </c>
      <c r="Z6" s="87" t="s">
        <v>103</v>
      </c>
      <c r="AA6" s="87" t="s">
        <v>104</v>
      </c>
      <c r="AB6" s="87" t="s">
        <v>105</v>
      </c>
      <c r="AC6" s="87" t="s">
        <v>106</v>
      </c>
      <c r="AD6" s="87" t="s">
        <v>107</v>
      </c>
      <c r="AE6" s="87" t="s">
        <v>108</v>
      </c>
      <c r="AF6" s="87">
        <v>3</v>
      </c>
      <c r="AG6" s="87" t="s">
        <v>90</v>
      </c>
      <c r="AH6" s="87" t="s">
        <v>109</v>
      </c>
      <c r="AI6" s="87" t="s">
        <v>110</v>
      </c>
      <c r="AJ6" s="87">
        <v>2</v>
      </c>
      <c r="AK6" s="87" t="s">
        <v>99</v>
      </c>
      <c r="AL6" s="87" t="s">
        <v>94</v>
      </c>
      <c r="AM6" s="87" t="s">
        <v>94</v>
      </c>
      <c r="AN6" s="87" t="s">
        <v>111</v>
      </c>
      <c r="AO6" s="87" t="s">
        <v>111</v>
      </c>
      <c r="AP6" s="87" t="s">
        <v>112</v>
      </c>
      <c r="AQ6" s="87" t="s">
        <v>113</v>
      </c>
      <c r="AR6" s="87" t="s">
        <v>114</v>
      </c>
      <c r="AS6" s="87" t="s">
        <v>115</v>
      </c>
      <c r="AT6" s="87" t="s">
        <v>116</v>
      </c>
      <c r="AU6" s="87" t="s">
        <v>117</v>
      </c>
      <c r="AV6" s="87">
        <v>2</v>
      </c>
      <c r="AW6" s="87" t="s">
        <v>118</v>
      </c>
      <c r="AX6" s="87" t="s">
        <v>119</v>
      </c>
      <c r="AY6" s="87" t="s">
        <v>120</v>
      </c>
      <c r="AZ6" s="87" t="s">
        <v>116</v>
      </c>
      <c r="BA6" s="87" t="s">
        <v>121</v>
      </c>
      <c r="BB6" s="87">
        <v>2</v>
      </c>
      <c r="BC6" s="87" t="s">
        <v>122</v>
      </c>
      <c r="BD6" s="87" t="s">
        <v>123</v>
      </c>
      <c r="BE6" s="87" t="s">
        <v>124</v>
      </c>
      <c r="BF6" s="87" t="s">
        <v>116</v>
      </c>
      <c r="BG6" s="87" t="s">
        <v>125</v>
      </c>
      <c r="BH6" s="87">
        <v>2</v>
      </c>
      <c r="BI6" s="87"/>
      <c r="BJ6" s="87"/>
      <c r="BK6" s="87"/>
      <c r="BL6" s="87"/>
      <c r="BM6" s="87"/>
      <c r="BN6" s="87"/>
      <c r="BO6" s="87" t="s">
        <v>2852</v>
      </c>
      <c r="BP6" s="87" t="s">
        <v>2859</v>
      </c>
      <c r="BQ6" t="s">
        <v>355</v>
      </c>
      <c r="BR6" s="87" t="s">
        <v>128</v>
      </c>
      <c r="BS6" s="87" t="s">
        <v>111</v>
      </c>
      <c r="BT6" s="87">
        <v>0.73099999999999998</v>
      </c>
      <c r="BU6" s="87">
        <v>0.80800000000000005</v>
      </c>
      <c r="BV6" s="87" t="s">
        <v>129</v>
      </c>
      <c r="BW6" s="87">
        <v>4</v>
      </c>
      <c r="BX6" s="87" t="s">
        <v>111</v>
      </c>
      <c r="BY6" s="87">
        <v>0.68100000000000005</v>
      </c>
      <c r="BZ6" s="87">
        <v>0.77900000000000003</v>
      </c>
      <c r="CA6" s="87" t="s">
        <v>129</v>
      </c>
      <c r="CB6" s="87">
        <v>4</v>
      </c>
      <c r="CC6" s="87" t="s">
        <v>130</v>
      </c>
      <c r="CD6" s="87">
        <v>4</v>
      </c>
      <c r="CE6" s="87" t="s">
        <v>2854</v>
      </c>
    </row>
    <row r="7" spans="1:84">
      <c r="A7" s="87">
        <v>6</v>
      </c>
      <c r="B7" s="87" t="s">
        <v>88</v>
      </c>
      <c r="C7" s="87">
        <v>2013</v>
      </c>
      <c r="D7" s="87" t="s">
        <v>89</v>
      </c>
      <c r="E7" s="88">
        <v>44712</v>
      </c>
      <c r="F7" s="87" t="s">
        <v>97</v>
      </c>
      <c r="G7" s="87" t="s">
        <v>495</v>
      </c>
      <c r="H7" s="87"/>
      <c r="I7" s="87" t="s">
        <v>2851</v>
      </c>
      <c r="J7" s="87" t="s">
        <v>93</v>
      </c>
      <c r="K7" s="87" t="s">
        <v>94</v>
      </c>
      <c r="L7" s="87" t="s">
        <v>94</v>
      </c>
      <c r="M7" s="87" t="s">
        <v>95</v>
      </c>
      <c r="N7" s="87" t="s">
        <v>96</v>
      </c>
      <c r="O7" s="87" t="s">
        <v>97</v>
      </c>
      <c r="P7" s="87" t="s">
        <v>97</v>
      </c>
      <c r="Q7" s="87"/>
      <c r="R7" s="87"/>
      <c r="S7" s="87" t="s">
        <v>90</v>
      </c>
      <c r="T7" s="87" t="s">
        <v>98</v>
      </c>
      <c r="U7" s="87" t="s">
        <v>99</v>
      </c>
      <c r="V7" s="87">
        <v>1</v>
      </c>
      <c r="W7" s="87" t="s">
        <v>100</v>
      </c>
      <c r="X7" s="87" t="s">
        <v>101</v>
      </c>
      <c r="Y7" s="87" t="s">
        <v>102</v>
      </c>
      <c r="Z7" s="87" t="s">
        <v>103</v>
      </c>
      <c r="AA7" s="87" t="s">
        <v>104</v>
      </c>
      <c r="AB7" s="87" t="s">
        <v>105</v>
      </c>
      <c r="AC7" s="87" t="s">
        <v>106</v>
      </c>
      <c r="AD7" s="87" t="s">
        <v>107</v>
      </c>
      <c r="AE7" s="87" t="s">
        <v>108</v>
      </c>
      <c r="AF7" s="87">
        <v>3</v>
      </c>
      <c r="AG7" s="87" t="s">
        <v>90</v>
      </c>
      <c r="AH7" s="87" t="s">
        <v>109</v>
      </c>
      <c r="AI7" s="87" t="s">
        <v>110</v>
      </c>
      <c r="AJ7" s="87">
        <v>2</v>
      </c>
      <c r="AK7" s="87" t="s">
        <v>99</v>
      </c>
      <c r="AL7" s="87" t="s">
        <v>94</v>
      </c>
      <c r="AM7" s="87" t="s">
        <v>94</v>
      </c>
      <c r="AN7" s="87" t="s">
        <v>111</v>
      </c>
      <c r="AO7" s="87" t="s">
        <v>111</v>
      </c>
      <c r="AP7" s="87" t="s">
        <v>112</v>
      </c>
      <c r="AQ7" s="87" t="s">
        <v>113</v>
      </c>
      <c r="AR7" s="87" t="s">
        <v>114</v>
      </c>
      <c r="AS7" s="87" t="s">
        <v>115</v>
      </c>
      <c r="AT7" s="87" t="s">
        <v>116</v>
      </c>
      <c r="AU7" s="87" t="s">
        <v>117</v>
      </c>
      <c r="AV7" s="87">
        <v>2</v>
      </c>
      <c r="AW7" s="87" t="s">
        <v>118</v>
      </c>
      <c r="AX7" s="87" t="s">
        <v>119</v>
      </c>
      <c r="AY7" s="87" t="s">
        <v>120</v>
      </c>
      <c r="AZ7" s="87" t="s">
        <v>116</v>
      </c>
      <c r="BA7" s="87" t="s">
        <v>121</v>
      </c>
      <c r="BB7" s="87">
        <v>2</v>
      </c>
      <c r="BC7" s="87" t="s">
        <v>122</v>
      </c>
      <c r="BD7" s="87" t="s">
        <v>123</v>
      </c>
      <c r="BE7" s="87" t="s">
        <v>124</v>
      </c>
      <c r="BF7" s="87" t="s">
        <v>116</v>
      </c>
      <c r="BG7" s="87" t="s">
        <v>125</v>
      </c>
      <c r="BH7" s="87">
        <v>2</v>
      </c>
      <c r="BI7" s="87"/>
      <c r="BJ7" s="87"/>
      <c r="BK7" s="87"/>
      <c r="BL7" s="87"/>
      <c r="BM7" s="87"/>
      <c r="BN7" s="87"/>
      <c r="BO7" s="87" t="s">
        <v>2852</v>
      </c>
      <c r="BP7" s="87" t="s">
        <v>2860</v>
      </c>
      <c r="BQ7" t="s">
        <v>355</v>
      </c>
      <c r="BR7" s="87" t="s">
        <v>128</v>
      </c>
      <c r="BS7" s="87" t="s">
        <v>111</v>
      </c>
      <c r="BT7" s="87">
        <v>0.68700000000000006</v>
      </c>
      <c r="BU7" s="87">
        <v>0.749</v>
      </c>
      <c r="BV7" s="87" t="s">
        <v>129</v>
      </c>
      <c r="BW7" s="87">
        <v>4</v>
      </c>
      <c r="BX7" s="87" t="s">
        <v>111</v>
      </c>
      <c r="BY7" s="87">
        <v>0.82</v>
      </c>
      <c r="BZ7" s="87">
        <v>0.88100000000000001</v>
      </c>
      <c r="CA7" s="87" t="s">
        <v>129</v>
      </c>
      <c r="CB7" s="87">
        <v>4</v>
      </c>
      <c r="CC7" s="87" t="s">
        <v>130</v>
      </c>
      <c r="CD7" s="87">
        <v>4</v>
      </c>
      <c r="CE7" s="87" t="s">
        <v>2854</v>
      </c>
    </row>
    <row r="8" spans="1:84">
      <c r="A8" s="87">
        <v>6</v>
      </c>
      <c r="B8" s="87" t="s">
        <v>88</v>
      </c>
      <c r="C8" s="87">
        <v>2013</v>
      </c>
      <c r="D8" s="87" t="s">
        <v>89</v>
      </c>
      <c r="E8" s="88">
        <v>44712</v>
      </c>
      <c r="F8" s="87" t="s">
        <v>97</v>
      </c>
      <c r="G8" s="87" t="s">
        <v>495</v>
      </c>
      <c r="H8" s="87"/>
      <c r="I8" s="87" t="s">
        <v>2851</v>
      </c>
      <c r="J8" s="87" t="s">
        <v>93</v>
      </c>
      <c r="K8" s="87" t="s">
        <v>94</v>
      </c>
      <c r="L8" s="87" t="s">
        <v>94</v>
      </c>
      <c r="M8" s="87" t="s">
        <v>95</v>
      </c>
      <c r="N8" s="87" t="s">
        <v>96</v>
      </c>
      <c r="O8" s="87" t="s">
        <v>97</v>
      </c>
      <c r="P8" s="87" t="s">
        <v>97</v>
      </c>
      <c r="Q8" s="87"/>
      <c r="R8" s="87"/>
      <c r="S8" s="87" t="s">
        <v>90</v>
      </c>
      <c r="T8" s="87" t="s">
        <v>98</v>
      </c>
      <c r="U8" s="87" t="s">
        <v>99</v>
      </c>
      <c r="V8" s="87">
        <v>1</v>
      </c>
      <c r="W8" s="87" t="s">
        <v>100</v>
      </c>
      <c r="X8" s="87" t="s">
        <v>101</v>
      </c>
      <c r="Y8" s="87" t="s">
        <v>102</v>
      </c>
      <c r="Z8" s="87" t="s">
        <v>103</v>
      </c>
      <c r="AA8" s="87" t="s">
        <v>104</v>
      </c>
      <c r="AB8" s="87" t="s">
        <v>105</v>
      </c>
      <c r="AC8" s="87" t="s">
        <v>106</v>
      </c>
      <c r="AD8" s="87" t="s">
        <v>107</v>
      </c>
      <c r="AE8" s="87" t="s">
        <v>108</v>
      </c>
      <c r="AF8" s="87">
        <v>3</v>
      </c>
      <c r="AG8" s="87" t="s">
        <v>90</v>
      </c>
      <c r="AH8" s="87" t="s">
        <v>109</v>
      </c>
      <c r="AI8" s="87" t="s">
        <v>110</v>
      </c>
      <c r="AJ8" s="87">
        <v>2</v>
      </c>
      <c r="AK8" s="87" t="s">
        <v>99</v>
      </c>
      <c r="AL8" s="87" t="s">
        <v>94</v>
      </c>
      <c r="AM8" s="87" t="s">
        <v>94</v>
      </c>
      <c r="AN8" s="87" t="s">
        <v>111</v>
      </c>
      <c r="AO8" s="87" t="s">
        <v>111</v>
      </c>
      <c r="AP8" s="87" t="s">
        <v>112</v>
      </c>
      <c r="AQ8" s="87" t="s">
        <v>113</v>
      </c>
      <c r="AR8" s="87" t="s">
        <v>114</v>
      </c>
      <c r="AS8" s="87" t="s">
        <v>115</v>
      </c>
      <c r="AT8" s="87" t="s">
        <v>116</v>
      </c>
      <c r="AU8" s="87" t="s">
        <v>117</v>
      </c>
      <c r="AV8" s="87">
        <v>2</v>
      </c>
      <c r="AW8" s="87" t="s">
        <v>118</v>
      </c>
      <c r="AX8" s="87" t="s">
        <v>119</v>
      </c>
      <c r="AY8" s="87" t="s">
        <v>120</v>
      </c>
      <c r="AZ8" s="87" t="s">
        <v>116</v>
      </c>
      <c r="BA8" s="87" t="s">
        <v>121</v>
      </c>
      <c r="BB8" s="87">
        <v>2</v>
      </c>
      <c r="BC8" s="87" t="s">
        <v>122</v>
      </c>
      <c r="BD8" s="87" t="s">
        <v>123</v>
      </c>
      <c r="BE8" s="87" t="s">
        <v>124</v>
      </c>
      <c r="BF8" s="87" t="s">
        <v>116</v>
      </c>
      <c r="BG8" s="87" t="s">
        <v>125</v>
      </c>
      <c r="BH8" s="87">
        <v>2</v>
      </c>
      <c r="BI8" s="87"/>
      <c r="BJ8" s="87"/>
      <c r="BK8" s="87"/>
      <c r="BL8" s="87"/>
      <c r="BM8" s="87"/>
      <c r="BN8" s="87"/>
      <c r="BO8" s="87" t="s">
        <v>2852</v>
      </c>
      <c r="BP8" s="87" t="s">
        <v>2861</v>
      </c>
      <c r="BQ8" t="s">
        <v>355</v>
      </c>
      <c r="BR8" s="87" t="s">
        <v>128</v>
      </c>
      <c r="BS8" s="87" t="s">
        <v>111</v>
      </c>
      <c r="BT8" s="87">
        <v>0.92300000000000004</v>
      </c>
      <c r="BU8" s="87">
        <v>0.98399999999999999</v>
      </c>
      <c r="BV8" s="87" t="s">
        <v>129</v>
      </c>
      <c r="BW8" s="87">
        <v>4</v>
      </c>
      <c r="BX8" s="87" t="s">
        <v>111</v>
      </c>
      <c r="BY8" s="87">
        <v>0.82</v>
      </c>
      <c r="BZ8" s="87">
        <v>0.88100000000000001</v>
      </c>
      <c r="CA8" s="87" t="s">
        <v>129</v>
      </c>
      <c r="CB8" s="87">
        <v>4</v>
      </c>
      <c r="CC8" s="87" t="s">
        <v>130</v>
      </c>
      <c r="CD8" s="87">
        <v>4</v>
      </c>
      <c r="CE8" s="87" t="s">
        <v>2854</v>
      </c>
    </row>
    <row r="9" spans="1:84">
      <c r="A9" s="87">
        <v>11</v>
      </c>
      <c r="B9" s="87" t="s">
        <v>311</v>
      </c>
      <c r="C9" s="87">
        <v>2016</v>
      </c>
      <c r="D9" s="87" t="s">
        <v>312</v>
      </c>
      <c r="E9" s="87"/>
      <c r="F9" t="s">
        <v>97</v>
      </c>
      <c r="G9" s="87"/>
      <c r="H9" s="87"/>
      <c r="I9" s="87" t="s">
        <v>2862</v>
      </c>
      <c r="J9" s="87" t="s">
        <v>314</v>
      </c>
      <c r="K9" s="87" t="s">
        <v>97</v>
      </c>
      <c r="L9" s="87" t="s">
        <v>137</v>
      </c>
      <c r="M9" s="87" t="s">
        <v>138</v>
      </c>
      <c r="N9" s="87" t="s">
        <v>315</v>
      </c>
      <c r="O9" s="87" t="s">
        <v>97</v>
      </c>
      <c r="P9" s="87" t="s">
        <v>97</v>
      </c>
      <c r="Q9" s="87"/>
      <c r="R9" s="87"/>
      <c r="S9" s="87" t="s">
        <v>90</v>
      </c>
      <c r="T9" s="87" t="s">
        <v>141</v>
      </c>
      <c r="U9" s="87" t="s">
        <v>99</v>
      </c>
      <c r="V9" s="87">
        <v>1</v>
      </c>
      <c r="W9" s="87" t="s">
        <v>316</v>
      </c>
      <c r="X9" s="87" t="s">
        <v>317</v>
      </c>
      <c r="Y9" s="87" t="s">
        <v>102</v>
      </c>
      <c r="Z9" s="87" t="s">
        <v>318</v>
      </c>
      <c r="AA9" s="87" t="s">
        <v>319</v>
      </c>
      <c r="AB9" s="87" t="s">
        <v>105</v>
      </c>
      <c r="AC9" s="87" t="s">
        <v>320</v>
      </c>
      <c r="AD9" s="87" t="s">
        <v>321</v>
      </c>
      <c r="AE9" s="87" t="s">
        <v>108</v>
      </c>
      <c r="AF9" s="87">
        <v>1</v>
      </c>
      <c r="AG9" s="87" t="s">
        <v>160</v>
      </c>
      <c r="AH9" s="87" t="s">
        <v>155</v>
      </c>
      <c r="AI9" s="87" t="s">
        <v>150</v>
      </c>
      <c r="AJ9" s="87">
        <v>2</v>
      </c>
      <c r="AK9" s="87" t="s">
        <v>151</v>
      </c>
      <c r="AL9" s="87" t="s">
        <v>97</v>
      </c>
      <c r="AM9" s="87" t="s">
        <v>97</v>
      </c>
      <c r="AN9" s="87">
        <v>2</v>
      </c>
      <c r="AO9" s="87" t="s">
        <v>152</v>
      </c>
      <c r="AP9" s="87" t="s">
        <v>155</v>
      </c>
      <c r="AQ9" s="87" t="s">
        <v>119</v>
      </c>
      <c r="AR9" s="87" t="s">
        <v>114</v>
      </c>
      <c r="AS9" s="87" t="s">
        <v>120</v>
      </c>
      <c r="AT9" s="87" t="s">
        <v>116</v>
      </c>
      <c r="AU9" s="87" t="s">
        <v>322</v>
      </c>
      <c r="AV9" s="87">
        <v>10</v>
      </c>
      <c r="AW9" s="87"/>
      <c r="AX9" s="87"/>
      <c r="AY9" s="87"/>
      <c r="AZ9" s="87"/>
      <c r="BA9" s="87"/>
      <c r="BB9" s="87"/>
      <c r="BC9" s="87"/>
      <c r="BD9" s="87"/>
      <c r="BE9" s="87"/>
      <c r="BF9" s="87"/>
      <c r="BG9" s="87"/>
      <c r="BH9" s="87"/>
      <c r="BI9" s="87"/>
      <c r="BJ9" s="87"/>
      <c r="BK9" s="87"/>
      <c r="BL9" s="87"/>
      <c r="BM9" s="87"/>
      <c r="BN9" s="87"/>
      <c r="BO9" s="87" t="s">
        <v>126</v>
      </c>
      <c r="BP9" s="87"/>
      <c r="BQ9" s="87"/>
      <c r="BR9" s="87"/>
      <c r="BS9" s="87"/>
      <c r="BT9" s="87"/>
      <c r="BU9" s="87"/>
      <c r="BV9" s="87"/>
      <c r="BW9" s="87"/>
      <c r="BX9" s="87"/>
      <c r="BY9" s="87"/>
      <c r="BZ9" s="87"/>
      <c r="CA9" s="87"/>
      <c r="CB9" s="87"/>
      <c r="CC9" s="87"/>
      <c r="CD9" s="87"/>
      <c r="CE9" s="87"/>
    </row>
    <row r="10" spans="1:84" s="67" customFormat="1" ht="12.5">
      <c r="C10" s="67">
        <v>2020</v>
      </c>
      <c r="D10" s="68" t="s">
        <v>735</v>
      </c>
      <c r="E10" s="69">
        <v>45030</v>
      </c>
      <c r="F10" s="67" t="s">
        <v>90</v>
      </c>
      <c r="G10" s="67" t="s">
        <v>495</v>
      </c>
      <c r="I10" s="89" t="s">
        <v>736</v>
      </c>
      <c r="J10" s="67" t="s">
        <v>737</v>
      </c>
    </row>
    <row r="11" spans="1:84" s="67" customFormat="1" ht="12.5">
      <c r="C11" s="67">
        <v>2019</v>
      </c>
      <c r="D11" s="68" t="s">
        <v>738</v>
      </c>
      <c r="E11" s="69">
        <v>45030</v>
      </c>
      <c r="F11" s="67" t="s">
        <v>90</v>
      </c>
      <c r="G11" s="67" t="s">
        <v>495</v>
      </c>
      <c r="I11" s="89" t="s">
        <v>739</v>
      </c>
      <c r="J11" s="67" t="s">
        <v>740</v>
      </c>
    </row>
    <row r="12" spans="1:84" s="72" customFormat="1" ht="12.5">
      <c r="A12" s="72" t="s">
        <v>748</v>
      </c>
      <c r="B12" s="72" t="str">
        <f>A12&amp;"-"&amp;C12</f>
        <v>addtl9-2018</v>
      </c>
      <c r="C12" s="72">
        <v>2018</v>
      </c>
      <c r="D12" s="73" t="s">
        <v>134</v>
      </c>
      <c r="E12" s="74">
        <v>45044</v>
      </c>
      <c r="F12" s="72" t="s">
        <v>743</v>
      </c>
      <c r="I12" s="73" t="s">
        <v>749</v>
      </c>
      <c r="J12" s="72" t="s">
        <v>750</v>
      </c>
      <c r="K12" s="72" t="s">
        <v>94</v>
      </c>
      <c r="L12" s="72" t="s">
        <v>98</v>
      </c>
      <c r="M12" s="72" t="s">
        <v>138</v>
      </c>
      <c r="N12" s="72" t="s">
        <v>751</v>
      </c>
      <c r="O12" s="72" t="s">
        <v>90</v>
      </c>
      <c r="P12" s="72" t="s">
        <v>97</v>
      </c>
      <c r="Q12" s="72" t="s">
        <v>752</v>
      </c>
      <c r="S12" s="72" t="s">
        <v>90</v>
      </c>
      <c r="T12" s="72" t="s">
        <v>141</v>
      </c>
      <c r="U12" s="77"/>
      <c r="V12" s="77"/>
      <c r="W12" s="77"/>
      <c r="X12" s="77"/>
      <c r="Y12" s="77"/>
      <c r="Z12" s="77"/>
      <c r="AA12" s="72" t="s">
        <v>753</v>
      </c>
      <c r="AB12" s="72" t="s">
        <v>20</v>
      </c>
      <c r="AC12" s="77"/>
      <c r="AD12" s="77"/>
      <c r="AE12" s="77"/>
      <c r="AF12" s="72">
        <v>2</v>
      </c>
      <c r="AG12" s="72" t="s">
        <v>90</v>
      </c>
      <c r="AH12" s="72" t="s">
        <v>645</v>
      </c>
      <c r="AI12" s="72" t="s">
        <v>152</v>
      </c>
      <c r="AJ12" s="77"/>
      <c r="AK12" s="77"/>
      <c r="AL12" s="77"/>
      <c r="AM12" s="77"/>
      <c r="AN12" s="77"/>
      <c r="AO12" s="77"/>
      <c r="AP12" s="72" t="s">
        <v>155</v>
      </c>
      <c r="AQ12" s="72" t="s">
        <v>119</v>
      </c>
      <c r="AR12" s="72" t="s">
        <v>114</v>
      </c>
      <c r="AS12" s="72" t="s">
        <v>120</v>
      </c>
      <c r="AT12" s="72" t="s">
        <v>116</v>
      </c>
      <c r="AU12" s="72" t="s">
        <v>754</v>
      </c>
      <c r="AV12" s="72">
        <v>2</v>
      </c>
      <c r="AW12" s="72" t="s">
        <v>647</v>
      </c>
      <c r="AX12" s="72" t="s">
        <v>119</v>
      </c>
      <c r="AY12" s="72" t="s">
        <v>120</v>
      </c>
      <c r="AZ12" s="72" t="s">
        <v>116</v>
      </c>
      <c r="BA12" s="72" t="s">
        <v>755</v>
      </c>
      <c r="BB12" s="72">
        <v>2</v>
      </c>
    </row>
    <row r="13" spans="1:84" s="72" customFormat="1" ht="13">
      <c r="A13" s="72" t="s">
        <v>741</v>
      </c>
      <c r="B13" s="72" t="str">
        <f>A13&amp;"-"&amp;C13</f>
        <v>addtl6-2022</v>
      </c>
      <c r="C13" s="72">
        <v>2022</v>
      </c>
      <c r="D13" s="73" t="s">
        <v>742</v>
      </c>
      <c r="E13" s="74">
        <v>45044</v>
      </c>
      <c r="F13" s="72" t="s">
        <v>743</v>
      </c>
      <c r="G13" s="72" t="s">
        <v>495</v>
      </c>
      <c r="I13" s="90" t="s">
        <v>744</v>
      </c>
      <c r="J13" s="72" t="s">
        <v>745</v>
      </c>
      <c r="K13" s="72" t="s">
        <v>94</v>
      </c>
      <c r="L13" s="72" t="s">
        <v>94</v>
      </c>
      <c r="M13" s="72" t="s">
        <v>138</v>
      </c>
      <c r="N13" s="72" t="s">
        <v>565</v>
      </c>
      <c r="O13" s="72" t="s">
        <v>97</v>
      </c>
      <c r="P13" s="72" t="s">
        <v>97</v>
      </c>
      <c r="S13" s="72" t="s">
        <v>114</v>
      </c>
      <c r="T13" s="72" t="s">
        <v>191</v>
      </c>
      <c r="U13" s="77" t="s">
        <v>99</v>
      </c>
      <c r="V13" s="77">
        <v>1</v>
      </c>
      <c r="W13" s="77" t="s">
        <v>566</v>
      </c>
      <c r="X13" s="77" t="s">
        <v>567</v>
      </c>
      <c r="Y13" s="77" t="s">
        <v>568</v>
      </c>
      <c r="Z13" s="77" t="s">
        <v>569</v>
      </c>
      <c r="AA13" s="72" t="s">
        <v>570</v>
      </c>
      <c r="AB13" s="72" t="s">
        <v>105</v>
      </c>
      <c r="AC13" s="77"/>
      <c r="AD13" s="77"/>
      <c r="AE13" s="77"/>
      <c r="AF13" s="72">
        <v>1</v>
      </c>
      <c r="AG13" s="72" t="s">
        <v>97</v>
      </c>
      <c r="AH13" s="72" t="s">
        <v>155</v>
      </c>
      <c r="AI13" s="72" t="s">
        <v>746</v>
      </c>
      <c r="AJ13" s="77"/>
      <c r="AK13" s="77"/>
      <c r="AL13" s="77"/>
      <c r="AM13" s="77"/>
      <c r="AN13" s="77"/>
      <c r="AO13" s="77"/>
      <c r="AP13" s="72" t="s">
        <v>155</v>
      </c>
      <c r="AQ13" s="72" t="s">
        <v>119</v>
      </c>
      <c r="AR13" s="72" t="s">
        <v>114</v>
      </c>
      <c r="AS13" s="72" t="s">
        <v>120</v>
      </c>
      <c r="AT13" s="72" t="s">
        <v>116</v>
      </c>
      <c r="AU13" s="72" t="s">
        <v>571</v>
      </c>
      <c r="AV13" s="72">
        <v>3</v>
      </c>
    </row>
    <row r="14" spans="1:84">
      <c r="A14" s="87">
        <v>2</v>
      </c>
      <c r="B14" s="91">
        <v>2.006E+26</v>
      </c>
      <c r="C14" s="87">
        <v>2006</v>
      </c>
      <c r="D14" s="87" t="s">
        <v>283</v>
      </c>
      <c r="E14" s="88">
        <v>44704</v>
      </c>
      <c r="F14" t="s">
        <v>97</v>
      </c>
      <c r="G14" s="87" t="s">
        <v>135</v>
      </c>
      <c r="H14" s="87">
        <v>1</v>
      </c>
      <c r="I14" s="87" t="s">
        <v>2863</v>
      </c>
      <c r="J14" s="87" t="s">
        <v>285</v>
      </c>
      <c r="K14" s="87" t="s">
        <v>97</v>
      </c>
      <c r="L14" s="87" t="s">
        <v>90</v>
      </c>
      <c r="M14" s="87" t="s">
        <v>95</v>
      </c>
      <c r="N14" s="87" t="s">
        <v>286</v>
      </c>
      <c r="O14" s="87" t="s">
        <v>97</v>
      </c>
      <c r="P14" s="87" t="s">
        <v>97</v>
      </c>
      <c r="Q14" s="87"/>
      <c r="R14" s="87"/>
      <c r="S14" s="87" t="s">
        <v>90</v>
      </c>
      <c r="T14" s="87" t="s">
        <v>191</v>
      </c>
      <c r="U14" s="87" t="s">
        <v>99</v>
      </c>
      <c r="V14" s="87"/>
      <c r="W14" s="87">
        <v>2</v>
      </c>
      <c r="X14" s="87">
        <v>2</v>
      </c>
      <c r="Y14" s="87" t="s">
        <v>102</v>
      </c>
      <c r="Z14" s="87"/>
      <c r="AA14" s="87" t="s">
        <v>287</v>
      </c>
      <c r="AB14" s="87" t="s">
        <v>105</v>
      </c>
      <c r="AC14" s="87" t="s">
        <v>288</v>
      </c>
      <c r="AD14" s="87" t="s">
        <v>289</v>
      </c>
      <c r="AE14" s="87" t="s">
        <v>148</v>
      </c>
      <c r="AF14" s="87">
        <v>1</v>
      </c>
      <c r="AG14" s="87" t="s">
        <v>160</v>
      </c>
      <c r="AH14" s="87" t="s">
        <v>155</v>
      </c>
      <c r="AI14" s="87" t="s">
        <v>110</v>
      </c>
      <c r="AJ14" s="87">
        <v>2</v>
      </c>
      <c r="AK14" s="87" t="s">
        <v>151</v>
      </c>
      <c r="AL14" s="87" t="s">
        <v>97</v>
      </c>
      <c r="AM14" s="87" t="s">
        <v>97</v>
      </c>
      <c r="AN14" s="87" t="s">
        <v>152</v>
      </c>
      <c r="AO14" s="87">
        <v>2</v>
      </c>
      <c r="AP14" s="87" t="s">
        <v>290</v>
      </c>
      <c r="AQ14" s="87" t="s">
        <v>119</v>
      </c>
      <c r="AR14" s="87" t="s">
        <v>114</v>
      </c>
      <c r="AS14" s="87" t="s">
        <v>120</v>
      </c>
      <c r="AT14" s="87" t="s">
        <v>116</v>
      </c>
      <c r="AU14" s="87" t="s">
        <v>291</v>
      </c>
      <c r="AV14" s="87">
        <v>3</v>
      </c>
      <c r="AW14" s="87"/>
      <c r="AX14" s="87"/>
      <c r="AY14" s="87"/>
      <c r="AZ14" s="87"/>
      <c r="BA14" s="87"/>
      <c r="BB14" s="87"/>
      <c r="BC14" s="87"/>
      <c r="BD14" s="87"/>
      <c r="BE14" s="87"/>
      <c r="BF14" s="87"/>
      <c r="BG14" s="87"/>
      <c r="BH14" s="87"/>
      <c r="BI14" s="87"/>
      <c r="BJ14" s="87"/>
      <c r="BK14" s="87"/>
      <c r="BL14" s="87"/>
      <c r="BM14" s="87"/>
      <c r="BN14" s="87"/>
      <c r="BO14" s="87"/>
      <c r="BP14" s="87"/>
      <c r="BQ14" s="87" t="s">
        <v>2864</v>
      </c>
      <c r="BR14" s="87"/>
      <c r="BS14" s="87"/>
      <c r="BT14" s="87"/>
      <c r="BU14" s="87"/>
      <c r="BV14" s="87"/>
      <c r="BW14" s="87"/>
      <c r="BX14" s="87"/>
      <c r="BY14" s="87"/>
      <c r="BZ14" s="87"/>
      <c r="CA14" s="87"/>
      <c r="CB14" s="87"/>
      <c r="CC14" s="87"/>
      <c r="CD14" s="87"/>
      <c r="CE14" s="87"/>
      <c r="CF14" s="87"/>
    </row>
    <row r="15" spans="1:84" s="72" customFormat="1" ht="187.5">
      <c r="A15" s="72" t="s">
        <v>630</v>
      </c>
      <c r="B15" s="72" t="str">
        <f t="shared" ref="B15" si="0">A15&amp;"-"&amp;C15</f>
        <v>addtl7-2020</v>
      </c>
      <c r="C15" s="72">
        <v>2020</v>
      </c>
      <c r="D15" s="73" t="s">
        <v>631</v>
      </c>
      <c r="E15" s="74">
        <v>45044</v>
      </c>
      <c r="F15" s="72" t="s">
        <v>97</v>
      </c>
      <c r="G15" s="72" t="s">
        <v>495</v>
      </c>
      <c r="I15" s="75" t="s">
        <v>632</v>
      </c>
      <c r="J15" s="76" t="s">
        <v>633</v>
      </c>
      <c r="K15" s="72" t="s">
        <v>94</v>
      </c>
      <c r="L15" s="72" t="s">
        <v>94</v>
      </c>
      <c r="M15" s="72" t="s">
        <v>95</v>
      </c>
      <c r="N15" s="76" t="s">
        <v>634</v>
      </c>
      <c r="O15" s="72" t="s">
        <v>97</v>
      </c>
      <c r="P15" s="72" t="s">
        <v>97</v>
      </c>
      <c r="S15" s="72" t="s">
        <v>114</v>
      </c>
      <c r="T15" s="72" t="s">
        <v>191</v>
      </c>
      <c r="U15" s="77" t="s">
        <v>99</v>
      </c>
      <c r="V15" s="77">
        <v>1</v>
      </c>
      <c r="W15" s="77" t="s">
        <v>635</v>
      </c>
      <c r="X15" s="77" t="s">
        <v>567</v>
      </c>
      <c r="Y15" s="77" t="s">
        <v>568</v>
      </c>
      <c r="Z15" s="77"/>
      <c r="AA15" s="72" t="s">
        <v>636</v>
      </c>
      <c r="AB15" s="72" t="s">
        <v>105</v>
      </c>
      <c r="AC15" s="77"/>
      <c r="AD15" s="77"/>
      <c r="AE15" s="77"/>
      <c r="AF15" s="72">
        <v>1</v>
      </c>
      <c r="AG15" s="72" t="s">
        <v>97</v>
      </c>
      <c r="AH15" s="72" t="s">
        <v>155</v>
      </c>
      <c r="AI15" s="72" t="s">
        <v>637</v>
      </c>
      <c r="AJ15" s="77"/>
      <c r="AK15" s="77"/>
      <c r="AL15" s="77"/>
      <c r="AM15" s="77"/>
      <c r="AN15" s="77"/>
      <c r="AO15" s="77"/>
      <c r="AP15" s="72" t="s">
        <v>155</v>
      </c>
      <c r="AQ15" s="72" t="s">
        <v>119</v>
      </c>
      <c r="AR15" s="72" t="s">
        <v>114</v>
      </c>
      <c r="AS15" s="72" t="s">
        <v>120</v>
      </c>
      <c r="AT15" s="72" t="s">
        <v>116</v>
      </c>
      <c r="AU15" s="72" t="s">
        <v>638</v>
      </c>
      <c r="AV15" s="72">
        <v>3</v>
      </c>
    </row>
  </sheetData>
  <dataValidations count="3">
    <dataValidation type="list" allowBlank="1" showInputMessage="1" showErrorMessage="1" sqref="M12" xr:uid="{6DDB4DFD-9EA2-437A-8393-26F4D3B3F120}">
      <formula1>"NCE, TMIE, TMIE-nd"</formula1>
    </dataValidation>
    <dataValidation type="whole" allowBlank="1" showInputMessage="1" showErrorMessage="1" sqref="C12" xr:uid="{F64ADD57-173C-4E47-9575-AC84B038F321}">
      <formula1>1990</formula1>
      <formula2>2019</formula2>
    </dataValidation>
    <dataValidation type="list" allowBlank="1" showInputMessage="1" showErrorMessage="1" sqref="K12:L12 O12:P12" xr:uid="{53D6B965-4BCD-4410-8E98-36322D2828F2}">
      <formula1>"Y, N"</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papers.used</vt:lpstr>
      <vt:lpstr>iso</vt:lpstr>
      <vt:lpstr>master_rows</vt:lpstr>
      <vt:lpstr>growthsingle</vt:lpstr>
      <vt:lpstr>Sheet1</vt:lpstr>
      <vt:lpstr>paper.list</vt:lpstr>
      <vt:lpstr>raw_rows</vt:lpstr>
      <vt:lpstr>metadata</vt:lpstr>
      <vt:lpstr>MASTER</vt:lpstr>
      <vt:lpstr>not_included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Nicole Peckham</dc:creator>
  <cp:keywords/>
  <dc:description/>
  <cp:lastModifiedBy>Nicole Peckham</cp:lastModifiedBy>
  <cp:revision/>
  <dcterms:created xsi:type="dcterms:W3CDTF">2020-05-04T14:16:55Z</dcterms:created>
  <dcterms:modified xsi:type="dcterms:W3CDTF">2026-08-10T18:55:58Z</dcterms:modified>
  <cp:category/>
  <cp:contentStatus/>
</cp:coreProperties>
</file>